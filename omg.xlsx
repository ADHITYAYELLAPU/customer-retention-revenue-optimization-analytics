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17f7e517768361/Dokumen/"/>
    </mc:Choice>
  </mc:AlternateContent>
  <xr:revisionPtr revIDLastSave="378" documentId="8_{426C6578-4974-4D29-A080-978AEA03BEC7}" xr6:coauthVersionLast="47" xr6:coauthVersionMax="47" xr10:uidLastSave="{D3EF26C4-C8F3-4D16-B95F-C33B1692A371}"/>
  <bookViews>
    <workbookView xWindow="-90" yWindow="0" windowWidth="9780" windowHeight="10170" tabRatio="542" firstSheet="7" activeTab="8" xr2:uid="{011AE079-A705-4DDE-A3BF-0740273E042E}"/>
  </bookViews>
  <sheets>
    <sheet name="orders" sheetId="2" r:id="rId1"/>
    <sheet name="customer model" sheetId="6" r:id="rId2"/>
    <sheet name="Sheet2" sheetId="7" r:id="rId3"/>
    <sheet name="Sheet3" sheetId="8" r:id="rId4"/>
    <sheet name="Sheet4" sheetId="9" r:id="rId5"/>
    <sheet name="Promo_Pivot" sheetId="14" r:id="rId6"/>
    <sheet name="Sheet6" sheetId="12" r:id="rId7"/>
    <sheet name="Sheet7" sheetId="15" r:id="rId8"/>
    <sheet name="Executive Summary" sheetId="16" r:id="rId9"/>
  </sheets>
  <definedNames>
    <definedName name="_xlcn.WorksheetConnection_customermodelA1M5891" hidden="1">'customer model'!$A$1:$M$589</definedName>
    <definedName name="_xlcn.WorksheetConnection_omg.xlsxTable11" hidden="1">Table1[]</definedName>
  </definedNames>
  <calcPr calcId="191029"/>
  <pivotCaches>
    <pivotCache cacheId="0" r:id="rId10"/>
    <pivotCache cacheId="1" r:id="rId11"/>
    <pivotCache cacheId="4" r:id="rId12"/>
    <pivotCache cacheId="25" r:id="rId13"/>
    <pivotCache cacheId="26" r:id="rId14"/>
    <pivotCache cacheId="30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omg.xlsx!Table1"/>
          <x15:modelTable id="Range" name="Range" connection="WorksheetConnection_customer model!$A$1:$M$58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5" l="1"/>
  <c r="G5" i="15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2" i="6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7" i="14"/>
  <c r="C488" i="14"/>
  <c r="C489" i="14"/>
  <c r="C490" i="14"/>
  <c r="C491" i="14"/>
  <c r="C492" i="14"/>
  <c r="C493" i="14"/>
  <c r="C494" i="14"/>
  <c r="C495" i="14"/>
  <c r="C496" i="14"/>
  <c r="C497" i="14"/>
  <c r="C498" i="14"/>
  <c r="C499" i="14"/>
  <c r="C500" i="14"/>
  <c r="C501" i="14"/>
  <c r="C502" i="14"/>
  <c r="C503" i="14"/>
  <c r="C504" i="14"/>
  <c r="C505" i="14"/>
  <c r="C506" i="14"/>
  <c r="C507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C523" i="14"/>
  <c r="C524" i="14"/>
  <c r="C525" i="14"/>
  <c r="C526" i="14"/>
  <c r="C527" i="14"/>
  <c r="C528" i="14"/>
  <c r="C529" i="14"/>
  <c r="C530" i="14"/>
  <c r="C531" i="14"/>
  <c r="C532" i="14"/>
  <c r="C533" i="14"/>
  <c r="C534" i="14"/>
  <c r="C535" i="14"/>
  <c r="C536" i="14"/>
  <c r="C537" i="14"/>
  <c r="C538" i="14"/>
  <c r="C539" i="14"/>
  <c r="C540" i="14"/>
  <c r="C541" i="14"/>
  <c r="C542" i="14"/>
  <c r="C543" i="14"/>
  <c r="C544" i="14"/>
  <c r="C545" i="14"/>
  <c r="C546" i="14"/>
  <c r="C547" i="14"/>
  <c r="C548" i="14"/>
  <c r="C549" i="14"/>
  <c r="C550" i="14"/>
  <c r="C551" i="14"/>
  <c r="C552" i="14"/>
  <c r="C553" i="14"/>
  <c r="C554" i="14"/>
  <c r="C555" i="14"/>
  <c r="C556" i="14"/>
  <c r="C557" i="14"/>
  <c r="C558" i="14"/>
  <c r="C559" i="14"/>
  <c r="C560" i="14"/>
  <c r="C561" i="14"/>
  <c r="C562" i="14"/>
  <c r="C563" i="14"/>
  <c r="C564" i="14"/>
  <c r="C565" i="14"/>
  <c r="C566" i="14"/>
  <c r="C567" i="14"/>
  <c r="C568" i="14"/>
  <c r="C569" i="14"/>
  <c r="C570" i="14"/>
  <c r="C571" i="14"/>
  <c r="C572" i="14"/>
  <c r="C573" i="14"/>
  <c r="C574" i="14"/>
  <c r="C575" i="14"/>
  <c r="C576" i="14"/>
  <c r="C577" i="14"/>
  <c r="C578" i="14"/>
  <c r="C579" i="14"/>
  <c r="C580" i="14"/>
  <c r="C581" i="14"/>
  <c r="C582" i="14"/>
  <c r="C583" i="14"/>
  <c r="C584" i="14"/>
  <c r="C585" i="14"/>
  <c r="C586" i="14"/>
  <c r="C587" i="14"/>
  <c r="C588" i="14"/>
  <c r="C589" i="14"/>
  <c r="C590" i="14"/>
  <c r="C591" i="14"/>
  <c r="C592" i="14"/>
  <c r="C4" i="1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2" i="2"/>
  <c r="C7" i="9"/>
  <c r="C8" i="9"/>
  <c r="C9" i="9"/>
  <c r="C10" i="9"/>
  <c r="C11" i="9"/>
  <c r="C12" i="9"/>
  <c r="C13" i="9"/>
  <c r="C14" i="9"/>
  <c r="C6" i="9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2" i="6"/>
  <c r="O9" i="6"/>
  <c r="O8" i="6"/>
  <c r="O7" i="6"/>
  <c r="O6" i="6"/>
  <c r="O5" i="6"/>
  <c r="O4" i="6"/>
  <c r="O3" i="6"/>
  <c r="O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2" i="6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A8E206-3D5E-421E-A132-26D1CF9121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B7182C8-A737-44C2-BB90-011F23D40374}" name="WorksheetConnection_customer model!$A$1:$M$58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ustomermodelA1M5891"/>
        </x15:connection>
      </ext>
    </extLst>
  </connection>
  <connection id="3" xr16:uid="{F076EF28-76E0-40E4-B81F-8B32968A9A23}" name="WorksheetConnection_omg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omg.xlsxTable11"/>
        </x15:connection>
      </ext>
    </extLst>
  </connection>
</connections>
</file>

<file path=xl/sharedStrings.xml><?xml version="1.0" encoding="utf-8"?>
<sst xmlns="http://schemas.openxmlformats.org/spreadsheetml/2006/main" count="16946" uniqueCount="2348">
  <si>
    <t>Order_ID</t>
  </si>
  <si>
    <t>Order_Date</t>
  </si>
  <si>
    <t>City</t>
  </si>
  <si>
    <t>Area</t>
  </si>
  <si>
    <t>Restaurant_Name</t>
  </si>
  <si>
    <t>Cuisine_Type</t>
  </si>
  <si>
    <t>Item_Name</t>
  </si>
  <si>
    <t>Food_Type</t>
  </si>
  <si>
    <t>Quantity</t>
  </si>
  <si>
    <t>Price</t>
  </si>
  <si>
    <t>Total_Amount</t>
  </si>
  <si>
    <t>Delivery_Time (mins)</t>
  </si>
  <si>
    <t>Payment_Mode</t>
  </si>
  <si>
    <t>Customer_Rating</t>
  </si>
  <si>
    <t>O0001</t>
  </si>
  <si>
    <t>Chennai</t>
  </si>
  <si>
    <t>Anna Nagar</t>
  </si>
  <si>
    <t>Café Delight</t>
  </si>
  <si>
    <t>Italian</t>
  </si>
  <si>
    <t>Momos</t>
  </si>
  <si>
    <t>Veg</t>
  </si>
  <si>
    <t>UPI</t>
  </si>
  <si>
    <t>O0002</t>
  </si>
  <si>
    <t>Velachery</t>
  </si>
  <si>
    <t>Grill Masters</t>
  </si>
  <si>
    <t>Chinese</t>
  </si>
  <si>
    <t>Pasta</t>
  </si>
  <si>
    <t>O0003</t>
  </si>
  <si>
    <t>Mumbai</t>
  </si>
  <si>
    <t>Dadar</t>
  </si>
  <si>
    <t>Burger Hub</t>
  </si>
  <si>
    <t>North Indian</t>
  </si>
  <si>
    <t>Veg Burger</t>
  </si>
  <si>
    <t>COD</t>
  </si>
  <si>
    <t>O0004</t>
  </si>
  <si>
    <t>Tandoori Tales</t>
  </si>
  <si>
    <t>South Indian</t>
  </si>
  <si>
    <t>Masala Dosa</t>
  </si>
  <si>
    <t>Card</t>
  </si>
  <si>
    <t>O0005</t>
  </si>
  <si>
    <t>Andheri</t>
  </si>
  <si>
    <t>Chinese Bowl</t>
  </si>
  <si>
    <t>O0006</t>
  </si>
  <si>
    <t>Delhi</t>
  </si>
  <si>
    <t>Connaught Place</t>
  </si>
  <si>
    <t>Urban Meals</t>
  </si>
  <si>
    <t>Indian</t>
  </si>
  <si>
    <t>O0007</t>
  </si>
  <si>
    <t>Hyderabad</t>
  </si>
  <si>
    <t>Begumpet</t>
  </si>
  <si>
    <t>Fried Rice</t>
  </si>
  <si>
    <t>O0008</t>
  </si>
  <si>
    <t>Rohini</t>
  </si>
  <si>
    <t>Sandwich</t>
  </si>
  <si>
    <t>O0009</t>
  </si>
  <si>
    <t>Pizza</t>
  </si>
  <si>
    <t>O0010</t>
  </si>
  <si>
    <t>Bangalore</t>
  </si>
  <si>
    <t>BTM Layout</t>
  </si>
  <si>
    <t>Chicken Biryani</t>
  </si>
  <si>
    <t>Non-Veg</t>
  </si>
  <si>
    <t>O0011</t>
  </si>
  <si>
    <t>Whitefield</t>
  </si>
  <si>
    <t>O0012</t>
  </si>
  <si>
    <t>Kukatpally</t>
  </si>
  <si>
    <t>South Spice</t>
  </si>
  <si>
    <t>Paneer Tikka</t>
  </si>
  <si>
    <t>O0013</t>
  </si>
  <si>
    <t>Madhapur</t>
  </si>
  <si>
    <t>Sandwich Stop</t>
  </si>
  <si>
    <t>O0014</t>
  </si>
  <si>
    <t>Bandra</t>
  </si>
  <si>
    <t>Biryani House</t>
  </si>
  <si>
    <t>Fast Food</t>
  </si>
  <si>
    <t>O0015</t>
  </si>
  <si>
    <t>Indiranagar</t>
  </si>
  <si>
    <t>O0016</t>
  </si>
  <si>
    <t>Goregaon</t>
  </si>
  <si>
    <t>O0017</t>
  </si>
  <si>
    <t>O0018</t>
  </si>
  <si>
    <t>O0019</t>
  </si>
  <si>
    <t>O0020</t>
  </si>
  <si>
    <t>Karol Bagh</t>
  </si>
  <si>
    <t>O0021</t>
  </si>
  <si>
    <t>O0022</t>
  </si>
  <si>
    <t>Pizza Planet</t>
  </si>
  <si>
    <t>O0023</t>
  </si>
  <si>
    <t>O0024</t>
  </si>
  <si>
    <t>O0025</t>
  </si>
  <si>
    <t>O0026</t>
  </si>
  <si>
    <t>O0027</t>
  </si>
  <si>
    <t>O0028</t>
  </si>
  <si>
    <t>O0029</t>
  </si>
  <si>
    <t>Dwarka</t>
  </si>
  <si>
    <t>O0030</t>
  </si>
  <si>
    <t>T Nagar</t>
  </si>
  <si>
    <t>O0031</t>
  </si>
  <si>
    <t>O0032</t>
  </si>
  <si>
    <t>Powai</t>
  </si>
  <si>
    <t>O0033</t>
  </si>
  <si>
    <t>O0034</t>
  </si>
  <si>
    <t>O0035</t>
  </si>
  <si>
    <t>O0036</t>
  </si>
  <si>
    <t>Adyar</t>
  </si>
  <si>
    <t>O0037</t>
  </si>
  <si>
    <t>Jayanagar</t>
  </si>
  <si>
    <t>O0038</t>
  </si>
  <si>
    <t>O0039</t>
  </si>
  <si>
    <t>O0040</t>
  </si>
  <si>
    <t>O0041</t>
  </si>
  <si>
    <t>Saket</t>
  </si>
  <si>
    <t>O0042</t>
  </si>
  <si>
    <t>Tambaram</t>
  </si>
  <si>
    <t>O0043</t>
  </si>
  <si>
    <t>O0044</t>
  </si>
  <si>
    <t>O0045</t>
  </si>
  <si>
    <t>O0046</t>
  </si>
  <si>
    <t>O0047</t>
  </si>
  <si>
    <t>O0048</t>
  </si>
  <si>
    <t>O0049</t>
  </si>
  <si>
    <t>Chicken Roll</t>
  </si>
  <si>
    <t>O0050</t>
  </si>
  <si>
    <t>O0051</t>
  </si>
  <si>
    <t>O0052</t>
  </si>
  <si>
    <t>O0053</t>
  </si>
  <si>
    <t>O0054</t>
  </si>
  <si>
    <t>O0055</t>
  </si>
  <si>
    <t>Secunderabad</t>
  </si>
  <si>
    <t>O0056</t>
  </si>
  <si>
    <t>O0057</t>
  </si>
  <si>
    <t>O0058</t>
  </si>
  <si>
    <t>O0059</t>
  </si>
  <si>
    <t>Banjara Hills</t>
  </si>
  <si>
    <t>O0060</t>
  </si>
  <si>
    <t>O0061</t>
  </si>
  <si>
    <t>O0062</t>
  </si>
  <si>
    <t>Koramangala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</si>
  <si>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</si>
  <si>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</si>
  <si>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</si>
  <si>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</si>
  <si>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</si>
  <si>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</si>
  <si>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</si>
  <si>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</si>
  <si>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</si>
  <si>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</si>
  <si>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</si>
  <si>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</si>
  <si>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</si>
  <si>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</si>
  <si>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</si>
  <si>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</si>
  <si>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</si>
  <si>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</si>
  <si>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</si>
  <si>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</si>
  <si>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</si>
  <si>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</si>
  <si>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</si>
  <si>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</si>
  <si>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</si>
  <si>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</si>
  <si>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</si>
  <si>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</si>
  <si>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</si>
  <si>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</si>
  <si>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</si>
  <si>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</si>
  <si>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</si>
  <si>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</si>
  <si>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</si>
  <si>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</si>
  <si>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</si>
  <si>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</si>
  <si>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</si>
  <si>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</si>
  <si>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</si>
  <si>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</si>
  <si>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</si>
  <si>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</si>
  <si>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</si>
  <si>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</si>
  <si>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</si>
  <si>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</si>
  <si>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</si>
  <si>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</si>
  <si>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</si>
  <si>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</si>
  <si>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</si>
  <si>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</si>
  <si>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</si>
  <si>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</si>
  <si>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</si>
  <si>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</si>
  <si>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</si>
  <si>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</si>
  <si>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</si>
  <si>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</si>
  <si>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</si>
  <si>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</si>
  <si>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</si>
  <si>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</si>
  <si>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</si>
  <si>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</si>
  <si>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</si>
  <si>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</si>
  <si>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</si>
  <si>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</si>
  <si>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</si>
  <si>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</si>
  <si>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</si>
  <si>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</si>
  <si>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</si>
  <si>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</si>
  <si>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</si>
  <si>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</si>
  <si>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</si>
  <si>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</si>
  <si>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</si>
  <si>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</si>
  <si>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</si>
  <si>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</si>
  <si>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</si>
  <si>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</si>
  <si>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</si>
  <si>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</si>
  <si>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</si>
  <si>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</si>
  <si>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</si>
  <si>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</si>
  <si>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</si>
  <si>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</si>
  <si>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</si>
  <si>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</si>
  <si>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</si>
  <si>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</si>
  <si>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</si>
  <si>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</si>
  <si>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</si>
  <si>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</si>
  <si>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</si>
  <si>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</si>
  <si>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</si>
  <si>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</si>
  <si>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</si>
  <si>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</si>
  <si>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</si>
  <si>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</si>
  <si>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</si>
  <si>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</si>
  <si>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</si>
  <si>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</si>
  <si>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</si>
  <si>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</si>
  <si>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</si>
  <si>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</si>
  <si>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</si>
  <si>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</si>
  <si>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</si>
  <si>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</si>
  <si>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</si>
  <si>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</si>
  <si>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</si>
  <si>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</si>
  <si>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</si>
  <si>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</si>
  <si>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</si>
  <si>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</si>
  <si>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</si>
  <si>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</si>
  <si>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</si>
  <si>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</si>
  <si>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</si>
  <si>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</si>
  <si>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</si>
  <si>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</si>
  <si>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</si>
  <si>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</si>
  <si>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</si>
  <si>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</si>
  <si>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</si>
  <si>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</si>
  <si>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</si>
  <si>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</si>
  <si>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</si>
  <si>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</si>
  <si>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</si>
  <si>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</si>
  <si>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</si>
  <si>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</si>
  <si>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</si>
  <si>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</si>
  <si>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</si>
  <si>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</si>
  <si>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</si>
  <si>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</si>
  <si>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</si>
  <si>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</si>
  <si>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</si>
  <si>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</si>
  <si>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</si>
  <si>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</si>
  <si>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</si>
  <si>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</si>
  <si>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</si>
  <si>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</si>
  <si>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</si>
  <si>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</si>
  <si>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</si>
  <si>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</si>
  <si>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</si>
  <si>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</si>
  <si>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</si>
  <si>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</si>
  <si>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</si>
  <si>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</si>
  <si>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</si>
  <si>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</si>
  <si>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</si>
  <si>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</si>
  <si>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</si>
  <si>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</si>
  <si>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</si>
  <si>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</si>
  <si>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</si>
  <si>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</si>
  <si>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</si>
  <si>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</si>
  <si>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</si>
  <si>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</si>
  <si>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</si>
  <si>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</si>
  <si>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</si>
  <si>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</si>
  <si>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</si>
  <si>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</si>
  <si>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</si>
  <si>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</si>
  <si>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</si>
  <si>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</si>
  <si>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</si>
  <si>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</si>
  <si>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</si>
  <si>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</si>
  <si>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</si>
  <si>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</si>
  <si>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</si>
  <si>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</si>
  <si>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</si>
  <si>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</si>
  <si>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</si>
  <si>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</si>
  <si>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</si>
  <si>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</si>
  <si>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</si>
  <si>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</si>
  <si>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</si>
  <si>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</si>
  <si>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</si>
  <si>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</si>
  <si>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</si>
  <si>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</si>
  <si>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</si>
  <si>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</si>
  <si>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</si>
  <si>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</si>
  <si>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</si>
  <si>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</si>
  <si>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</si>
  <si>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</si>
  <si>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</si>
  <si>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</si>
  <si>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</si>
  <si>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</si>
  <si>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</si>
  <si>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</si>
  <si>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</si>
  <si>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</si>
  <si>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</si>
  <si>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</si>
  <si>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</si>
  <si>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</si>
  <si>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</si>
  <si>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</si>
  <si>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</si>
  <si>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</si>
  <si>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</si>
  <si>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</si>
  <si>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</si>
  <si>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</si>
  <si>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</si>
  <si>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</si>
  <si>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</si>
  <si>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</si>
  <si>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</si>
  <si>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</si>
  <si>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</si>
  <si>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</si>
  <si>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</si>
  <si>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</si>
  <si>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</si>
  <si>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</si>
  <si>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</si>
  <si>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</si>
  <si>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</si>
  <si>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</si>
  <si>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</si>
  <si>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</si>
  <si>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</si>
  <si>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</si>
  <si>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</si>
  <si>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</si>
  <si>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</si>
  <si>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</si>
  <si>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</si>
  <si>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</si>
  <si>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</si>
  <si>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</si>
  <si>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</si>
  <si>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</si>
  <si>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</si>
  <si>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</si>
  <si>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</si>
  <si>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</si>
  <si>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</si>
  <si>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</si>
  <si>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</si>
  <si>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</si>
  <si>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</si>
  <si>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</si>
  <si>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</si>
  <si>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</si>
  <si>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</si>
  <si>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</si>
  <si>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</si>
  <si>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</si>
  <si>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</si>
  <si>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</si>
  <si>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</si>
  <si>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</si>
  <si>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</si>
  <si>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</si>
  <si>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</si>
  <si>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</si>
  <si>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</si>
  <si>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</si>
  <si>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</si>
  <si>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</si>
  <si>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</si>
  <si>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</si>
  <si>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</si>
  <si>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</si>
  <si>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</si>
  <si>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</si>
  <si>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</si>
  <si>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</si>
  <si>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</si>
  <si>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</si>
  <si>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</si>
  <si>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</si>
  <si>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</si>
  <si>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</si>
  <si>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</si>
  <si>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</si>
  <si>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</si>
  <si>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</si>
  <si>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</si>
  <si>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</si>
  <si>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</si>
  <si>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</si>
  <si>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</si>
  <si>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</si>
  <si>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</si>
  <si>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</si>
  <si>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</si>
  <si>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</si>
  <si>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</si>
  <si>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</si>
  <si>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</si>
  <si>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</si>
  <si>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</si>
  <si>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</si>
  <si>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</si>
  <si>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</si>
  <si>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</si>
  <si>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</si>
  <si>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</si>
  <si>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</si>
  <si>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</si>
  <si>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</si>
  <si>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</si>
  <si>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</si>
  <si>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</si>
  <si>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</si>
  <si>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</si>
  <si>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</si>
  <si>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</si>
  <si>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</si>
  <si>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</si>
  <si>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</si>
  <si>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</si>
  <si>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</si>
  <si>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</si>
  <si>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</si>
  <si>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</si>
  <si>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</si>
  <si>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</si>
  <si>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</si>
  <si>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</si>
  <si>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</si>
  <si>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</si>
  <si>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</si>
  <si>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</si>
  <si>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</si>
  <si>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</si>
  <si>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</si>
  <si>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</si>
  <si>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</si>
  <si>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</si>
  <si>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</si>
  <si>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</si>
  <si>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</si>
  <si>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</si>
  <si>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</si>
  <si>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</si>
  <si>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</si>
  <si>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</si>
  <si>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</si>
  <si>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</si>
  <si>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</si>
  <si>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</si>
  <si>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</si>
  <si>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</si>
  <si>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</si>
  <si>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</si>
  <si>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</si>
  <si>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</si>
  <si>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</si>
  <si>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</si>
  <si>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</si>
  <si>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</si>
  <si>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</si>
  <si>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</si>
  <si>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</si>
  <si>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</si>
  <si>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</si>
  <si>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</si>
  <si>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</si>
  <si>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</si>
  <si>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</si>
  <si>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</si>
  <si>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</si>
  <si>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</si>
  <si>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</si>
  <si>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</si>
  <si>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</si>
  <si>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</si>
  <si>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</si>
  <si>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</si>
  <si>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</si>
  <si>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</si>
  <si>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</si>
  <si>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</si>
  <si>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</si>
  <si>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</si>
  <si>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</si>
  <si>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</si>
  <si>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</si>
  <si>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</si>
  <si>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</si>
  <si>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</si>
  <si>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</si>
  <si>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</si>
  <si>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</si>
  <si>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</si>
  <si>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</si>
  <si>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</si>
  <si>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</si>
  <si>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</si>
  <si>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</si>
  <si>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</si>
  <si>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</si>
  <si>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</si>
  <si>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</si>
  <si>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</si>
  <si>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</si>
  <si>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</si>
  <si>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</si>
  <si>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</si>
  <si>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</si>
  <si>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</si>
  <si>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</si>
  <si>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</si>
  <si>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</si>
  <si>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</si>
  <si>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</si>
  <si>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</si>
  <si>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</si>
  <si>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</si>
  <si>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</si>
  <si>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</si>
  <si>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</si>
  <si>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</si>
  <si>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</si>
  <si>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</si>
  <si>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</si>
  <si>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</si>
  <si>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</si>
  <si>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</si>
  <si>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</si>
  <si>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</si>
  <si>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</si>
  <si>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</si>
  <si>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</si>
  <si>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</si>
  <si>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</si>
  <si>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</si>
  <si>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</si>
  <si>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</si>
  <si>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</si>
  <si>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</si>
  <si>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</si>
  <si>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</si>
  <si>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</si>
  <si>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</si>
  <si>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</si>
  <si>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</si>
  <si>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</si>
  <si>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</si>
  <si>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</si>
  <si>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</si>
  <si>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</si>
  <si>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</si>
  <si>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</si>
  <si>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</si>
  <si>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</si>
  <si>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</si>
  <si>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</si>
  <si>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</si>
  <si>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</si>
  <si>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</si>
  <si>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</si>
  <si>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</si>
  <si>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</si>
  <si>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</si>
  <si>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</si>
  <si>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</si>
  <si>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</si>
  <si>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</si>
  <si>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</si>
  <si>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</si>
  <si>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</si>
  <si>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</si>
  <si>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</si>
  <si>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</si>
  <si>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</si>
  <si>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</si>
  <si>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</si>
  <si>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</si>
  <si>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</si>
  <si>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</si>
  <si>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</si>
  <si>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</si>
  <si>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</si>
  <si>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</si>
  <si>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</si>
  <si>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</si>
  <si>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</si>
  <si>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</si>
  <si>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</si>
  <si>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</si>
  <si>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</si>
  <si>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</si>
  <si>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</si>
  <si>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</si>
  <si>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</si>
  <si>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</si>
  <si>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</si>
  <si>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</si>
  <si>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</si>
  <si>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</si>
  <si>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</si>
  <si>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</si>
  <si>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</si>
  <si>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</si>
  <si>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</si>
  <si>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</si>
  <si>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</si>
  <si>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</si>
  <si>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</si>
  <si>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</si>
  <si>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</si>
  <si>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</si>
  <si>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</si>
  <si>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</si>
  <si>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</si>
  <si>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</si>
  <si>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</si>
  <si>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</si>
  <si>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</si>
  <si>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</si>
  <si>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</si>
  <si>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</si>
  <si>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</si>
  <si>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</si>
  <si>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</si>
  <si>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</si>
  <si>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</si>
  <si>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</si>
  <si>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</si>
  <si>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</si>
  <si>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</si>
  <si>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</si>
  <si>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</si>
  <si>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</si>
  <si>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</si>
  <si>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</si>
  <si>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</si>
  <si>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</si>
  <si>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</si>
  <si>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</si>
  <si>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</si>
  <si>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</si>
  <si>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</si>
  <si>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</si>
  <si>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</si>
  <si>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</si>
  <si>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</si>
  <si>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</si>
  <si>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</si>
  <si>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</si>
  <si>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</si>
  <si>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</si>
  <si>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</si>
  <si>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</si>
  <si>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</si>
  <si>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</si>
  <si>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</si>
  <si>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</si>
  <si>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</si>
  <si>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</si>
  <si>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</si>
  <si>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</si>
  <si>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</si>
  <si>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</si>
  <si>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</si>
  <si>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</si>
  <si>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</si>
  <si>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</si>
  <si>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</si>
  <si>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</si>
  <si>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</si>
  <si>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</si>
  <si>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</si>
  <si>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</si>
  <si>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</si>
  <si>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</si>
  <si>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</si>
  <si>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</si>
  <si>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</si>
  <si>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</si>
  <si>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</si>
  <si>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</si>
  <si>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</si>
  <si>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</si>
  <si>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</si>
  <si>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</si>
  <si>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</si>
  <si>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</si>
  <si>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</si>
  <si>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</si>
  <si>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</si>
  <si>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</si>
  <si>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</si>
  <si>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</si>
  <si>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</si>
  <si>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</si>
  <si>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</si>
  <si>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</si>
  <si>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</si>
  <si>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</si>
  <si>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</si>
  <si>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</si>
  <si>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</si>
  <si>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</si>
  <si>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</si>
  <si>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</si>
  <si>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</si>
  <si>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</si>
  <si>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</si>
  <si>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</si>
  <si>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</si>
  <si>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</si>
  <si>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</si>
  <si>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</si>
  <si>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</si>
  <si>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</si>
  <si>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</si>
  <si>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</si>
  <si>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</si>
  <si>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</si>
  <si>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</si>
  <si>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</si>
  <si>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</si>
  <si>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</si>
  <si>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</si>
  <si>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</si>
  <si>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</si>
  <si>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</si>
  <si>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</si>
  <si>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</si>
  <si>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</si>
  <si>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</si>
  <si>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</si>
  <si>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</si>
  <si>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</si>
  <si>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</si>
  <si>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</si>
  <si>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</si>
  <si>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</si>
  <si>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</si>
  <si>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</si>
  <si>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</si>
  <si>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</si>
  <si>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</si>
  <si>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</si>
  <si>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</si>
  <si>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</si>
  <si>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</si>
  <si>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</si>
  <si>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</si>
  <si>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</si>
  <si>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</si>
  <si>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</si>
  <si>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</si>
  <si>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</si>
  <si>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</si>
  <si>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</si>
  <si>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</si>
  <si>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</si>
  <si>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</si>
  <si>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</si>
  <si>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</si>
  <si>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</si>
  <si>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</si>
  <si>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</si>
  <si>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</si>
  <si>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</si>
  <si>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</si>
  <si>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</si>
  <si>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</si>
  <si>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</si>
  <si>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</si>
  <si>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</si>
  <si>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</si>
  <si>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</si>
  <si>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</si>
  <si>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</si>
  <si>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</si>
  <si>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</si>
  <si>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</si>
  <si>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</si>
  <si>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</si>
  <si>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</si>
  <si>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</si>
  <si>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</si>
  <si>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</si>
  <si>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</si>
  <si>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</si>
  <si>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</si>
  <si>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</si>
  <si>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</si>
  <si>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</si>
  <si>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</si>
  <si>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</si>
  <si>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</si>
  <si>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</si>
  <si>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</si>
  <si>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</si>
  <si>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</si>
  <si>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</si>
  <si>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</si>
  <si>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</si>
  <si>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</si>
  <si>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</si>
  <si>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</si>
  <si>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</si>
  <si>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</si>
  <si>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</si>
  <si>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</si>
  <si>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</si>
  <si>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</si>
  <si>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</si>
  <si>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</si>
  <si>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</si>
  <si>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</si>
  <si>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</si>
  <si>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</si>
  <si>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</si>
  <si>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</si>
  <si>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</si>
  <si>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</si>
  <si>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</si>
  <si>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</si>
  <si>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</si>
  <si>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</si>
  <si>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</si>
  <si>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</si>
  <si>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</si>
  <si>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</si>
  <si>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</si>
  <si>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</si>
  <si>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</si>
  <si>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</si>
  <si>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</si>
  <si>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</si>
  <si>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</si>
  <si>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</si>
  <si>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</si>
  <si>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</si>
  <si>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</si>
  <si>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</si>
  <si>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</si>
  <si>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</si>
  <si>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</si>
  <si>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</si>
  <si>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</si>
  <si>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</si>
  <si>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</si>
  <si>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</si>
  <si>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</si>
  <si>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</si>
  <si>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</si>
  <si>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</si>
  <si>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</si>
  <si>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</si>
  <si>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</si>
  <si>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</si>
  <si>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</si>
  <si>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</si>
  <si>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</si>
  <si>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</si>
  <si>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</si>
  <si>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</si>
  <si>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</si>
  <si>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</si>
  <si>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</si>
  <si>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</si>
  <si>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</si>
  <si>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</si>
  <si>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</si>
  <si>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</si>
  <si>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</si>
  <si>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</si>
  <si>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</si>
  <si>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</si>
  <si>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</si>
  <si>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</si>
  <si>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</si>
  <si>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</si>
  <si>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</si>
  <si>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</si>
  <si>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</si>
  <si>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</si>
  <si>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</si>
  <si>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</si>
  <si>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</si>
  <si>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</si>
  <si>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</si>
  <si>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</si>
  <si>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</si>
  <si>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</si>
  <si>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</si>
  <si>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</si>
  <si>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</si>
  <si>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</si>
  <si>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</si>
  <si>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</si>
  <si>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</si>
  <si>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</si>
  <si>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</si>
  <si>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</si>
  <si>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</si>
  <si>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</si>
  <si>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</si>
  <si>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</si>
  <si>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</si>
  <si>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</si>
  <si>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</si>
  <si>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</si>
  <si>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</si>
  <si>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</si>
  <si>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</si>
  <si>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</si>
  <si>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</si>
  <si>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</si>
  <si>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</si>
  <si>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</si>
  <si>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</si>
  <si>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</si>
  <si>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</si>
  <si>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</si>
  <si>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</si>
  <si>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</si>
  <si>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</si>
  <si>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</si>
  <si>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</si>
  <si>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</si>
  <si>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</si>
  <si>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</si>
  <si>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</si>
  <si>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</si>
  <si>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</si>
  <si>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</si>
  <si>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</si>
  <si>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</si>
  <si>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</si>
  <si>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</si>
  <si>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</si>
  <si>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</si>
  <si>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</si>
  <si>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</si>
  <si>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</si>
  <si>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</si>
  <si>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</si>
  <si>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</si>
  <si>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</si>
  <si>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</si>
  <si>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</si>
  <si>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</si>
  <si>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</si>
  <si>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</si>
  <si>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</si>
  <si>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</si>
  <si>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</si>
  <si>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</si>
  <si>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</si>
  <si>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</si>
  <si>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</si>
  <si>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</si>
  <si>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</si>
  <si>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</si>
  <si>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</si>
  <si>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</si>
  <si>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</si>
  <si>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</si>
  <si>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</si>
  <si>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</si>
  <si>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</si>
  <si>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</si>
  <si>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</si>
  <si>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</si>
  <si>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</si>
  <si>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</si>
  <si>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</si>
  <si>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</si>
  <si>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</si>
  <si>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</si>
  <si>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</si>
  <si>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</si>
  <si>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</si>
  <si>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</si>
  <si>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</si>
  <si>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</si>
  <si>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</si>
  <si>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</si>
  <si>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</si>
  <si>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</si>
  <si>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</si>
  <si>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</si>
  <si>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</si>
  <si>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</si>
  <si>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</si>
  <si>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</si>
  <si>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</si>
  <si>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</si>
  <si>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</si>
  <si>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</si>
  <si>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</si>
  <si>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</si>
  <si>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</si>
  <si>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</si>
  <si>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</si>
  <si>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</si>
  <si>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</si>
  <si>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</si>
  <si>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</si>
  <si>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</si>
  <si>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</si>
  <si>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</si>
  <si>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</si>
  <si>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</si>
  <si>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</si>
  <si>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</si>
  <si>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</si>
  <si>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</si>
  <si>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</si>
  <si>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</si>
  <si>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</si>
  <si>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</si>
  <si>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</si>
  <si>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</si>
  <si>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</si>
  <si>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</si>
  <si>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</si>
  <si>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</si>
  <si>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</si>
  <si>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</si>
  <si>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</si>
  <si>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</si>
  <si>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</si>
  <si>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</si>
  <si>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</si>
  <si>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</si>
  <si>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</si>
  <si>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</si>
  <si>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</si>
  <si>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</si>
  <si>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</si>
  <si>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</si>
  <si>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</si>
  <si>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</si>
  <si>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</si>
  <si>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</si>
  <si>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</si>
  <si>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</si>
  <si>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</si>
  <si>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</si>
  <si>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</si>
  <si>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</si>
  <si>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</si>
  <si>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</si>
  <si>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</si>
  <si>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</si>
  <si>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</si>
  <si>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</si>
  <si>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</si>
  <si>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</si>
  <si>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</si>
  <si>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</si>
  <si>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</si>
  <si>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</si>
  <si>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</si>
  <si>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</si>
  <si>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</si>
  <si>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</si>
  <si>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</si>
  <si>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</si>
  <si>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</si>
  <si>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</si>
  <si>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</si>
  <si>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</si>
  <si>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</si>
  <si>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</si>
  <si>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</si>
  <si>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</si>
  <si>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</si>
  <si>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</si>
  <si>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</si>
  <si>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</si>
  <si>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</si>
  <si>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</si>
  <si>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</si>
  <si>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</si>
  <si>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</si>
  <si>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</si>
  <si>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</si>
  <si>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</si>
  <si>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</si>
  <si>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</si>
  <si>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</si>
  <si>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</si>
  <si>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</si>
  <si>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</si>
  <si>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</si>
  <si>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</si>
  <si>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</si>
  <si>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</si>
  <si>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</si>
  <si>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</si>
  <si>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</si>
  <si>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</si>
  <si>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</si>
  <si>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</si>
  <si>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</si>
  <si>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</si>
  <si>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</si>
  <si>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</si>
  <si>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</si>
  <si>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</si>
  <si>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</si>
  <si>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</si>
  <si>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</si>
  <si>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</si>
  <si>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</si>
  <si>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</si>
  <si>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</si>
  <si>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</si>
  <si>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</si>
  <si>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</si>
  <si>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</si>
  <si>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</si>
  <si>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</si>
  <si>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</si>
  <si>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</si>
  <si>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</si>
  <si>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</si>
  <si>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</si>
  <si>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</si>
  <si>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</si>
  <si>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</si>
  <si>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</si>
  <si>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</si>
  <si>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</si>
  <si>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</si>
  <si>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</si>
  <si>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</si>
  <si>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</si>
  <si>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</si>
  <si>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</si>
  <si>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</si>
  <si>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</si>
  <si>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</si>
  <si>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</si>
  <si>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</si>
  <si>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</si>
  <si>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</si>
  <si>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</si>
  <si>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</si>
  <si>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</si>
  <si>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</si>
  <si>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</si>
  <si>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</si>
  <si>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</si>
  <si>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</si>
  <si>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</si>
  <si>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</si>
  <si>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</si>
  <si>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</si>
  <si>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</si>
  <si>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</si>
  <si>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</si>
  <si>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</si>
  <si>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</si>
  <si>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</si>
  <si>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</si>
  <si>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</si>
  <si>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</si>
  <si>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</si>
  <si>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</si>
  <si>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</si>
  <si>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</si>
  <si>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</si>
  <si>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</si>
  <si>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</si>
  <si>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</si>
  <si>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</si>
  <si>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</si>
  <si>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</si>
  <si>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</si>
  <si>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</si>
  <si>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</si>
  <si>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</si>
  <si>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</si>
  <si>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</si>
  <si>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</si>
  <si>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</si>
  <si>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</si>
  <si>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</si>
  <si>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</si>
  <si>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</si>
  <si>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</si>
  <si>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</si>
  <si>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</si>
  <si>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</si>
  <si>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</si>
  <si>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</si>
  <si>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</si>
  <si>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</si>
  <si>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</si>
  <si>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</si>
  <si>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</si>
  <si>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</si>
  <si>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</si>
  <si>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</si>
  <si>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</si>
  <si>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</si>
  <si>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</si>
  <si>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</si>
  <si>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</si>
  <si>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</si>
  <si>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</si>
  <si>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</si>
  <si>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</si>
  <si>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</si>
  <si>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</si>
  <si>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</si>
  <si>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</si>
  <si>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</si>
  <si>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</si>
  <si>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</si>
  <si>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</si>
  <si>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</si>
  <si>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</si>
  <si>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</si>
  <si>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</si>
  <si>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</si>
  <si>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</si>
  <si>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</si>
  <si>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</si>
  <si>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</si>
  <si>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</si>
  <si>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</si>
  <si>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</si>
  <si>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</si>
  <si>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</si>
  <si>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</si>
  <si>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</si>
  <si>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</si>
  <si>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</si>
  <si>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</si>
  <si>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</si>
  <si>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</si>
  <si>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</si>
  <si>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</si>
  <si>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</si>
  <si>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</si>
  <si>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</si>
  <si>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</si>
  <si>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</si>
  <si>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</si>
  <si>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</si>
  <si>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</si>
  <si>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</si>
  <si>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</si>
  <si>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</si>
  <si>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</si>
  <si>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</si>
  <si>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</si>
  <si>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</si>
  <si>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</si>
  <si>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</si>
  <si>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</si>
  <si>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</si>
  <si>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</si>
  <si>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</si>
  <si>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</si>
  <si>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</si>
  <si>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</si>
  <si>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</si>
  <si>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</si>
  <si>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</si>
  <si>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</si>
  <si>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</si>
  <si>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</si>
  <si>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</si>
  <si>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</si>
  <si>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</si>
  <si>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</si>
  <si>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</si>
  <si>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</si>
  <si>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</si>
  <si>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</si>
  <si>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</si>
  <si>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</si>
  <si>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</si>
  <si>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</si>
  <si>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</si>
  <si>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</si>
  <si>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</si>
  <si>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</si>
  <si>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</si>
  <si>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</si>
  <si>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</si>
  <si>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</si>
  <si>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</si>
  <si>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</si>
  <si>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</si>
  <si>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</si>
  <si>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</si>
  <si>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</si>
  <si>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</si>
  <si>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</si>
  <si>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</si>
  <si>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</si>
  <si>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</si>
  <si>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</si>
  <si>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</si>
  <si>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</si>
  <si>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</si>
  <si>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</si>
  <si>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</si>
  <si>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</si>
  <si>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</si>
  <si>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</si>
  <si>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</si>
  <si>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</si>
  <si>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</si>
  <si>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</si>
  <si>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</si>
  <si>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</si>
  <si>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</si>
  <si>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</si>
  <si>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</si>
  <si>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</si>
  <si>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</si>
  <si>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</si>
  <si>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</si>
  <si>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</si>
  <si>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</si>
  <si>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</si>
  <si>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</si>
  <si>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</si>
  <si>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</si>
  <si>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</si>
  <si>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</si>
  <si>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</si>
  <si>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</si>
  <si>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</si>
  <si>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</si>
  <si>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</si>
  <si>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</si>
  <si>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</si>
  <si>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</si>
  <si>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</si>
  <si>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</si>
  <si>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</si>
  <si>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</si>
  <si>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</si>
  <si>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</si>
  <si>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</si>
  <si>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</si>
  <si>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</si>
  <si>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</si>
  <si>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</si>
  <si>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</si>
  <si>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</si>
  <si>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</si>
  <si>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</si>
  <si>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</si>
  <si>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</si>
  <si>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</si>
  <si>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</si>
  <si>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</si>
  <si>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</si>
  <si>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</si>
  <si>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</si>
  <si>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</si>
  <si>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</si>
  <si>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</si>
  <si>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</si>
  <si>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</si>
  <si>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</si>
  <si>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</si>
  <si>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</si>
  <si>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</si>
  <si>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</si>
  <si>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</si>
  <si>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</si>
  <si>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</si>
  <si>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</si>
  <si>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</si>
  <si>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</si>
  <si>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</si>
  <si>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</si>
  <si>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</si>
  <si>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</si>
  <si>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</si>
  <si>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</si>
  <si>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</si>
  <si>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</si>
  <si>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</si>
  <si>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</si>
  <si>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</si>
  <si>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</si>
  <si>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</si>
  <si>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</si>
  <si>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</si>
  <si>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</si>
  <si>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</si>
  <si>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</si>
  <si>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</si>
  <si>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</si>
  <si>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</si>
  <si>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</si>
  <si>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</si>
  <si>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</si>
  <si>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</si>
  <si>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</si>
  <si>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</si>
  <si>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</si>
  <si>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</si>
  <si>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</si>
  <si>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</si>
  <si>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</si>
  <si>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</si>
  <si>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</si>
  <si>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</si>
  <si>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</si>
  <si>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</si>
  <si>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</si>
  <si>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</si>
  <si>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</si>
  <si>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</si>
  <si>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</si>
  <si>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</si>
  <si>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</si>
  <si>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</si>
  <si>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</si>
  <si>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</si>
  <si>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</si>
  <si>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</si>
  <si>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</si>
  <si>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</si>
  <si>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</si>
  <si>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</si>
  <si>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</si>
  <si>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</si>
  <si>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</si>
  <si>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</si>
  <si>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</si>
  <si>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</si>
  <si>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</si>
  <si>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</si>
  <si>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</si>
  <si>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</si>
  <si>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</si>
  <si>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</si>
  <si>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</si>
  <si>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</si>
  <si>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</si>
  <si>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</si>
  <si>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</si>
  <si>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</si>
  <si>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</si>
  <si>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</si>
  <si>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</si>
  <si>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</si>
  <si>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</si>
  <si>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</si>
  <si>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</si>
  <si>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</si>
  <si>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</si>
  <si>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</si>
  <si>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</si>
  <si>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</si>
  <si>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</si>
  <si>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</si>
  <si>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</si>
  <si>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</si>
  <si>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</si>
  <si>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</si>
  <si>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</si>
  <si>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</si>
  <si>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</si>
  <si>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</si>
  <si>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</si>
  <si>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</si>
  <si>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</si>
  <si>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</si>
  <si>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</si>
  <si>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</si>
  <si>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</si>
  <si>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</si>
  <si>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</si>
  <si>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</si>
  <si>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</si>
  <si>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</si>
  <si>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</si>
  <si>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</si>
  <si>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</si>
  <si>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</si>
  <si>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</si>
  <si>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</si>
  <si>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</si>
  <si>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</si>
  <si>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</si>
  <si>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</si>
  <si>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</si>
  <si>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</si>
  <si>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</si>
  <si>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</si>
  <si>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</si>
  <si>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</si>
  <si>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</si>
  <si>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</si>
  <si>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</si>
  <si>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</si>
  <si>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</si>
  <si>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</si>
  <si>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</si>
  <si>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</si>
  <si>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</si>
  <si>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</si>
  <si>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</si>
  <si>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</si>
  <si>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</si>
  <si>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</si>
  <si>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</si>
  <si>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</si>
  <si>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</si>
  <si>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</si>
  <si>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</si>
  <si>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</si>
  <si>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</si>
  <si>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</si>
  <si>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</si>
  <si>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</si>
  <si>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</si>
  <si>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</si>
  <si>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</si>
  <si>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</si>
  <si>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</si>
  <si>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</si>
  <si>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</si>
  <si>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</si>
  <si>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</si>
  <si>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</si>
  <si>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</si>
  <si>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</si>
  <si>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</si>
  <si>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</si>
  <si>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</si>
  <si>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</si>
  <si>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</si>
  <si>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</si>
  <si>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</si>
  <si>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</si>
  <si>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</si>
  <si>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</si>
  <si>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</si>
  <si>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</si>
  <si>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</si>
  <si>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</si>
  <si>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</si>
  <si>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</si>
  <si>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</si>
  <si>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</si>
  <si>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</si>
  <si>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</si>
  <si>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</si>
  <si>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</si>
  <si>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</si>
  <si>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</si>
  <si>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</si>
  <si>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</si>
  <si>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</si>
  <si>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</si>
  <si>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</si>
  <si>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</si>
  <si>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O1577</t>
  </si>
  <si>
    <t>O1578</t>
  </si>
  <si>
    <t>O1579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</si>
  <si>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</si>
  <si>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</si>
  <si>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</si>
  <si>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</si>
  <si>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</si>
  <si>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</si>
  <si>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</si>
  <si>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</si>
  <si>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</si>
  <si>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</si>
  <si>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</si>
  <si>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</si>
  <si>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</si>
  <si>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</si>
  <si>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</si>
  <si>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</si>
  <si>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</si>
  <si>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</si>
  <si>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</si>
  <si>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</si>
  <si>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</si>
  <si>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</si>
  <si>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</si>
  <si>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</si>
  <si>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</si>
  <si>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</si>
  <si>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</si>
  <si>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</si>
  <si>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O1608</t>
  </si>
  <si>
    <t>O1609</t>
  </si>
  <si>
    <t>O1610</t>
  </si>
  <si>
    <t>Customer_ID</t>
  </si>
  <si>
    <t>CUST_1</t>
  </si>
  <si>
    <t>CUST_2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</si>
  <si>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</si>
  <si>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</si>
  <si>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</si>
  <si>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</si>
  <si>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</si>
  <si>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</si>
  <si>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</si>
  <si>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</si>
  <si>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</si>
  <si>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</si>
  <si>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</si>
  <si>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</si>
  <si>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</si>
  <si>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</si>
  <si>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</si>
  <si>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</si>
  <si>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</si>
  <si>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</si>
  <si>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</si>
  <si>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</si>
  <si>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</si>
  <si>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</si>
  <si>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</si>
  <si>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</si>
  <si>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</si>
  <si>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</si>
  <si>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</si>
  <si>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</si>
  <si>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</si>
  <si>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</si>
  <si>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</si>
  <si>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</si>
  <si>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</si>
  <si>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</si>
  <si>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</si>
  <si>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</si>
  <si>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</si>
  <si>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</si>
  <si>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</si>
  <si>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</si>
  <si>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</si>
  <si>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</si>
  <si>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</si>
  <si>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</si>
  <si>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</si>
  <si>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</si>
  <si>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</si>
  <si>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</si>
  <si>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</si>
  <si>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</si>
  <si>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</si>
  <si>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</si>
  <si>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</si>
  <si>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</si>
  <si>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</si>
  <si>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</si>
  <si>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</si>
  <si>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</si>
  <si>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</si>
  <si>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</si>
  <si>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</si>
  <si>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</si>
  <si>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</si>
  <si>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</si>
  <si>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</si>
  <si>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</si>
  <si>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</si>
  <si>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</si>
  <si>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</si>
  <si>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</si>
  <si>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</si>
  <si>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</si>
  <si>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</si>
  <si>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</si>
  <si>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</si>
  <si>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</si>
  <si>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</si>
  <si>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</si>
  <si>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</si>
  <si>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</si>
  <si>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</si>
  <si>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</si>
  <si>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</si>
  <si>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</si>
  <si>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</si>
  <si>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</si>
  <si>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</si>
  <si>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</si>
  <si>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</si>
  <si>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</si>
  <si>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</si>
  <si>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</si>
  <si>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</si>
  <si>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</si>
  <si>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</si>
  <si>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</si>
  <si>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</si>
  <si>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</si>
  <si>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</si>
  <si>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</si>
  <si>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</si>
  <si>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</si>
  <si>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</si>
  <si>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</si>
  <si>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</si>
  <si>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</si>
  <si>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</si>
  <si>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</si>
  <si>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</si>
  <si>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</si>
  <si>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</si>
  <si>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</si>
  <si>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</si>
  <si>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</si>
  <si>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</si>
  <si>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</si>
  <si>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</si>
  <si>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</si>
  <si>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</si>
  <si>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</si>
  <si>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</si>
  <si>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</si>
  <si>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</si>
  <si>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</si>
  <si>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</si>
  <si>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</si>
  <si>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</si>
  <si>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</si>
  <si>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</si>
  <si>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</si>
  <si>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</si>
  <si>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</si>
  <si>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</si>
  <si>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</si>
  <si>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</si>
  <si>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</si>
  <si>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</si>
  <si>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</si>
  <si>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</si>
  <si>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</si>
  <si>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</si>
  <si>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</si>
  <si>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</si>
  <si>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</si>
  <si>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</si>
  <si>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</si>
  <si>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</si>
  <si>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</si>
  <si>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</si>
  <si>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</si>
  <si>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</si>
  <si>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</si>
  <si>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</si>
  <si>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</si>
  <si>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</si>
  <si>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</si>
  <si>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</si>
  <si>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</si>
  <si>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</si>
  <si>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</si>
  <si>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</si>
  <si>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</si>
  <si>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</si>
  <si>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</si>
  <si>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</si>
  <si>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</si>
  <si>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</si>
  <si>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</si>
  <si>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</si>
  <si>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</si>
  <si>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</si>
  <si>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</si>
  <si>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</si>
  <si>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</si>
  <si>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</si>
  <si>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</si>
  <si>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</si>
  <si>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</si>
  <si>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</si>
  <si>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</si>
  <si>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</si>
  <si>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</si>
  <si>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</si>
  <si>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</si>
  <si>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</si>
  <si>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</si>
  <si>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</si>
  <si>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</si>
  <si>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</si>
  <si>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</si>
  <si>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</si>
  <si>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</si>
  <si>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</si>
  <si>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</si>
  <si>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</si>
  <si>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</si>
  <si>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</si>
  <si>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</si>
  <si>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</si>
  <si>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</si>
  <si>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</si>
  <si>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</si>
  <si>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</si>
  <si>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</si>
  <si>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</si>
  <si>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</si>
  <si>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</si>
  <si>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</si>
  <si>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</si>
  <si>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</si>
  <si>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</si>
  <si>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</si>
  <si>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</si>
  <si>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</si>
  <si>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</si>
  <si>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</si>
  <si>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</si>
  <si>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</si>
  <si>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</si>
  <si>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</si>
  <si>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</si>
  <si>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</si>
  <si>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</si>
  <si>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</si>
  <si>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</si>
  <si>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</si>
  <si>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</si>
  <si>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</si>
  <si>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</si>
  <si>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</si>
  <si>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</si>
  <si>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</si>
  <si>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</si>
  <si>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</si>
  <si>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</si>
  <si>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</si>
  <si>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</si>
  <si>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</si>
  <si>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</si>
  <si>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</si>
  <si>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</si>
  <si>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</si>
  <si>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</si>
  <si>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</si>
  <si>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</si>
  <si>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</si>
  <si>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</si>
  <si>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</si>
  <si>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</si>
  <si>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</si>
  <si>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</si>
  <si>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</si>
  <si>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</si>
  <si>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</si>
  <si>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</si>
  <si>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</si>
  <si>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</si>
  <si>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</si>
  <si>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</si>
  <si>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</si>
  <si>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</si>
  <si>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</si>
  <si>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</si>
  <si>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</si>
  <si>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</si>
  <si>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</si>
  <si>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</si>
  <si>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</si>
  <si>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</si>
  <si>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</si>
  <si>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</si>
  <si>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</si>
  <si>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</si>
  <si>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</si>
  <si>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</si>
  <si>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</si>
  <si>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</si>
  <si>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</si>
  <si>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</si>
  <si>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</si>
  <si>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</si>
  <si>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</si>
  <si>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</si>
  <si>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</si>
  <si>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</si>
  <si>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</si>
  <si>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</si>
  <si>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</si>
  <si>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</si>
  <si>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</si>
  <si>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</si>
  <si>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</si>
  <si>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</si>
  <si>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</si>
  <si>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</si>
  <si>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</si>
  <si>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</si>
  <si>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CUST_300</t>
  </si>
  <si>
    <t>CUST_301</t>
  </si>
  <si>
    <t>CUST_302</t>
  </si>
  <si>
    <t>CUST_303</t>
  </si>
  <si>
    <t>CUST_304</t>
  </si>
  <si>
    <t>CUST_305</t>
  </si>
  <si>
    <t>CUST_306</t>
  </si>
  <si>
    <t>CUST_307</t>
  </si>
  <si>
    <t>CUST_308</t>
  </si>
  <si>
    <t>CUST_309</t>
  </si>
  <si>
    <t>CUST_310</t>
  </si>
  <si>
    <t>CUST_311</t>
  </si>
  <si>
    <t>CUST_312</t>
  </si>
  <si>
    <t>CUST_313</t>
  </si>
  <si>
    <t>CUST_314</t>
  </si>
  <si>
    <t>CUST_315</t>
  </si>
  <si>
    <t>CUST_316</t>
  </si>
  <si>
    <t>CUST_317</t>
  </si>
  <si>
    <t>CUST_318</t>
  </si>
  <si>
    <t>CUST_319</t>
  </si>
  <si>
    <t>CUST_320</t>
  </si>
  <si>
    <t>CUST_321</t>
  </si>
  <si>
    <t>CUST_322</t>
  </si>
  <si>
    <t>CUST_323</t>
  </si>
  <si>
    <t>CUST_324</t>
  </si>
  <si>
    <t>CUST_325</t>
  </si>
  <si>
    <t>CUST_326</t>
  </si>
  <si>
    <t>CUST_327</t>
  </si>
  <si>
    <t>CUST_328</t>
  </si>
  <si>
    <t>CUST_329</t>
  </si>
  <si>
    <t>CUST_330</t>
  </si>
  <si>
    <t>CUST_331</t>
  </si>
  <si>
    <t>CUST_332</t>
  </si>
  <si>
    <t>CUST_333</t>
  </si>
  <si>
    <t>CUST_334</t>
  </si>
  <si>
    <t>CUST_335</t>
  </si>
  <si>
    <t>CUST_336</t>
  </si>
  <si>
    <t>CUST_337</t>
  </si>
  <si>
    <t>CUST_338</t>
  </si>
  <si>
    <t>CUST_339</t>
  </si>
  <si>
    <t>CUST_340</t>
  </si>
  <si>
    <t>CUST_341</t>
  </si>
  <si>
    <t>CUST_342</t>
  </si>
  <si>
    <t>CUST_343</t>
  </si>
  <si>
    <t>CUST_344</t>
  </si>
  <si>
    <t>CUST_345</t>
  </si>
  <si>
    <t>CUST_346</t>
  </si>
  <si>
    <t>CUST_347</t>
  </si>
  <si>
    <t>CUST_348</t>
  </si>
  <si>
    <t>CUST_349</t>
  </si>
  <si>
    <t>CUST_350</t>
  </si>
  <si>
    <t>CUST_351</t>
  </si>
  <si>
    <t>CUST_352</t>
  </si>
  <si>
    <t>CUST_353</t>
  </si>
  <si>
    <t>CUST_354</t>
  </si>
  <si>
    <t>CUST_355</t>
  </si>
  <si>
    <t>CUST_356</t>
  </si>
  <si>
    <t>CUST_357</t>
  </si>
  <si>
    <t>CUST_358</t>
  </si>
  <si>
    <t>CUST_359</t>
  </si>
  <si>
    <t>CUST_360</t>
  </si>
  <si>
    <t>CUST_361</t>
  </si>
  <si>
    <t>CUST_362</t>
  </si>
  <si>
    <t>CUST_363</t>
  </si>
  <si>
    <t>CUST_364</t>
  </si>
  <si>
    <t>CUST_365</t>
  </si>
  <si>
    <t>CUST_366</t>
  </si>
  <si>
    <t>CUST_367</t>
  </si>
  <si>
    <t>CUST_368</t>
  </si>
  <si>
    <t>CUST_369</t>
  </si>
  <si>
    <t>CUST_370</t>
  </si>
  <si>
    <t>CUST_371</t>
  </si>
  <si>
    <t>CUST_372</t>
  </si>
  <si>
    <t>CUST_373</t>
  </si>
  <si>
    <t>CUST_374</t>
  </si>
  <si>
    <t>CUST_375</t>
  </si>
  <si>
    <t>CUST_376</t>
  </si>
  <si>
    <t>CUST_377</t>
  </si>
  <si>
    <t>CUST_378</t>
  </si>
  <si>
    <t>CUST_379</t>
  </si>
  <si>
    <t>CUST_380</t>
  </si>
  <si>
    <t>CUST_381</t>
  </si>
  <si>
    <t>CUST_382</t>
  </si>
  <si>
    <t>CUST_383</t>
  </si>
  <si>
    <t>CUST_384</t>
  </si>
  <si>
    <t>CUST_385</t>
  </si>
  <si>
    <t>CUST_386</t>
  </si>
  <si>
    <t>CUST_387</t>
  </si>
  <si>
    <t>CUST_388</t>
  </si>
  <si>
    <t>CUST_389</t>
  </si>
  <si>
    <t>CUST_390</t>
  </si>
  <si>
    <t>CUST_391</t>
  </si>
  <si>
    <t>CUST_392</t>
  </si>
  <si>
    <t>CUST_393</t>
  </si>
  <si>
    <t>CUST_394</t>
  </si>
  <si>
    <t>CUST_395</t>
  </si>
  <si>
    <t>CUST_396</t>
  </si>
  <si>
    <t>CUST_397</t>
  </si>
  <si>
    <t>CUST_398</t>
  </si>
  <si>
    <t>CUST_399</t>
  </si>
  <si>
    <t>CUST_400</t>
  </si>
  <si>
    <t>CUST_401</t>
  </si>
  <si>
    <t>CUST_402</t>
  </si>
  <si>
    <t>CUST_403</t>
  </si>
  <si>
    <t>CUST_404</t>
  </si>
  <si>
    <t>CUST_405</t>
  </si>
  <si>
    <t>CUST_406</t>
  </si>
  <si>
    <t>CUST_407</t>
  </si>
  <si>
    <t>CUST_408</t>
  </si>
  <si>
    <t>CUST_409</t>
  </si>
  <si>
    <t>CUST_410</t>
  </si>
  <si>
    <t>CUST_411</t>
  </si>
  <si>
    <t>CUST_412</t>
  </si>
  <si>
    <t>CUST_413</t>
  </si>
  <si>
    <t>CUST_414</t>
  </si>
  <si>
    <t>CUST_415</t>
  </si>
  <si>
    <t>CUST_416</t>
  </si>
  <si>
    <t>CUST_417</t>
  </si>
  <si>
    <t>CUST_418</t>
  </si>
  <si>
    <t>CUST_419</t>
  </si>
  <si>
    <t>CUST_420</t>
  </si>
  <si>
    <t>CUST_421</t>
  </si>
  <si>
    <t>CUST_422</t>
  </si>
  <si>
    <t>CUST_423</t>
  </si>
  <si>
    <t>CUST_424</t>
  </si>
  <si>
    <t>CUST_425</t>
  </si>
  <si>
    <t>CUST_426</t>
  </si>
  <si>
    <t>CUST_427</t>
  </si>
  <si>
    <t>CUST_428</t>
  </si>
  <si>
    <t>CUST_429</t>
  </si>
  <si>
    <t>CUST_430</t>
  </si>
  <si>
    <t>CUST_431</t>
  </si>
  <si>
    <t>CUST_432</t>
  </si>
  <si>
    <t>CUST_433</t>
  </si>
  <si>
    <t>CUST_434</t>
  </si>
  <si>
    <t>CUST_435</t>
  </si>
  <si>
    <t>CUST_436</t>
  </si>
  <si>
    <t>CUST_437</t>
  </si>
  <si>
    <t>CUST_438</t>
  </si>
  <si>
    <t>CUST_439</t>
  </si>
  <si>
    <t>CUST_440</t>
  </si>
  <si>
    <t>CUST_441</t>
  </si>
  <si>
    <t>CUST_442</t>
  </si>
  <si>
    <t>CUST_443</t>
  </si>
  <si>
    <t>CUST_444</t>
  </si>
  <si>
    <t>CUST_445</t>
  </si>
  <si>
    <t>CUST_446</t>
  </si>
  <si>
    <t>CUST_447</t>
  </si>
  <si>
    <t>CUST_448</t>
  </si>
  <si>
    <t>CUST_449</t>
  </si>
  <si>
    <t>CUST_450</t>
  </si>
  <si>
    <t>CUST_451</t>
  </si>
  <si>
    <t>CUST_452</t>
  </si>
  <si>
    <t>CUST_453</t>
  </si>
  <si>
    <t>CUST_454</t>
  </si>
  <si>
    <t>CUST_455</t>
  </si>
  <si>
    <t>CUST_456</t>
  </si>
  <si>
    <t>CUST_457</t>
  </si>
  <si>
    <t>CUST_458</t>
  </si>
  <si>
    <t>CUST_459</t>
  </si>
  <si>
    <t>CUST_460</t>
  </si>
  <si>
    <t>CUST_461</t>
  </si>
  <si>
    <t>CUST_462</t>
  </si>
  <si>
    <t>CUST_463</t>
  </si>
  <si>
    <t>CUST_464</t>
  </si>
  <si>
    <t>CUST_465</t>
  </si>
  <si>
    <t>CUST_466</t>
  </si>
  <si>
    <t>CUST_467</t>
  </si>
  <si>
    <t>CUST_468</t>
  </si>
  <si>
    <t>CUST_469</t>
  </si>
  <si>
    <t>CUST_470</t>
  </si>
  <si>
    <t>CUST_471</t>
  </si>
  <si>
    <t>CUST_472</t>
  </si>
  <si>
    <t>CUST_473</t>
  </si>
  <si>
    <t>CUST_474</t>
  </si>
  <si>
    <t>CUST_475</t>
  </si>
  <si>
    <t>CUST_476</t>
  </si>
  <si>
    <t>CUST_477</t>
  </si>
  <si>
    <t>CUST_478</t>
  </si>
  <si>
    <t>CUST_479</t>
  </si>
  <si>
    <t>CUST_480</t>
  </si>
  <si>
    <t>CUST_481</t>
  </si>
  <si>
    <t>CUST_482</t>
  </si>
  <si>
    <t>CUST_483</t>
  </si>
  <si>
    <t>CUST_484</t>
  </si>
  <si>
    <t>CUST_485</t>
  </si>
  <si>
    <t>CUST_486</t>
  </si>
  <si>
    <t>CUST_487</t>
  </si>
  <si>
    <t>CUST_488</t>
  </si>
  <si>
    <t>CUST_489</t>
  </si>
  <si>
    <t>CUST_490</t>
  </si>
  <si>
    <t>CUST_491</t>
  </si>
  <si>
    <t>CUST_492</t>
  </si>
  <si>
    <t>CUST_493</t>
  </si>
  <si>
    <t>CUST_494</t>
  </si>
  <si>
    <t>CUST_495</t>
  </si>
  <si>
    <t>CUST_496</t>
  </si>
  <si>
    <t>CUST_497</t>
  </si>
  <si>
    <t>CUST_498</t>
  </si>
  <si>
    <t>CUST_499</t>
  </si>
  <si>
    <t>CUST_500</t>
  </si>
  <si>
    <t>CUST_501</t>
  </si>
  <si>
    <t>CUST_502</t>
  </si>
  <si>
    <t>CUST_503</t>
  </si>
  <si>
    <t>CUST_504</t>
  </si>
  <si>
    <t>CUST_505</t>
  </si>
  <si>
    <t>CUST_506</t>
  </si>
  <si>
    <t>CUST_507</t>
  </si>
  <si>
    <t>CUST_508</t>
  </si>
  <si>
    <t>CUST_509</t>
  </si>
  <si>
    <t>CUST_510</t>
  </si>
  <si>
    <t>CUST_511</t>
  </si>
  <si>
    <t>CUST_512</t>
  </si>
  <si>
    <t>CUST_513</t>
  </si>
  <si>
    <t>CUST_514</t>
  </si>
  <si>
    <t>CUST_515</t>
  </si>
  <si>
    <t>CUST_516</t>
  </si>
  <si>
    <t>CUST_517</t>
  </si>
  <si>
    <t>CUST_518</t>
  </si>
  <si>
    <t>CUST_519</t>
  </si>
  <si>
    <t>CUST_520</t>
  </si>
  <si>
    <t>CUST_521</t>
  </si>
  <si>
    <t>CUST_522</t>
  </si>
  <si>
    <t>CUST_523</t>
  </si>
  <si>
    <t>CUST_524</t>
  </si>
  <si>
    <t>CUST_525</t>
  </si>
  <si>
    <t>CUST_526</t>
  </si>
  <si>
    <t>CUST_527</t>
  </si>
  <si>
    <t>CUST_528</t>
  </si>
  <si>
    <t>CUST_529</t>
  </si>
  <si>
    <t>CUST_530</t>
  </si>
  <si>
    <t>CUST_531</t>
  </si>
  <si>
    <t>CUST_532</t>
  </si>
  <si>
    <t>CUST_533</t>
  </si>
  <si>
    <t>CUST_534</t>
  </si>
  <si>
    <t>CUST_535</t>
  </si>
  <si>
    <t>CUST_536</t>
  </si>
  <si>
    <t>CUST_537</t>
  </si>
  <si>
    <t>CUST_538</t>
  </si>
  <si>
    <t>CUST_539</t>
  </si>
  <si>
    <t>CUST_540</t>
  </si>
  <si>
    <t>CUST_541</t>
  </si>
  <si>
    <t>CUST_542</t>
  </si>
  <si>
    <t>CUST_543</t>
  </si>
  <si>
    <t>CUST_544</t>
  </si>
  <si>
    <t>CUST_545</t>
  </si>
  <si>
    <t>CUST_546</t>
  </si>
  <si>
    <t>CUST_547</t>
  </si>
  <si>
    <t>CUST_548</t>
  </si>
  <si>
    <t>CUST_549</t>
  </si>
  <si>
    <t>CUST_550</t>
  </si>
  <si>
    <t>CUST_551</t>
  </si>
  <si>
    <t>CUST_552</t>
  </si>
  <si>
    <t>CUST_553</t>
  </si>
  <si>
    <t>CUST_554</t>
  </si>
  <si>
    <t>CUST_555</t>
  </si>
  <si>
    <t>CUST_556</t>
  </si>
  <si>
    <t>CUST_557</t>
  </si>
  <si>
    <t>CUST_558</t>
  </si>
  <si>
    <t>CUST_559</t>
  </si>
  <si>
    <t>CUST_560</t>
  </si>
  <si>
    <t>CUST_561</t>
  </si>
  <si>
    <t>CUST_562</t>
  </si>
  <si>
    <t>CUST_563</t>
  </si>
  <si>
    <t>CUST_564</t>
  </si>
  <si>
    <t>CUST_565</t>
  </si>
  <si>
    <t>CUST_566</t>
  </si>
  <si>
    <t>CUST_567</t>
  </si>
  <si>
    <t>CUST_568</t>
  </si>
  <si>
    <t>CUST_569</t>
  </si>
  <si>
    <t>CUST_570</t>
  </si>
  <si>
    <t>CUST_571</t>
  </si>
  <si>
    <t>CUST_572</t>
  </si>
  <si>
    <t>CUST_573</t>
  </si>
  <si>
    <t>CUST_574</t>
  </si>
  <si>
    <t>CUST_575</t>
  </si>
  <si>
    <t>CUST_576</t>
  </si>
  <si>
    <t>CUST_577</t>
  </si>
  <si>
    <t>CUST_578</t>
  </si>
  <si>
    <t>CUST_579</t>
  </si>
  <si>
    <t>CUST_580</t>
  </si>
  <si>
    <t>CUST_581</t>
  </si>
  <si>
    <t>CUST_582</t>
  </si>
  <si>
    <t>CUST_583</t>
  </si>
  <si>
    <t>CUST_584</t>
  </si>
  <si>
    <t>CUST_585</t>
  </si>
  <si>
    <t>CUST_586</t>
  </si>
  <si>
    <t>CUST_587</t>
  </si>
  <si>
    <t>CUST_588</t>
  </si>
  <si>
    <t>Order_Month</t>
  </si>
  <si>
    <t>Order_Year</t>
  </si>
  <si>
    <t>Order_Week</t>
  </si>
  <si>
    <t>Row Labels</t>
  </si>
  <si>
    <t>Grand Total</t>
  </si>
  <si>
    <t>Last_Order_Date</t>
  </si>
  <si>
    <t>Monetary</t>
  </si>
  <si>
    <t>Frequency</t>
  </si>
  <si>
    <t>Recency_Days</t>
  </si>
  <si>
    <t>Recency Score</t>
  </si>
  <si>
    <t>Frequency Score</t>
  </si>
  <si>
    <t>Monetary Score</t>
  </si>
  <si>
    <t>RFM Code</t>
  </si>
  <si>
    <t>Customer_Segment</t>
  </si>
  <si>
    <t>Analysis Date</t>
  </si>
  <si>
    <t>Churn_Status</t>
  </si>
  <si>
    <t>Total Customers</t>
  </si>
  <si>
    <t>Churned Customers</t>
  </si>
  <si>
    <t>Churn Rate %</t>
  </si>
  <si>
    <t>Revenue from Churned Customers:</t>
  </si>
  <si>
    <t>Revenue from Active Customers:</t>
  </si>
  <si>
    <t>Total Revenue:</t>
  </si>
  <si>
    <t>Revenue % from Churned:</t>
  </si>
  <si>
    <t>Sum of Total_Amount</t>
  </si>
  <si>
    <t>Recent Customers</t>
  </si>
  <si>
    <t>Active</t>
  </si>
  <si>
    <t>At Risk</t>
  </si>
  <si>
    <t>Churned</t>
  </si>
  <si>
    <t>Potential Loyalist</t>
  </si>
  <si>
    <t>Loyal Customers</t>
  </si>
  <si>
    <t>Champions</t>
  </si>
  <si>
    <t>Count of Row Labels</t>
  </si>
  <si>
    <t>Sum of Monetary</t>
  </si>
  <si>
    <t>Average of Monetary</t>
  </si>
  <si>
    <t>Average of Frequency</t>
  </si>
  <si>
    <t>Average of Recency_Days</t>
  </si>
  <si>
    <t>Risk Tier</t>
  </si>
  <si>
    <t>Critical Risk</t>
  </si>
  <si>
    <t>High Risk</t>
  </si>
  <si>
    <t>Low Risk</t>
  </si>
  <si>
    <t>Moderate Risk</t>
  </si>
  <si>
    <t>Very High Risk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</si>
  <si>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</si>
  <si>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</si>
  <si>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</si>
  <si>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</si>
  <si>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</si>
  <si>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</si>
  <si>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</si>
  <si>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</si>
  <si>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</si>
  <si>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</si>
  <si>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3-Month Moving Avg</t>
  </si>
  <si>
    <t>Promo_Flag</t>
  </si>
  <si>
    <t>Promo</t>
  </si>
  <si>
    <t>Regular</t>
  </si>
  <si>
    <t>Count of Order_ID</t>
  </si>
  <si>
    <t>Average of Total_Amount</t>
  </si>
  <si>
    <t>Count of Promo_Flag</t>
  </si>
  <si>
    <t>Used_Promo</t>
  </si>
  <si>
    <t>No</t>
  </si>
  <si>
    <t>Yes</t>
  </si>
  <si>
    <t>Rate for Promo Users</t>
  </si>
  <si>
    <t>Rate for Non-Promo Users</t>
  </si>
  <si>
    <t>Analysis Period End Date: 27-Oct-2024</t>
  </si>
  <si>
    <t>Churn Rate</t>
  </si>
  <si>
    <t>Revenue at Risk</t>
  </si>
  <si>
    <t>Top 20% Revenue Contribution</t>
  </si>
  <si>
    <t>~70%</t>
  </si>
  <si>
    <t>Key Insights</t>
  </si>
  <si>
    <t>Revenue is highly concentrated among top-tier (Champion) customers.
Approximately 40% of customers are inactive beyond the 90-day threshold.
Revenue exposure from churn is limited to ~28.5%, indicating churn is concentrated in lower-value segments.
Promotional engagement is associated with lower churn rates.
Revenue shows mid-year growth followed by decline in October.</t>
  </si>
  <si>
    <t>Strategic Recommendations</t>
  </si>
  <si>
    <t>Protect Champions through loyalty and retention programs.
Implement early-intervention campaigns for 60–90 day inactive customers.
Use targeted promotions instead of blanket discounting.
Monitor seasonal dips and adjust operational planning.
Develop automated churn monitoring dashboard.</t>
  </si>
  <si>
    <t xml:space="preserve">  AI-Driven Customer Intelligence &amp; Revenue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</si>
</sst>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9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3" applyNumberForma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20">
    <xf numFmtId="0" fontId="0" fillId="0" borderId="0" xfId="0"/>
    <xf numFmtId="15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0" fontId="3" fillId="0" borderId="1" xfId="1"/>
    <xf numFmtId="0" fontId="2" fillId="4" borderId="0" xfId="5" applyAlignment="1">
      <alignment horizontal="center"/>
    </xf>
    <xf numFmtId="0" fontId="2" fillId="7" borderId="0" xfId="8" applyAlignment="1">
      <alignment horizontal="center"/>
    </xf>
    <xf numFmtId="0" fontId="2" fillId="5" borderId="0" xfId="6" applyAlignment="1">
      <alignment horizontal="center"/>
    </xf>
    <xf numFmtId="10" fontId="2" fillId="5" borderId="0" xfId="6" applyNumberFormat="1" applyAlignment="1">
      <alignment horizontal="center"/>
    </xf>
    <xf numFmtId="0" fontId="5" fillId="2" borderId="0" xfId="3" applyAlignment="1">
      <alignment horizontal="center"/>
    </xf>
    <xf numFmtId="10" fontId="5" fillId="2" borderId="0" xfId="3" applyNumberFormat="1" applyAlignment="1">
      <alignment horizontal="center"/>
    </xf>
    <xf numFmtId="0" fontId="2" fillId="6" borderId="0" xfId="7" applyAlignment="1">
      <alignment horizontal="center"/>
    </xf>
    <xf numFmtId="0" fontId="4" fillId="0" borderId="2" xfId="2" applyAlignment="1">
      <alignment horizontal="center"/>
    </xf>
    <xf numFmtId="0" fontId="6" fillId="3" borderId="3" xfId="4" applyAlignment="1">
      <alignment wrapText="1"/>
    </xf>
    <xf numFmtId="0" fontId="6" fillId="3" borderId="3" xfId="4"/>
  </cellXfs>
  <cellStyles count="9">
    <cellStyle name="20% - Accent1" xfId="5" builtinId="30"/>
    <cellStyle name="40% - Accent3" xfId="7" builtinId="39"/>
    <cellStyle name="60% - Accent2" xfId="6" builtinId="36"/>
    <cellStyle name="60% - Accent3" xfId="8" builtinId="40"/>
    <cellStyle name="Bad" xfId="3" builtinId="27"/>
    <cellStyle name="Check Cell" xfId="4" builtinId="23"/>
    <cellStyle name="Heading 1" xfId="1" builtinId="16"/>
    <cellStyle name="Heading 2" xfId="2" builtinId="17"/>
    <cellStyle name="Normal" xfId="0" builtinId="0"/>
  </cellStyles>
  <dxfs count="2"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msi Yellapu" refreshedDate="46066.997290277781" createdVersion="8" refreshedVersion="8" minRefreshableVersion="3" recordCount="588" xr:uid="{FC5148BC-3DE3-4E80-888B-1888A8C7B85B}">
  <cacheSource type="worksheet">
    <worksheetSource ref="A1:K589" sheet="customer model"/>
  </cacheSource>
  <cacheFields count="11">
    <cacheField name="Row Labels" numFmtId="0">
      <sharedItems/>
    </cacheField>
    <cacheField name="Last_Order_Date" numFmtId="14">
      <sharedItems containsSemiMixedTypes="0" containsNonDate="0" containsDate="1" containsString="0" minDate="2024-01-04T00:00:00" maxDate="2024-10-28T00:00:00"/>
    </cacheField>
    <cacheField name="Monetary" numFmtId="0">
      <sharedItems containsSemiMixedTypes="0" containsString="0" containsNumber="1" containsInteger="1" minValue="108" maxValue="7022"/>
    </cacheField>
    <cacheField name="Frequency" numFmtId="0">
      <sharedItems containsSemiMixedTypes="0" containsString="0" containsNumber="1" containsInteger="1" minValue="1" maxValue="5"/>
    </cacheField>
    <cacheField name="Recency_Days" numFmtId="0">
      <sharedItems containsSemiMixedTypes="0" containsString="0" containsNumber="1" containsInteger="1" minValue="0" maxValue="297"/>
    </cacheField>
    <cacheField name="Recency Score" numFmtId="0">
      <sharedItems containsSemiMixedTypes="0" containsString="0" containsNumber="1" containsInteger="1" minValue="1" maxValue="5"/>
    </cacheField>
    <cacheField name="Frequency Score" numFmtId="0">
      <sharedItems containsSemiMixedTypes="0" containsString="0" containsNumber="1" containsInteger="1" minValue="2" maxValue="5"/>
    </cacheField>
    <cacheField name="Monetary Score" numFmtId="0">
      <sharedItems containsSemiMixedTypes="0" containsString="0" containsNumber="1" containsInteger="1" minValue="1" maxValue="5"/>
    </cacheField>
    <cacheField name="RFM Code" numFmtId="0">
      <sharedItems/>
    </cacheField>
    <cacheField name="Customer_Segment" numFmtId="0">
      <sharedItems/>
    </cacheField>
    <cacheField name="Churn_Status" numFmtId="0">
      <sharedItems count="2">
        <s v="Active"/>
        <s v="Chu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msi Yellapu" refreshedDate="46067.000611342592" createdVersion="8" refreshedVersion="8" minRefreshableVersion="3" recordCount="588" xr:uid="{26EC38A0-83FF-4C49-877F-27B3BDE44615}">
  <cacheSource type="worksheet">
    <worksheetSource ref="A1:L589" sheet="customer model"/>
  </cacheSource>
  <cacheFields count="12">
    <cacheField name="Row Labels" numFmtId="0">
      <sharedItems/>
    </cacheField>
    <cacheField name="Last_Order_Date" numFmtId="14">
      <sharedItems containsSemiMixedTypes="0" containsNonDate="0" containsDate="1" containsString="0" minDate="2024-01-04T00:00:00" maxDate="2024-10-28T00:00:00"/>
    </cacheField>
    <cacheField name="Monetary" numFmtId="0">
      <sharedItems containsSemiMixedTypes="0" containsString="0" containsNumber="1" containsInteger="1" minValue="108" maxValue="7022"/>
    </cacheField>
    <cacheField name="Frequency" numFmtId="0">
      <sharedItems containsSemiMixedTypes="0" containsString="0" containsNumber="1" containsInteger="1" minValue="1" maxValue="5"/>
    </cacheField>
    <cacheField name="Recency_Days" numFmtId="0">
      <sharedItems containsSemiMixedTypes="0" containsString="0" containsNumber="1" containsInteger="1" minValue="0" maxValue="297"/>
    </cacheField>
    <cacheField name="Recency Score" numFmtId="0">
      <sharedItems containsSemiMixedTypes="0" containsString="0" containsNumber="1" containsInteger="1" minValue="1" maxValue="5"/>
    </cacheField>
    <cacheField name="Frequency Score" numFmtId="0">
      <sharedItems containsSemiMixedTypes="0" containsString="0" containsNumber="1" containsInteger="1" minValue="2" maxValue="5"/>
    </cacheField>
    <cacheField name="Monetary Score" numFmtId="0">
      <sharedItems containsSemiMixedTypes="0" containsString="0" containsNumber="1" containsInteger="1" minValue="1" maxValue="5"/>
    </cacheField>
    <cacheField name="RFM Code" numFmtId="0">
      <sharedItems/>
    </cacheField>
    <cacheField name="Customer_Segment" numFmtId="0">
      <sharedItems/>
    </cacheField>
    <cacheField name="Churn_Status" numFmtId="0">
      <sharedItems/>
    </cacheField>
    <cacheField name="Risk Tier" numFmtId="0">
      <sharedItems count="5">
        <s v="Low Risk"/>
        <s v="Critical Risk"/>
        <s v="Moderate Risk"/>
        <s v="Very High Risk"/>
        <s v="High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msi Yellapu" refreshedDate="46067.002865277776" createdVersion="8" refreshedVersion="8" minRefreshableVersion="3" recordCount="1610" xr:uid="{ACB6ED75-DF41-467E-B01B-7DEA4AAD33C7}">
  <cacheSource type="worksheet">
    <worksheetSource name="Table1"/>
  </cacheSource>
  <cacheFields count="20">
    <cacheField name="Customer_ID" numFmtId="0">
      <sharedItems/>
    </cacheField>
    <cacheField name="Order_ID" numFmtId="0">
      <sharedItems/>
    </cacheField>
    <cacheField name="Order_Date" numFmtId="15">
      <sharedItems containsSemiMixedTypes="0" containsNonDate="0" containsDate="1" containsString="0" minDate="2024-01-01T00:00:00" maxDate="2024-10-28T00:00:00"/>
    </cacheField>
    <cacheField name="City" numFmtId="0">
      <sharedItems/>
    </cacheField>
    <cacheField name="Area" numFmtId="0">
      <sharedItems/>
    </cacheField>
    <cacheField name="Restaurant_Name" numFmtId="0">
      <sharedItems/>
    </cacheField>
    <cacheField name="Cuisine_Type" numFmtId="0">
      <sharedItems/>
    </cacheField>
    <cacheField name="Item_Name" numFmtId="0">
      <sharedItems/>
    </cacheField>
    <cacheField name="Food_Type" numFmtId="0">
      <sharedItems/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3" maxValue="499"/>
    </cacheField>
    <cacheField name="Total_Amount" numFmtId="0">
      <sharedItems containsSemiMixedTypes="0" containsString="0" containsNumber="1" containsInteger="1" minValue="103" maxValue="2455"/>
    </cacheField>
    <cacheField name="Delivery_Time (mins)" numFmtId="0">
      <sharedItems containsSemiMixedTypes="0" containsString="0" containsNumber="1" containsInteger="1" minValue="20" maxValue="60"/>
    </cacheField>
    <cacheField name="Payment_Mode" numFmtId="0">
      <sharedItems/>
    </cacheField>
    <cacheField name="Customer_Rating" numFmtId="0">
      <sharedItems containsSemiMixedTypes="0" containsString="0" containsNumber="1" minValue="3" maxValue="5"/>
    </cacheField>
    <cacheField name="Order_Month" numFmtId="14">
      <sharedItems containsSemiMixedTypes="0" containsNonDate="0" containsDate="1" containsString="0" minDate="2024-01-31T00:00:00" maxDate="2024-11-01T00:00:00" count="10">
        <d v="2024-10-31T00:00:00"/>
        <d v="2024-07-31T00:00:00"/>
        <d v="2024-04-30T00:00:00"/>
        <d v="2024-09-30T00:00:00"/>
        <d v="2024-03-31T00:00:00"/>
        <d v="2024-05-31T00:00:00"/>
        <d v="2024-01-31T00:00:00"/>
        <d v="2024-06-30T00:00:00"/>
        <d v="2024-02-29T00:00:00"/>
        <d v="2024-08-31T00:00:00"/>
      </sharedItems>
      <fieldGroup par="19"/>
    </cacheField>
    <cacheField name="Order_Week" numFmtId="1">
      <sharedItems containsSemiMixedTypes="0" containsString="0" containsNumber="1" containsInteger="1" minValue="1" maxValue="44"/>
    </cacheField>
    <cacheField name="Order_Year" numFmtId="0">
      <sharedItems containsSemiMixedTypes="0" containsString="0" containsNumber="1" containsInteger="1" minValue="2024" maxValue="2024"/>
    </cacheField>
    <cacheField name="Days (Order_Month)" numFmtId="0" databaseField="0">
      <fieldGroup base="15">
        <rangePr groupBy="days" startDate="2024-01-31T00:00:00" endDate="2024-11-01T00:00:00"/>
        <groupItems count="368">
          <s v="&lt;3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11-2024"/>
        </groupItems>
      </fieldGroup>
    </cacheField>
    <cacheField name="Months (Order_Month)" numFmtId="0" databaseField="0">
      <fieldGroup base="15">
        <rangePr groupBy="months" startDate="2024-01-31T00:00:00" endDate="2024-11-01T00:00:00"/>
        <groupItems count="14">
          <s v="&lt;3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msi Yellapu" refreshedDate="46067.019827777774" backgroundQuery="1" createdVersion="8" refreshedVersion="8" minRefreshableVersion="3" recordCount="0" supportSubquery="1" supportAdvancedDrill="1" xr:uid="{540A1307-A379-4270-A72D-96D336693622}">
  <cacheSource type="external" connectionId="1"/>
  <cacheFields count="4">
    <cacheField name="[Table1].[Promo_Flag].[Promo_Flag]" caption="Promo_Flag" numFmtId="0" hierarchy="31" level="1">
      <sharedItems count="2">
        <s v="Promo"/>
        <s v="Regular"/>
      </sharedItems>
    </cacheField>
    <cacheField name="[Measures].[Count of Order_ID]" caption="Count of Order_ID" numFmtId="0" hierarchy="35" level="32767"/>
    <cacheField name="[Measures].[Average of Total_Amount]" caption="Average of Total_Amount" numFmtId="0" hierarchy="37" level="32767"/>
    <cacheField name="[Measures].[Sum of Total_Amount]" caption="Sum of Total_Amount" numFmtId="0" hierarchy="36" level="32767"/>
  </cacheFields>
  <cacheHierarchies count="40">
    <cacheHierarchy uniqueName="[Range].[Row Labels]" caption="Row Labels" attribute="1" defaultMemberUniqueName="[Range].[Row Labels].[All]" allUniqueName="[Range].[Row Labels].[All]" dimensionUniqueName="[Range]" displayFolder="" count="0" memberValueDatatype="130" unbalanced="0"/>
    <cacheHierarchy uniqueName="[Range].[Last_Order_Date]" caption="Last_Order_Date" attribute="1" time="1" defaultMemberUniqueName="[Range].[Last_Order_Date].[All]" allUniqueName="[Range].[Last_Order_Date].[All]" dimensionUniqueName="[Range]" displayFolder="" count="0" memberValueDatatype="7" unbalanced="0"/>
    <cacheHierarchy uniqueName="[Range].[Monetary]" caption="Monetary" attribute="1" defaultMemberUniqueName="[Range].[Monetary].[All]" allUniqueName="[Range].[Monetary].[All]" dimensionUniqueName="[Range]" displayFolder="" count="0" memberValueDatatype="20" unbalanced="0"/>
    <cacheHierarchy uniqueName="[Range].[Frequency]" caption="Frequency" attribute="1" defaultMemberUniqueName="[Range].[Frequency].[All]" allUniqueName="[Range].[Frequency].[All]" dimensionUniqueName="[Range]" displayFolder="" count="0" memberValueDatatype="20" unbalanced="0"/>
    <cacheHierarchy uniqueName="[Range].[Recency_Days]" caption="Recency_Days" attribute="1" defaultMemberUniqueName="[Range].[Recency_Days].[All]" allUniqueName="[Range].[Recency_Days].[All]" dimensionUniqueName="[Range]" displayFolder="" count="0" memberValueDatatype="20" unbalanced="0"/>
    <cacheHierarchy uniqueName="[Range].[Recency Score]" caption="Recency Score" attribute="1" defaultMemberUniqueName="[Range].[Recency Score].[All]" allUniqueName="[Range].[Recency Score].[All]" dimensionUniqueName="[Range]" displayFolder="" count="0" memberValueDatatype="20" unbalanced="0"/>
    <cacheHierarchy uniqueName="[Range].[Frequency Score]" caption="Frequency Score" attribute="1" defaultMemberUniqueName="[Range].[Frequency Score].[All]" allUniqueName="[Range].[Frequency Score].[All]" dimensionUniqueName="[Range]" displayFolder="" count="0" memberValueDatatype="20" unbalanced="0"/>
    <cacheHierarchy uniqueName="[Range].[Monetary Score]" caption="Monetary Score" attribute="1" defaultMemberUniqueName="[Range].[Monetary Score].[All]" allUniqueName="[Range].[Monetary Score].[All]" dimensionUniqueName="[Range]" displayFolder="" count="0" memberValueDatatype="20" unbalanced="0"/>
    <cacheHierarchy uniqueName="[Range].[RFM Code]" caption="RFM Code" attribute="1" defaultMemberUniqueName="[Range].[RFM Code].[All]" allUniqueName="[Range].[RFM Code].[All]" dimensionUniqueName="[Range]" displayFolder="" count="0" memberValueDatatype="130" unbalanced="0"/>
    <cacheHierarchy uniqueName="[Range].[Customer_Segment]" caption="Customer_Segment" attribute="1" defaultMemberUniqueName="[Range].[Customer_Segment].[All]" allUniqueName="[Range].[Customer_Segment].[All]" dimensionUniqueName="[Range]" displayFolder="" count="0" memberValueDatatype="130" unbalanced="0"/>
    <cacheHierarchy uniqueName="[Range].[Churn_Status]" caption="Churn_Status" attribute="1" defaultMemberUniqueName="[Range].[Churn_Status].[All]" allUniqueName="[Range].[Churn_Status].[All]" dimensionUniqueName="[Range]" displayFolder="" count="0" memberValueDatatype="130" unbalanced="0"/>
    <cacheHierarchy uniqueName="[Range].[Risk Tier]" caption="Risk Tier" attribute="1" defaultMemberUniqueName="[Range].[Risk Tier].[All]" allUniqueName="[Range].[Risk Tier].[All]" dimensionUniqueName="[Range]" displayFolder="" count="0" memberValueDatatype="130" unbalanced="0"/>
    <cacheHierarchy uniqueName="[Range].[Used_Promo]" caption="Used_Promo" attribute="1" defaultMemberUniqueName="[Range].[Used_Promo].[All]" allUniqueName="[Range].[Used_Promo].[All]" dimensionUniqueName="[Range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Area]" caption="Area" attribute="1" defaultMemberUniqueName="[Table1].[Area].[All]" allUniqueName="[Table1].[Area].[All]" dimensionUniqueName="[Table1]" displayFolder="" count="0" memberValueDatatype="130" unbalanced="0"/>
    <cacheHierarchy uniqueName="[Table1].[Restaurant_Name]" caption="Restaurant_Name" attribute="1" defaultMemberUniqueName="[Table1].[Restaurant_Name].[All]" allUniqueName="[Table1].[Restaurant_Name].[All]" dimensionUniqueName="[Table1]" displayFolder="" count="0" memberValueDatatype="130" unbalanced="0"/>
    <cacheHierarchy uniqueName="[Table1].[Cuisine_Type]" caption="Cuisine_Type" attribute="1" defaultMemberUniqueName="[Table1].[Cuisine_Type].[All]" allUniqueName="[Table1].[Cuisine_Type].[All]" dimensionUniqueName="[Table1]" displayFolder="" count="0" memberValueDatatype="130" unbalanced="0"/>
    <cacheHierarchy uniqueName="[Table1].[Item_Name]" caption="Item_Name" attribute="1" defaultMemberUniqueName="[Table1].[Item_Name].[All]" allUniqueName="[Table1].[Item_Name].[All]" dimensionUniqueName="[Table1]" displayFolder="" count="0" memberValueDatatype="130" unbalanced="0"/>
    <cacheHierarchy uniqueName="[Table1].[Food_Type]" caption="Food_Type" attribute="1" defaultMemberUniqueName="[Table1].[Food_Type].[All]" allUniqueName="[Table1].[Food_Typ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Total_Amount]" caption="Total_Amount" attribute="1" defaultMemberUniqueName="[Table1].[Total_Amount].[All]" allUniqueName="[Table1].[Total_Amount].[All]" dimensionUniqueName="[Table1]" displayFolder="" count="0" memberValueDatatype="20" unbalanced="0"/>
    <cacheHierarchy uniqueName="[Table1].[Delivery_Time (mins)]" caption="Delivery_Time (mins)" attribute="1" defaultMemberUniqueName="[Table1].[Delivery_Time (mins)].[All]" allUniqueName="[Table1].[Delivery_Time (mins)].[All]" dimensionUniqueName="[Table1]" displayFolder="" count="0" memberValueDatatype="2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5" unbalanced="0"/>
    <cacheHierarchy uniqueName="[Table1].[Order_Month]" caption="Order_Month" attribute="1" time="1" defaultMemberUniqueName="[Table1].[Order_Month].[All]" allUniqueName="[Table1].[Order_Month].[All]" dimensionUniqueName="[Table1]" displayFolder="" count="0" memberValueDatatype="7" unbalanced="0"/>
    <cacheHierarchy uniqueName="[Table1].[Order_Week]" caption="Order_Week" attribute="1" defaultMemberUniqueName="[Table1].[Order_Week].[All]" allUniqueName="[Table1].[Order_Week].[All]" dimensionUniqueName="[Table1]" displayFolder="" count="0" memberValueDatatype="20" unbalanced="0"/>
    <cacheHierarchy uniqueName="[Table1].[Order_Year]" caption="Order_Year" attribute="1" defaultMemberUniqueName="[Table1].[Order_Year].[All]" allUniqueName="[Table1].[Order_Year].[All]" dimensionUniqueName="[Table1]" displayFolder="" count="0" memberValueDatatype="20" unbalanced="0"/>
    <cacheHierarchy uniqueName="[Table1].[Promo_Flag]" caption="Promo_Flag" attribute="1" defaultMemberUniqueName="[Table1].[Promo_Flag].[All]" allUniqueName="[Table1].[Promo_Flag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Amount]" caption="Sum of Total_Amount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Total_Amount]" caption="Average of Total_Amoun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romo_Flag]" caption="Count of Promo_Flag" measure="1" displayFolder="" measureGroup="Tabl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ow Labels]" caption="Count of Row Labels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msi Yellapu" refreshedDate="46067.025757060183" backgroundQuery="1" createdVersion="8" refreshedVersion="8" minRefreshableVersion="3" recordCount="0" supportSubquery="1" supportAdvancedDrill="1" xr:uid="{74A9673D-45E6-4DD8-B43F-1F364F890237}">
  <cacheSource type="external" connectionId="1"/>
  <cacheFields count="2">
    <cacheField name="[Table1].[Customer_ID].[Customer_ID]" caption="Customer_ID" numFmtId="0" hierarchy="13" level="1">
      <sharedItems count="588">
        <s v="CUST_1"/>
        <s v="CUST_10"/>
        <s v="CUST_100"/>
        <s v="CUST_101"/>
        <s v="CUST_102"/>
        <s v="CUST_103"/>
        <s v="CUST_104"/>
        <s v="CUST_105"/>
        <s v="CUST_106"/>
        <s v="CUST_107"/>
        <s v="CUST_108"/>
        <s v="CUST_109"/>
        <s v="CUST_11"/>
        <s v="CUST_110"/>
        <s v="CUST_111"/>
        <s v="CUST_112"/>
        <s v="CUST_113"/>
        <s v="CUST_114"/>
        <s v="CUST_115"/>
        <s v="CUST_116"/>
        <s v="CUST_117"/>
        <s v="CUST_118"/>
        <s v="CUST_119"/>
        <s v="CUST_12"/>
        <s v="CUST_120"/>
        <s v="CUST_121"/>
        <s v="CUST_122"/>
        <s v="CUST_123"/>
        <s v="CUST_124"/>
        <s v="CUST_125"/>
        <s v="CUST_126"/>
        <s v="CUST_127"/>
        <s v="CUST_128"/>
        <s v="CUST_129"/>
        <s v="CUST_13"/>
        <s v="CUST_130"/>
        <s v="CUST_131"/>
        <s v="CUST_132"/>
        <s v="CUST_133"/>
        <s v="CUST_134"/>
        <s v="CUST_135"/>
        <s v="CUST_136"/>
        <s v="CUST_137"/>
        <s v="CUST_138"/>
        <s v="CUST_139"/>
        <s v="CUST_14"/>
        <s v="CUST_140"/>
        <s v="CUST_141"/>
        <s v="CUST_142"/>
        <s v="CUST_143"/>
        <s v="CUST_144"/>
        <s v="CUST_145"/>
        <s v="CUST_146"/>
        <s v="CUST_147"/>
        <s v="CUST_148"/>
        <s v="CUST_149"/>
        <s v="CUST_15"/>
        <s v="CUST_150"/>
        <s v="CUST_151"/>
        <s v="CUST_152"/>
        <s v="CUST_153"/>
        <s v="CUST_154"/>
        <s v="CUST_155"/>
        <s v="CUST_156"/>
        <s v="CUST_157"/>
        <s v="CUST_158"/>
        <s v="CUST_159"/>
        <s v="CUST_16"/>
        <s v="CUST_160"/>
        <s v="CUST_161"/>
        <s v="CUST_162"/>
        <s v="CUST_163"/>
        <s v="CUST_164"/>
        <s v="CUST_165"/>
        <s v="CUST_166"/>
        <s v="CUST_167"/>
        <s v="CUST_168"/>
        <s v="CUST_169"/>
        <s v="CUST_17"/>
        <s v="CUST_170"/>
        <s v="CUST_171"/>
        <s v="CUST_172"/>
        <s v="CUST_173"/>
        <s v="CUST_174"/>
        <s v="CUST_175"/>
        <s v="CUST_176"/>
        <s v="CUST_177"/>
        <s v="CUST_178"/>
        <s v="CUST_179"/>
        <s v="CUST_18"/>
        <s v="CUST_180"/>
        <s v="CUST_181"/>
        <s v="CUST_182"/>
        <s v="CUST_183"/>
        <s v="CUST_184"/>
        <s v="CUST_185"/>
        <s v="CUST_186"/>
        <s v="CUST_187"/>
        <s v="CUST_188"/>
        <s v="CUST_189"/>
        <s v="CUST_19"/>
        <s v="CUST_190"/>
        <s v="CUST_191"/>
        <s v="CUST_192"/>
        <s v="CUST_193"/>
        <s v="CUST_194"/>
        <s v="CUST_195"/>
        <s v="CUST_196"/>
        <s v="CUST_197"/>
        <s v="CUST_198"/>
        <s v="CUST_199"/>
        <s v="CUST_2"/>
        <s v="CUST_20"/>
        <s v="CUST_200"/>
        <s v="CUST_201"/>
        <s v="CUST_202"/>
        <s v="CUST_203"/>
        <s v="CUST_204"/>
        <s v="CUST_205"/>
        <s v="CUST_206"/>
        <s v="CUST_207"/>
        <s v="CUST_208"/>
        <s v="CUST_209"/>
        <s v="CUST_21"/>
        <s v="CUST_210"/>
        <s v="CUST_211"/>
        <s v="CUST_212"/>
        <s v="CUST_213"/>
        <s v="CUST_214"/>
        <s v="CUST_215"/>
        <s v="CUST_216"/>
        <s v="CUST_217"/>
        <s v="CUST_218"/>
        <s v="CUST_219"/>
        <s v="CUST_22"/>
        <s v="CUST_220"/>
        <s v="CUST_221"/>
        <s v="CUST_222"/>
        <s v="CUST_223"/>
        <s v="CUST_224"/>
        <s v="CUST_225"/>
        <s v="CUST_226"/>
        <s v="CUST_227"/>
        <s v="CUST_228"/>
        <s v="CUST_229"/>
        <s v="CUST_23"/>
        <s v="CUST_230"/>
        <s v="CUST_231"/>
        <s v="CUST_232"/>
        <s v="CUST_233"/>
        <s v="CUST_234"/>
        <s v="CUST_235"/>
        <s v="CUST_236"/>
        <s v="CUST_237"/>
        <s v="CUST_238"/>
        <s v="CUST_239"/>
        <s v="CUST_24"/>
        <s v="CUST_240"/>
        <s v="CUST_241"/>
        <s v="CUST_242"/>
        <s v="CUST_243"/>
        <s v="CUST_244"/>
        <s v="CUST_245"/>
        <s v="CUST_246"/>
        <s v="CUST_247"/>
        <s v="CUST_248"/>
        <s v="CUST_249"/>
        <s v="CUST_25"/>
        <s v="CUST_250"/>
        <s v="CUST_251"/>
        <s v="CUST_252"/>
        <s v="CUST_253"/>
        <s v="CUST_254"/>
        <s v="CUST_255"/>
        <s v="CUST_256"/>
        <s v="CUST_257"/>
        <s v="CUST_258"/>
        <s v="CUST_259"/>
        <s v="CUST_26"/>
        <s v="CUST_260"/>
        <s v="CUST_261"/>
        <s v="CUST_262"/>
        <s v="CUST_263"/>
        <s v="CUST_264"/>
        <s v="CUST_265"/>
        <s v="CUST_266"/>
        <s v="CUST_267"/>
        <s v="CUST_268"/>
        <s v="CUST_269"/>
        <s v="CUST_27"/>
        <s v="CUST_270"/>
        <s v="CUST_271"/>
        <s v="CUST_272"/>
        <s v="CUST_273"/>
        <s v="CUST_274"/>
        <s v="CUST_275"/>
        <s v="CUST_276"/>
        <s v="CUST_277"/>
        <s v="CUST_278"/>
        <s v="CUST_279"/>
        <s v="CUST_28"/>
        <s v="CUST_280"/>
        <s v="CUST_281"/>
        <s v="CUST_282"/>
        <s v="CUST_283"/>
        <s v="CUST_284"/>
        <s v="CUST_285"/>
        <s v="CUST_286"/>
        <s v="CUST_287"/>
        <s v="CUST_288"/>
        <s v="CUST_289"/>
        <s v="CUST_29"/>
        <s v="CUST_290"/>
        <s v="CUST_291"/>
        <s v="CUST_292"/>
        <s v="CUST_293"/>
        <s v="CUST_294"/>
        <s v="CUST_295"/>
        <s v="CUST_296"/>
        <s v="CUST_297"/>
        <s v="CUST_298"/>
        <s v="CUST_299"/>
        <s v="CUST_3"/>
        <s v="CUST_30"/>
        <s v="CUST_300"/>
        <s v="CUST_301"/>
        <s v="CUST_302"/>
        <s v="CUST_303"/>
        <s v="CUST_304"/>
        <s v="CUST_305"/>
        <s v="CUST_306"/>
        <s v="CUST_307"/>
        <s v="CUST_308"/>
        <s v="CUST_309"/>
        <s v="CUST_31"/>
        <s v="CUST_310"/>
        <s v="CUST_311"/>
        <s v="CUST_312"/>
        <s v="CUST_313"/>
        <s v="CUST_314"/>
        <s v="CUST_315"/>
        <s v="CUST_316"/>
        <s v="CUST_317"/>
        <s v="CUST_318"/>
        <s v="CUST_319"/>
        <s v="CUST_32"/>
        <s v="CUST_320"/>
        <s v="CUST_321"/>
        <s v="CUST_322"/>
        <s v="CUST_323"/>
        <s v="CUST_324"/>
        <s v="CUST_325"/>
        <s v="CUST_326"/>
        <s v="CUST_327"/>
        <s v="CUST_328"/>
        <s v="CUST_329"/>
        <s v="CUST_33"/>
        <s v="CUST_330"/>
        <s v="CUST_331"/>
        <s v="CUST_332"/>
        <s v="CUST_333"/>
        <s v="CUST_334"/>
        <s v="CUST_335"/>
        <s v="CUST_336"/>
        <s v="CUST_337"/>
        <s v="CUST_338"/>
        <s v="CUST_339"/>
        <s v="CUST_34"/>
        <s v="CUST_340"/>
        <s v="CUST_341"/>
        <s v="CUST_342"/>
        <s v="CUST_343"/>
        <s v="CUST_344"/>
        <s v="CUST_345"/>
        <s v="CUST_346"/>
        <s v="CUST_347"/>
        <s v="CUST_348"/>
        <s v="CUST_349"/>
        <s v="CUST_35"/>
        <s v="CUST_350"/>
        <s v="CUST_351"/>
        <s v="CUST_352"/>
        <s v="CUST_353"/>
        <s v="CUST_354"/>
        <s v="CUST_355"/>
        <s v="CUST_356"/>
        <s v="CUST_357"/>
        <s v="CUST_358"/>
        <s v="CUST_359"/>
        <s v="CUST_36"/>
        <s v="CUST_360"/>
        <s v="CUST_361"/>
        <s v="CUST_362"/>
        <s v="CUST_363"/>
        <s v="CUST_364"/>
        <s v="CUST_365"/>
        <s v="CUST_366"/>
        <s v="CUST_367"/>
        <s v="CUST_368"/>
        <s v="CUST_369"/>
        <s v="CUST_37"/>
        <s v="CUST_370"/>
        <s v="CUST_371"/>
        <s v="CUST_372"/>
        <s v="CUST_373"/>
        <s v="CUST_374"/>
        <s v="CUST_375"/>
        <s v="CUST_376"/>
        <s v="CUST_377"/>
        <s v="CUST_378"/>
        <s v="CUST_379"/>
        <s v="CUST_38"/>
        <s v="CUST_380"/>
        <s v="CUST_381"/>
        <s v="CUST_382"/>
        <s v="CUST_383"/>
        <s v="CUST_384"/>
        <s v="CUST_385"/>
        <s v="CUST_386"/>
        <s v="CUST_387"/>
        <s v="CUST_388"/>
        <s v="CUST_389"/>
        <s v="CUST_39"/>
        <s v="CUST_390"/>
        <s v="CUST_391"/>
        <s v="CUST_392"/>
        <s v="CUST_393"/>
        <s v="CUST_394"/>
        <s v="CUST_395"/>
        <s v="CUST_396"/>
        <s v="CUST_397"/>
        <s v="CUST_398"/>
        <s v="CUST_399"/>
        <s v="CUST_4"/>
        <s v="CUST_40"/>
        <s v="CUST_400"/>
        <s v="CUST_401"/>
        <s v="CUST_402"/>
        <s v="CUST_403"/>
        <s v="CUST_404"/>
        <s v="CUST_405"/>
        <s v="CUST_406"/>
        <s v="CUST_407"/>
        <s v="CUST_408"/>
        <s v="CUST_409"/>
        <s v="CUST_41"/>
        <s v="CUST_410"/>
        <s v="CUST_411"/>
        <s v="CUST_412"/>
        <s v="CUST_413"/>
        <s v="CUST_414"/>
        <s v="CUST_415"/>
        <s v="CUST_416"/>
        <s v="CUST_417"/>
        <s v="CUST_418"/>
        <s v="CUST_419"/>
        <s v="CUST_42"/>
        <s v="CUST_420"/>
        <s v="CUST_421"/>
        <s v="CUST_422"/>
        <s v="CUST_423"/>
        <s v="CUST_424"/>
        <s v="CUST_425"/>
        <s v="CUST_426"/>
        <s v="CUST_427"/>
        <s v="CUST_428"/>
        <s v="CUST_429"/>
        <s v="CUST_43"/>
        <s v="CUST_430"/>
        <s v="CUST_431"/>
        <s v="CUST_432"/>
        <s v="CUST_433"/>
        <s v="CUST_434"/>
        <s v="CUST_435"/>
        <s v="CUST_436"/>
        <s v="CUST_437"/>
        <s v="CUST_438"/>
        <s v="CUST_439"/>
        <s v="CUST_44"/>
        <s v="CUST_440"/>
        <s v="CUST_441"/>
        <s v="CUST_442"/>
        <s v="CUST_443"/>
        <s v="CUST_444"/>
        <s v="CUST_445"/>
        <s v="CUST_446"/>
        <s v="CUST_447"/>
        <s v="CUST_448"/>
        <s v="CUST_449"/>
        <s v="CUST_45"/>
        <s v="CUST_450"/>
        <s v="CUST_451"/>
        <s v="CUST_452"/>
        <s v="CUST_453"/>
        <s v="CUST_454"/>
        <s v="CUST_455"/>
        <s v="CUST_456"/>
        <s v="CUST_457"/>
        <s v="CUST_458"/>
        <s v="CUST_459"/>
        <s v="CUST_46"/>
        <s v="CUST_460"/>
        <s v="CUST_461"/>
        <s v="CUST_462"/>
        <s v="CUST_463"/>
        <s v="CUST_464"/>
        <s v="CUST_465"/>
        <s v="CUST_466"/>
        <s v="CUST_467"/>
        <s v="CUST_468"/>
        <s v="CUST_469"/>
        <s v="CUST_47"/>
        <s v="CUST_470"/>
        <s v="CUST_471"/>
        <s v="CUST_472"/>
        <s v="CUST_473"/>
        <s v="CUST_474"/>
        <s v="CUST_475"/>
        <s v="CUST_476"/>
        <s v="CUST_477"/>
        <s v="CUST_478"/>
        <s v="CUST_479"/>
        <s v="CUST_48"/>
        <s v="CUST_480"/>
        <s v="CUST_481"/>
        <s v="CUST_482"/>
        <s v="CUST_483"/>
        <s v="CUST_484"/>
        <s v="CUST_485"/>
        <s v="CUST_486"/>
        <s v="CUST_487"/>
        <s v="CUST_488"/>
        <s v="CUST_489"/>
        <s v="CUST_49"/>
        <s v="CUST_490"/>
        <s v="CUST_491"/>
        <s v="CUST_492"/>
        <s v="CUST_493"/>
        <s v="CUST_494"/>
        <s v="CUST_495"/>
        <s v="CUST_496"/>
        <s v="CUST_497"/>
        <s v="CUST_498"/>
        <s v="CUST_499"/>
        <s v="CUST_5"/>
        <s v="CUST_50"/>
        <s v="CUST_500"/>
        <s v="CUST_501"/>
        <s v="CUST_502"/>
        <s v="CUST_503"/>
        <s v="CUST_504"/>
        <s v="CUST_505"/>
        <s v="CUST_506"/>
        <s v="CUST_507"/>
        <s v="CUST_508"/>
        <s v="CUST_509"/>
        <s v="CUST_51"/>
        <s v="CUST_510"/>
        <s v="CUST_511"/>
        <s v="CUST_512"/>
        <s v="CUST_513"/>
        <s v="CUST_514"/>
        <s v="CUST_515"/>
        <s v="CUST_516"/>
        <s v="CUST_517"/>
        <s v="CUST_518"/>
        <s v="CUST_519"/>
        <s v="CUST_52"/>
        <s v="CUST_520"/>
        <s v="CUST_521"/>
        <s v="CUST_522"/>
        <s v="CUST_523"/>
        <s v="CUST_524"/>
        <s v="CUST_525"/>
        <s v="CUST_526"/>
        <s v="CUST_527"/>
        <s v="CUST_528"/>
        <s v="CUST_529"/>
        <s v="CUST_53"/>
        <s v="CUST_530"/>
        <s v="CUST_531"/>
        <s v="CUST_532"/>
        <s v="CUST_533"/>
        <s v="CUST_534"/>
        <s v="CUST_535"/>
        <s v="CUST_536"/>
        <s v="CUST_537"/>
        <s v="CUST_538"/>
        <s v="CUST_539"/>
        <s v="CUST_54"/>
        <s v="CUST_540"/>
        <s v="CUST_541"/>
        <s v="CUST_542"/>
        <s v="CUST_543"/>
        <s v="CUST_544"/>
        <s v="CUST_545"/>
        <s v="CUST_546"/>
        <s v="CUST_547"/>
        <s v="CUST_548"/>
        <s v="CUST_549"/>
        <s v="CUST_55"/>
        <s v="CUST_550"/>
        <s v="CUST_551"/>
        <s v="CUST_552"/>
        <s v="CUST_553"/>
        <s v="CUST_554"/>
        <s v="CUST_555"/>
        <s v="CUST_556"/>
        <s v="CUST_557"/>
        <s v="CUST_558"/>
        <s v="CUST_559"/>
        <s v="CUST_56"/>
        <s v="CUST_560"/>
        <s v="CUST_561"/>
        <s v="CUST_562"/>
        <s v="CUST_563"/>
        <s v="CUST_564"/>
        <s v="CUST_565"/>
        <s v="CUST_566"/>
        <s v="CUST_567"/>
        <s v="CUST_568"/>
        <s v="CUST_569"/>
        <s v="CUST_57"/>
        <s v="CUST_570"/>
        <s v="CUST_571"/>
        <s v="CUST_572"/>
        <s v="CUST_573"/>
        <s v="CUST_574"/>
        <s v="CUST_575"/>
        <s v="CUST_576"/>
        <s v="CUST_577"/>
        <s v="CUST_578"/>
        <s v="CUST_579"/>
        <s v="CUST_58"/>
        <s v="CUST_580"/>
        <s v="CUST_581"/>
        <s v="CUST_582"/>
        <s v="CUST_583"/>
        <s v="CUST_584"/>
        <s v="CUST_585"/>
        <s v="CUST_586"/>
        <s v="CUST_587"/>
        <s v="CUST_588"/>
        <s v="CUST_59"/>
        <s v="CUST_6"/>
        <s v="CUST_60"/>
        <s v="CUST_61"/>
        <s v="CUST_62"/>
        <s v="CUST_63"/>
        <s v="CUST_64"/>
        <s v="CUST_65"/>
        <s v="CUST_66"/>
        <s v="CUST_67"/>
        <s v="CUST_68"/>
        <s v="CUST_69"/>
        <s v="CUST_7"/>
        <s v="CUST_70"/>
        <s v="CUST_71"/>
        <s v="CUST_72"/>
        <s v="CUST_73"/>
        <s v="CUST_74"/>
        <s v="CUST_75"/>
        <s v="CUST_76"/>
        <s v="CUST_77"/>
        <s v="CUST_78"/>
        <s v="CUST_79"/>
        <s v="CUST_8"/>
        <s v="CUST_80"/>
        <s v="CUST_81"/>
        <s v="CUST_82"/>
        <s v="CUST_83"/>
        <s v="CUST_84"/>
        <s v="CUST_85"/>
        <s v="CUST_86"/>
        <s v="CUST_87"/>
        <s v="CUST_88"/>
        <s v="CUST_89"/>
        <s v="CUST_9"/>
        <s v="CUST_90"/>
        <s v="CUST_91"/>
        <s v="CUST_92"/>
        <s v="CUST_93"/>
        <s v="CUST_94"/>
        <s v="CUST_95"/>
        <s v="CUST_96"/>
        <s v="CUST_97"/>
        <s v="CUST_98"/>
        <s v="CUST_99"/>
      </sharedItems>
    </cacheField>
    <cacheField name="[Measures].[Count of Promo_Flag]" caption="Count of Promo_Flag" numFmtId="0" hierarchy="38" level="32767"/>
  </cacheFields>
  <cacheHierarchies count="40">
    <cacheHierarchy uniqueName="[Range].[Row Labels]" caption="Row Labels" attribute="1" defaultMemberUniqueName="[Range].[Row Labels].[All]" allUniqueName="[Range].[Row Labels].[All]" dimensionUniqueName="[Range]" displayFolder="" count="0" memberValueDatatype="130" unbalanced="0"/>
    <cacheHierarchy uniqueName="[Range].[Last_Order_Date]" caption="Last_Order_Date" attribute="1" time="1" defaultMemberUniqueName="[Range].[Last_Order_Date].[All]" allUniqueName="[Range].[Last_Order_Date].[All]" dimensionUniqueName="[Range]" displayFolder="" count="0" memberValueDatatype="7" unbalanced="0"/>
    <cacheHierarchy uniqueName="[Range].[Monetary]" caption="Monetary" attribute="1" defaultMemberUniqueName="[Range].[Monetary].[All]" allUniqueName="[Range].[Monetary].[All]" dimensionUniqueName="[Range]" displayFolder="" count="0" memberValueDatatype="20" unbalanced="0"/>
    <cacheHierarchy uniqueName="[Range].[Frequency]" caption="Frequency" attribute="1" defaultMemberUniqueName="[Range].[Frequency].[All]" allUniqueName="[Range].[Frequency].[All]" dimensionUniqueName="[Range]" displayFolder="" count="0" memberValueDatatype="20" unbalanced="0"/>
    <cacheHierarchy uniqueName="[Range].[Recency_Days]" caption="Recency_Days" attribute="1" defaultMemberUniqueName="[Range].[Recency_Days].[All]" allUniqueName="[Range].[Recency_Days].[All]" dimensionUniqueName="[Range]" displayFolder="" count="0" memberValueDatatype="20" unbalanced="0"/>
    <cacheHierarchy uniqueName="[Range].[Recency Score]" caption="Recency Score" attribute="1" defaultMemberUniqueName="[Range].[Recency Score].[All]" allUniqueName="[Range].[Recency Score].[All]" dimensionUniqueName="[Range]" displayFolder="" count="0" memberValueDatatype="20" unbalanced="0"/>
    <cacheHierarchy uniqueName="[Range].[Frequency Score]" caption="Frequency Score" attribute="1" defaultMemberUniqueName="[Range].[Frequency Score].[All]" allUniqueName="[Range].[Frequency Score].[All]" dimensionUniqueName="[Range]" displayFolder="" count="0" memberValueDatatype="20" unbalanced="0"/>
    <cacheHierarchy uniqueName="[Range].[Monetary Score]" caption="Monetary Score" attribute="1" defaultMemberUniqueName="[Range].[Monetary Score].[All]" allUniqueName="[Range].[Monetary Score].[All]" dimensionUniqueName="[Range]" displayFolder="" count="0" memberValueDatatype="20" unbalanced="0"/>
    <cacheHierarchy uniqueName="[Range].[RFM Code]" caption="RFM Code" attribute="1" defaultMemberUniqueName="[Range].[RFM Code].[All]" allUniqueName="[Range].[RFM Code].[All]" dimensionUniqueName="[Range]" displayFolder="" count="0" memberValueDatatype="130" unbalanced="0"/>
    <cacheHierarchy uniqueName="[Range].[Customer_Segment]" caption="Customer_Segment" attribute="1" defaultMemberUniqueName="[Range].[Customer_Segment].[All]" allUniqueName="[Range].[Customer_Segment].[All]" dimensionUniqueName="[Range]" displayFolder="" count="0" memberValueDatatype="130" unbalanced="0"/>
    <cacheHierarchy uniqueName="[Range].[Churn_Status]" caption="Churn_Status" attribute="1" defaultMemberUniqueName="[Range].[Churn_Status].[All]" allUniqueName="[Range].[Churn_Status].[All]" dimensionUniqueName="[Range]" displayFolder="" count="0" memberValueDatatype="130" unbalanced="0"/>
    <cacheHierarchy uniqueName="[Range].[Risk Tier]" caption="Risk Tier" attribute="1" defaultMemberUniqueName="[Range].[Risk Tier].[All]" allUniqueName="[Range].[Risk Tier].[All]" dimensionUniqueName="[Range]" displayFolder="" count="0" memberValueDatatype="130" unbalanced="0"/>
    <cacheHierarchy uniqueName="[Range].[Used_Promo]" caption="Used_Promo" attribute="1" defaultMemberUniqueName="[Range].[Used_Promo].[All]" allUniqueName="[Range].[Used_Promo].[All]" dimensionUniqueName="[Range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Area]" caption="Area" attribute="1" defaultMemberUniqueName="[Table1].[Area].[All]" allUniqueName="[Table1].[Area].[All]" dimensionUniqueName="[Table1]" displayFolder="" count="0" memberValueDatatype="130" unbalanced="0"/>
    <cacheHierarchy uniqueName="[Table1].[Restaurant_Name]" caption="Restaurant_Name" attribute="1" defaultMemberUniqueName="[Table1].[Restaurant_Name].[All]" allUniqueName="[Table1].[Restaurant_Name].[All]" dimensionUniqueName="[Table1]" displayFolder="" count="0" memberValueDatatype="130" unbalanced="0"/>
    <cacheHierarchy uniqueName="[Table1].[Cuisine_Type]" caption="Cuisine_Type" attribute="1" defaultMemberUniqueName="[Table1].[Cuisine_Type].[All]" allUniqueName="[Table1].[Cuisine_Type].[All]" dimensionUniqueName="[Table1]" displayFolder="" count="0" memberValueDatatype="130" unbalanced="0"/>
    <cacheHierarchy uniqueName="[Table1].[Item_Name]" caption="Item_Name" attribute="1" defaultMemberUniqueName="[Table1].[Item_Name].[All]" allUniqueName="[Table1].[Item_Name].[All]" dimensionUniqueName="[Table1]" displayFolder="" count="0" memberValueDatatype="130" unbalanced="0"/>
    <cacheHierarchy uniqueName="[Table1].[Food_Type]" caption="Food_Type" attribute="1" defaultMemberUniqueName="[Table1].[Food_Type].[All]" allUniqueName="[Table1].[Food_Typ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Total_Amount]" caption="Total_Amount" attribute="1" defaultMemberUniqueName="[Table1].[Total_Amount].[All]" allUniqueName="[Table1].[Total_Amount].[All]" dimensionUniqueName="[Table1]" displayFolder="" count="0" memberValueDatatype="20" unbalanced="0"/>
    <cacheHierarchy uniqueName="[Table1].[Delivery_Time (mins)]" caption="Delivery_Time (mins)" attribute="1" defaultMemberUniqueName="[Table1].[Delivery_Time (mins)].[All]" allUniqueName="[Table1].[Delivery_Time (mins)].[All]" dimensionUniqueName="[Table1]" displayFolder="" count="0" memberValueDatatype="2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5" unbalanced="0"/>
    <cacheHierarchy uniqueName="[Table1].[Order_Month]" caption="Order_Month" attribute="1" time="1" defaultMemberUniqueName="[Table1].[Order_Month].[All]" allUniqueName="[Table1].[Order_Month].[All]" dimensionUniqueName="[Table1]" displayFolder="" count="0" memberValueDatatype="7" unbalanced="0"/>
    <cacheHierarchy uniqueName="[Table1].[Order_Week]" caption="Order_Week" attribute="1" defaultMemberUniqueName="[Table1].[Order_Week].[All]" allUniqueName="[Table1].[Order_Week].[All]" dimensionUniqueName="[Table1]" displayFolder="" count="0" memberValueDatatype="20" unbalanced="0"/>
    <cacheHierarchy uniqueName="[Table1].[Order_Year]" caption="Order_Year" attribute="1" defaultMemberUniqueName="[Table1].[Order_Year].[All]" allUniqueName="[Table1].[Order_Year].[All]" dimensionUniqueName="[Table1]" displayFolder="" count="0" memberValueDatatype="20" unbalanced="0"/>
    <cacheHierarchy uniqueName="[Table1].[Promo_Flag]" caption="Promo_Flag" attribute="1" defaultMemberUniqueName="[Table1].[Promo_Flag].[All]" allUniqueName="[Table1].[Promo_Flag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Amount]" caption="Sum of Total_Amount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Total_Amount]" caption="Average of Total_Amount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romo_Flag]" caption="Count of Promo_Flag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ow Labels]" caption="Count of Row Labels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msi Yellapu" refreshedDate="46067.032367361113" backgroundQuery="1" createdVersion="8" refreshedVersion="8" minRefreshableVersion="3" recordCount="0" supportSubquery="1" supportAdvancedDrill="1" xr:uid="{5225C1C7-475E-4C0D-8E6B-34A0DE0F9842}">
  <cacheSource type="external" connectionId="1"/>
  <cacheFields count="3">
    <cacheField name="[Range].[Used_Promo].[Used_Promo]" caption="Used_Promo" numFmtId="0" hierarchy="12" level="1">
      <sharedItems count="2">
        <s v="No"/>
        <s v="Yes"/>
      </sharedItems>
    </cacheField>
    <cacheField name="[Range].[Churn_Status].[Churn_Status]" caption="Churn_Status" numFmtId="0" hierarchy="10" level="1">
      <sharedItems count="2">
        <s v="Active"/>
        <s v="Churned"/>
      </sharedItems>
    </cacheField>
    <cacheField name="[Measures].[Count of Row Labels]" caption="Count of Row Labels" numFmtId="0" hierarchy="39" level="32767"/>
  </cacheFields>
  <cacheHierarchies count="40">
    <cacheHierarchy uniqueName="[Range].[Row Labels]" caption="Row Labels" attribute="1" defaultMemberUniqueName="[Range].[Row Labels].[All]" allUniqueName="[Range].[Row Labels].[All]" dimensionUniqueName="[Range]" displayFolder="" count="0" memberValueDatatype="130" unbalanced="0"/>
    <cacheHierarchy uniqueName="[Range].[Last_Order_Date]" caption="Last_Order_Date" attribute="1" time="1" defaultMemberUniqueName="[Range].[Last_Order_Date].[All]" allUniqueName="[Range].[Last_Order_Date].[All]" dimensionUniqueName="[Range]" displayFolder="" count="0" memberValueDatatype="7" unbalanced="0"/>
    <cacheHierarchy uniqueName="[Range].[Monetary]" caption="Monetary" attribute="1" defaultMemberUniqueName="[Range].[Monetary].[All]" allUniqueName="[Range].[Monetary].[All]" dimensionUniqueName="[Range]" displayFolder="" count="0" memberValueDatatype="20" unbalanced="0"/>
    <cacheHierarchy uniqueName="[Range].[Frequency]" caption="Frequency" attribute="1" defaultMemberUniqueName="[Range].[Frequency].[All]" allUniqueName="[Range].[Frequency].[All]" dimensionUniqueName="[Range]" displayFolder="" count="0" memberValueDatatype="20" unbalanced="0"/>
    <cacheHierarchy uniqueName="[Range].[Recency_Days]" caption="Recency_Days" attribute="1" defaultMemberUniqueName="[Range].[Recency_Days].[All]" allUniqueName="[Range].[Recency_Days].[All]" dimensionUniqueName="[Range]" displayFolder="" count="0" memberValueDatatype="20" unbalanced="0"/>
    <cacheHierarchy uniqueName="[Range].[Recency Score]" caption="Recency Score" attribute="1" defaultMemberUniqueName="[Range].[Recency Score].[All]" allUniqueName="[Range].[Recency Score].[All]" dimensionUniqueName="[Range]" displayFolder="" count="0" memberValueDatatype="20" unbalanced="0"/>
    <cacheHierarchy uniqueName="[Range].[Frequency Score]" caption="Frequency Score" attribute="1" defaultMemberUniqueName="[Range].[Frequency Score].[All]" allUniqueName="[Range].[Frequency Score].[All]" dimensionUniqueName="[Range]" displayFolder="" count="0" memberValueDatatype="20" unbalanced="0"/>
    <cacheHierarchy uniqueName="[Range].[Monetary Score]" caption="Monetary Score" attribute="1" defaultMemberUniqueName="[Range].[Monetary Score].[All]" allUniqueName="[Range].[Monetary Score].[All]" dimensionUniqueName="[Range]" displayFolder="" count="0" memberValueDatatype="20" unbalanced="0"/>
    <cacheHierarchy uniqueName="[Range].[RFM Code]" caption="RFM Code" attribute="1" defaultMemberUniqueName="[Range].[RFM Code].[All]" allUniqueName="[Range].[RFM Code].[All]" dimensionUniqueName="[Range]" displayFolder="" count="0" memberValueDatatype="130" unbalanced="0"/>
    <cacheHierarchy uniqueName="[Range].[Customer_Segment]" caption="Customer_Segment" attribute="1" defaultMemberUniqueName="[Range].[Customer_Segment].[All]" allUniqueName="[Range].[Customer_Segment].[All]" dimensionUniqueName="[Range]" displayFolder="" count="0" memberValueDatatype="130" unbalanced="0"/>
    <cacheHierarchy uniqueName="[Range].[Churn_Status]" caption="Churn_Status" attribute="1" defaultMemberUniqueName="[Range].[Churn_Status].[All]" allUniqueName="[Range].[Churn_Status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isk Tier]" caption="Risk Tier" attribute="1" defaultMemberUniqueName="[Range].[Risk Tier].[All]" allUniqueName="[Range].[Risk Tier].[All]" dimensionUniqueName="[Range]" displayFolder="" count="0" memberValueDatatype="130" unbalanced="0"/>
    <cacheHierarchy uniqueName="[Range].[Used_Promo]" caption="Used_Promo" attribute="1" defaultMemberUniqueName="[Range].[Used_Promo].[All]" allUniqueName="[Range].[Used_Promo].[All]" dimensionUniqueName="[Range]" displayFolder="" count="2" memberValueDatatype="130" unbalanced="0">
      <fieldsUsage count="2">
        <fieldUsage x="-1"/>
        <fieldUsage x="0"/>
      </fieldsUsage>
    </cacheHierarchy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Area]" caption="Area" attribute="1" defaultMemberUniqueName="[Table1].[Area].[All]" allUniqueName="[Table1].[Area].[All]" dimensionUniqueName="[Table1]" displayFolder="" count="0" memberValueDatatype="130" unbalanced="0"/>
    <cacheHierarchy uniqueName="[Table1].[Restaurant_Name]" caption="Restaurant_Name" attribute="1" defaultMemberUniqueName="[Table1].[Restaurant_Name].[All]" allUniqueName="[Table1].[Restaurant_Name].[All]" dimensionUniqueName="[Table1]" displayFolder="" count="0" memberValueDatatype="130" unbalanced="0"/>
    <cacheHierarchy uniqueName="[Table1].[Cuisine_Type]" caption="Cuisine_Type" attribute="1" defaultMemberUniqueName="[Table1].[Cuisine_Type].[All]" allUniqueName="[Table1].[Cuisine_Type].[All]" dimensionUniqueName="[Table1]" displayFolder="" count="0" memberValueDatatype="130" unbalanced="0"/>
    <cacheHierarchy uniqueName="[Table1].[Item_Name]" caption="Item_Name" attribute="1" defaultMemberUniqueName="[Table1].[Item_Name].[All]" allUniqueName="[Table1].[Item_Name].[All]" dimensionUniqueName="[Table1]" displayFolder="" count="0" memberValueDatatype="130" unbalanced="0"/>
    <cacheHierarchy uniqueName="[Table1].[Food_Type]" caption="Food_Type" attribute="1" defaultMemberUniqueName="[Table1].[Food_Type].[All]" allUniqueName="[Table1].[Food_Typ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Total_Amount]" caption="Total_Amount" attribute="1" defaultMemberUniqueName="[Table1].[Total_Amount].[All]" allUniqueName="[Table1].[Total_Amount].[All]" dimensionUniqueName="[Table1]" displayFolder="" count="0" memberValueDatatype="20" unbalanced="0"/>
    <cacheHierarchy uniqueName="[Table1].[Delivery_Time (mins)]" caption="Delivery_Time (mins)" attribute="1" defaultMemberUniqueName="[Table1].[Delivery_Time (mins)].[All]" allUniqueName="[Table1].[Delivery_Time (mins)].[All]" dimensionUniqueName="[Table1]" displayFolder="" count="0" memberValueDatatype="2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5" unbalanced="0"/>
    <cacheHierarchy uniqueName="[Table1].[Order_Month]" caption="Order_Month" attribute="1" time="1" defaultMemberUniqueName="[Table1].[Order_Month].[All]" allUniqueName="[Table1].[Order_Month].[All]" dimensionUniqueName="[Table1]" displayFolder="" count="0" memberValueDatatype="7" unbalanced="0"/>
    <cacheHierarchy uniqueName="[Table1].[Order_Week]" caption="Order_Week" attribute="1" defaultMemberUniqueName="[Table1].[Order_Week].[All]" allUniqueName="[Table1].[Order_Week].[All]" dimensionUniqueName="[Table1]" displayFolder="" count="0" memberValueDatatype="20" unbalanced="0"/>
    <cacheHierarchy uniqueName="[Table1].[Order_Year]" caption="Order_Year" attribute="1" defaultMemberUniqueName="[Table1].[Order_Year].[All]" allUniqueName="[Table1].[Order_Year].[All]" dimensionUniqueName="[Table1]" displayFolder="" count="0" memberValueDatatype="20" unbalanced="0"/>
    <cacheHierarchy uniqueName="[Table1].[Promo_Flag]" caption="Promo_Flag" attribute="1" defaultMemberUniqueName="[Table1].[Promo_Flag].[All]" allUniqueName="[Table1].[Promo_Flag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Amount]" caption="Sum of Total_Amount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Total_Amount]" caption="Average of Total_Amount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romo_Flag]" caption="Count of Promo_Flag" measure="1" displayFolder="" measureGroup="Tabl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Row Labels]" caption="Count of Row Label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">
  <r>
    <s v="CUST_1"/>
    <d v="2024-10-14T00:00:00"/>
    <n v="461"/>
    <n v="1"/>
    <n v="13"/>
    <n v="5"/>
    <n v="2"/>
    <n v="1"/>
    <s v="521"/>
    <s v="Recent Customers"/>
    <x v="0"/>
  </r>
  <r>
    <s v="CUST_10"/>
    <d v="2024-04-01T00:00:00"/>
    <n v="790"/>
    <n v="1"/>
    <n v="209"/>
    <n v="1"/>
    <n v="2"/>
    <n v="1"/>
    <s v="121"/>
    <s v="At Risk"/>
    <x v="1"/>
  </r>
  <r>
    <s v="CUST_100"/>
    <d v="2024-10-09T00:00:00"/>
    <n v="1392"/>
    <n v="1"/>
    <n v="18"/>
    <n v="5"/>
    <n v="2"/>
    <n v="2"/>
    <s v="522"/>
    <s v="Recent Customers"/>
    <x v="0"/>
  </r>
  <r>
    <s v="CUST_101"/>
    <d v="2024-06-18T00:00:00"/>
    <n v="327"/>
    <n v="1"/>
    <n v="131"/>
    <n v="2"/>
    <n v="2"/>
    <n v="1"/>
    <s v="221"/>
    <s v="At Risk"/>
    <x v="1"/>
  </r>
  <r>
    <s v="CUST_102"/>
    <d v="2024-07-11T00:00:00"/>
    <n v="108"/>
    <n v="1"/>
    <n v="108"/>
    <n v="2"/>
    <n v="2"/>
    <n v="1"/>
    <s v="221"/>
    <s v="At Risk"/>
    <x v="1"/>
  </r>
  <r>
    <s v="CUST_103"/>
    <d v="2024-04-23T00:00:00"/>
    <n v="930"/>
    <n v="1"/>
    <n v="187"/>
    <n v="1"/>
    <n v="2"/>
    <n v="2"/>
    <s v="122"/>
    <s v="At Risk"/>
    <x v="1"/>
  </r>
  <r>
    <s v="CUST_104"/>
    <d v="2024-05-10T00:00:00"/>
    <n v="1140"/>
    <n v="1"/>
    <n v="170"/>
    <n v="1"/>
    <n v="2"/>
    <n v="2"/>
    <s v="122"/>
    <s v="At Risk"/>
    <x v="1"/>
  </r>
  <r>
    <s v="CUST_105"/>
    <d v="2024-09-06T00:00:00"/>
    <n v="852"/>
    <n v="1"/>
    <n v="51"/>
    <n v="4"/>
    <n v="2"/>
    <n v="1"/>
    <s v="421"/>
    <s v="Recent Customers"/>
    <x v="0"/>
  </r>
  <r>
    <s v="CUST_106"/>
    <d v="2024-10-21T00:00:00"/>
    <n v="480"/>
    <n v="1"/>
    <n v="6"/>
    <n v="5"/>
    <n v="2"/>
    <n v="1"/>
    <s v="521"/>
    <s v="Recent Customers"/>
    <x v="0"/>
  </r>
  <r>
    <s v="CUST_107"/>
    <d v="2024-08-22T00:00:00"/>
    <n v="1332"/>
    <n v="1"/>
    <n v="66"/>
    <n v="3"/>
    <n v="2"/>
    <n v="2"/>
    <s v="322"/>
    <s v="Potential Loyalist"/>
    <x v="0"/>
  </r>
  <r>
    <s v="CUST_108"/>
    <d v="2024-07-31T00:00:00"/>
    <n v="1444"/>
    <n v="1"/>
    <n v="88"/>
    <n v="3"/>
    <n v="2"/>
    <n v="2"/>
    <s v="322"/>
    <s v="Potential Loyalist"/>
    <x v="0"/>
  </r>
  <r>
    <s v="CUST_109"/>
    <d v="2024-09-30T00:00:00"/>
    <n v="158"/>
    <n v="1"/>
    <n v="27"/>
    <n v="5"/>
    <n v="2"/>
    <n v="1"/>
    <s v="521"/>
    <s v="Recent Customers"/>
    <x v="0"/>
  </r>
  <r>
    <s v="CUST_11"/>
    <d v="2024-10-15T00:00:00"/>
    <n v="792"/>
    <n v="1"/>
    <n v="12"/>
    <n v="5"/>
    <n v="2"/>
    <n v="1"/>
    <s v="521"/>
    <s v="Recent Customers"/>
    <x v="0"/>
  </r>
  <r>
    <s v="CUST_110"/>
    <d v="2024-07-01T00:00:00"/>
    <n v="232"/>
    <n v="1"/>
    <n v="118"/>
    <n v="2"/>
    <n v="2"/>
    <n v="1"/>
    <s v="221"/>
    <s v="At Risk"/>
    <x v="1"/>
  </r>
  <r>
    <s v="CUST_111"/>
    <d v="2024-05-17T00:00:00"/>
    <n v="990"/>
    <n v="1"/>
    <n v="163"/>
    <n v="1"/>
    <n v="2"/>
    <n v="2"/>
    <s v="122"/>
    <s v="At Risk"/>
    <x v="1"/>
  </r>
  <r>
    <s v="CUST_112"/>
    <d v="2024-08-19T00:00:00"/>
    <n v="495"/>
    <n v="1"/>
    <n v="69"/>
    <n v="3"/>
    <n v="2"/>
    <n v="1"/>
    <s v="321"/>
    <s v="Potential Loyalist"/>
    <x v="0"/>
  </r>
  <r>
    <s v="CUST_113"/>
    <d v="2024-10-22T00:00:00"/>
    <n v="1845"/>
    <n v="1"/>
    <n v="5"/>
    <n v="5"/>
    <n v="2"/>
    <n v="3"/>
    <s v="523"/>
    <s v="Recent Customers"/>
    <x v="0"/>
  </r>
  <r>
    <s v="CUST_114"/>
    <d v="2024-09-17T00:00:00"/>
    <n v="712"/>
    <n v="1"/>
    <n v="40"/>
    <n v="4"/>
    <n v="2"/>
    <n v="1"/>
    <s v="421"/>
    <s v="Recent Customers"/>
    <x v="0"/>
  </r>
  <r>
    <s v="CUST_115"/>
    <d v="2024-06-23T00:00:00"/>
    <n v="786"/>
    <n v="1"/>
    <n v="126"/>
    <n v="2"/>
    <n v="2"/>
    <n v="1"/>
    <s v="221"/>
    <s v="At Risk"/>
    <x v="1"/>
  </r>
  <r>
    <s v="CUST_116"/>
    <d v="2024-09-19T00:00:00"/>
    <n v="1930"/>
    <n v="1"/>
    <n v="38"/>
    <n v="4"/>
    <n v="2"/>
    <n v="3"/>
    <s v="423"/>
    <s v="Recent Customers"/>
    <x v="0"/>
  </r>
  <r>
    <s v="CUST_117"/>
    <d v="2024-01-07T00:00:00"/>
    <n v="1595"/>
    <n v="1"/>
    <n v="294"/>
    <n v="1"/>
    <n v="2"/>
    <n v="2"/>
    <s v="122"/>
    <s v="At Risk"/>
    <x v="1"/>
  </r>
  <r>
    <s v="CUST_118"/>
    <d v="2024-09-15T00:00:00"/>
    <n v="826"/>
    <n v="1"/>
    <n v="42"/>
    <n v="4"/>
    <n v="2"/>
    <n v="1"/>
    <s v="421"/>
    <s v="Recent Customers"/>
    <x v="0"/>
  </r>
  <r>
    <s v="CUST_119"/>
    <d v="2024-08-28T00:00:00"/>
    <n v="666"/>
    <n v="1"/>
    <n v="60"/>
    <n v="3"/>
    <n v="2"/>
    <n v="1"/>
    <s v="321"/>
    <s v="Potential Loyalist"/>
    <x v="0"/>
  </r>
  <r>
    <s v="CUST_12"/>
    <d v="2024-05-29T00:00:00"/>
    <n v="1548"/>
    <n v="1"/>
    <n v="151"/>
    <n v="1"/>
    <n v="2"/>
    <n v="2"/>
    <s v="122"/>
    <s v="At Risk"/>
    <x v="1"/>
  </r>
  <r>
    <s v="CUST_120"/>
    <d v="2024-04-15T00:00:00"/>
    <n v="1473"/>
    <n v="1"/>
    <n v="195"/>
    <n v="1"/>
    <n v="2"/>
    <n v="2"/>
    <s v="122"/>
    <s v="At Risk"/>
    <x v="1"/>
  </r>
  <r>
    <s v="CUST_121"/>
    <d v="2024-01-27T00:00:00"/>
    <n v="322"/>
    <n v="1"/>
    <n v="274"/>
    <n v="1"/>
    <n v="2"/>
    <n v="1"/>
    <s v="121"/>
    <s v="At Risk"/>
    <x v="1"/>
  </r>
  <r>
    <s v="CUST_122"/>
    <d v="2024-01-31T00:00:00"/>
    <n v="700"/>
    <n v="1"/>
    <n v="270"/>
    <n v="1"/>
    <n v="2"/>
    <n v="1"/>
    <s v="121"/>
    <s v="At Risk"/>
    <x v="1"/>
  </r>
  <r>
    <s v="CUST_123"/>
    <d v="2024-06-17T00:00:00"/>
    <n v="1392"/>
    <n v="1"/>
    <n v="132"/>
    <n v="2"/>
    <n v="2"/>
    <n v="2"/>
    <s v="222"/>
    <s v="At Risk"/>
    <x v="1"/>
  </r>
  <r>
    <s v="CUST_124"/>
    <d v="2024-01-26T00:00:00"/>
    <n v="1940"/>
    <n v="1"/>
    <n v="275"/>
    <n v="1"/>
    <n v="2"/>
    <n v="3"/>
    <s v="123"/>
    <s v="At Risk"/>
    <x v="1"/>
  </r>
  <r>
    <s v="CUST_125"/>
    <d v="2024-01-04T00:00:00"/>
    <n v="399"/>
    <n v="1"/>
    <n v="297"/>
    <n v="1"/>
    <n v="2"/>
    <n v="1"/>
    <s v="121"/>
    <s v="At Risk"/>
    <x v="1"/>
  </r>
  <r>
    <s v="CUST_126"/>
    <d v="2024-04-04T00:00:00"/>
    <n v="1458"/>
    <n v="1"/>
    <n v="206"/>
    <n v="1"/>
    <n v="2"/>
    <n v="2"/>
    <s v="122"/>
    <s v="At Risk"/>
    <x v="1"/>
  </r>
  <r>
    <s v="CUST_127"/>
    <d v="2024-09-29T00:00:00"/>
    <n v="660"/>
    <n v="1"/>
    <n v="28"/>
    <n v="4"/>
    <n v="2"/>
    <n v="1"/>
    <s v="421"/>
    <s v="Recent Customers"/>
    <x v="0"/>
  </r>
  <r>
    <s v="CUST_128"/>
    <d v="2024-04-03T00:00:00"/>
    <n v="1816"/>
    <n v="1"/>
    <n v="207"/>
    <n v="1"/>
    <n v="2"/>
    <n v="3"/>
    <s v="123"/>
    <s v="At Risk"/>
    <x v="1"/>
  </r>
  <r>
    <s v="CUST_129"/>
    <d v="2024-07-19T00:00:00"/>
    <n v="522"/>
    <n v="1"/>
    <n v="100"/>
    <n v="2"/>
    <n v="2"/>
    <n v="1"/>
    <s v="221"/>
    <s v="At Risk"/>
    <x v="1"/>
  </r>
  <r>
    <s v="CUST_13"/>
    <d v="2024-04-30T00:00:00"/>
    <n v="313"/>
    <n v="1"/>
    <n v="180"/>
    <n v="1"/>
    <n v="2"/>
    <n v="1"/>
    <s v="121"/>
    <s v="At Risk"/>
    <x v="1"/>
  </r>
  <r>
    <s v="CUST_130"/>
    <d v="2024-07-18T00:00:00"/>
    <n v="1072"/>
    <n v="1"/>
    <n v="101"/>
    <n v="2"/>
    <n v="2"/>
    <n v="2"/>
    <s v="222"/>
    <s v="At Risk"/>
    <x v="1"/>
  </r>
  <r>
    <s v="CUST_131"/>
    <d v="2024-01-15T00:00:00"/>
    <n v="2000"/>
    <n v="1"/>
    <n v="286"/>
    <n v="1"/>
    <n v="2"/>
    <n v="3"/>
    <s v="123"/>
    <s v="At Risk"/>
    <x v="1"/>
  </r>
  <r>
    <s v="CUST_132"/>
    <d v="2024-03-19T00:00:00"/>
    <n v="185"/>
    <n v="1"/>
    <n v="222"/>
    <n v="1"/>
    <n v="2"/>
    <n v="1"/>
    <s v="121"/>
    <s v="At Risk"/>
    <x v="1"/>
  </r>
  <r>
    <s v="CUST_133"/>
    <d v="2024-05-14T00:00:00"/>
    <n v="1600"/>
    <n v="1"/>
    <n v="166"/>
    <n v="1"/>
    <n v="2"/>
    <n v="2"/>
    <s v="122"/>
    <s v="At Risk"/>
    <x v="1"/>
  </r>
  <r>
    <s v="CUST_134"/>
    <d v="2024-08-07T00:00:00"/>
    <n v="466"/>
    <n v="1"/>
    <n v="81"/>
    <n v="3"/>
    <n v="2"/>
    <n v="1"/>
    <s v="321"/>
    <s v="Potential Loyalist"/>
    <x v="0"/>
  </r>
  <r>
    <s v="CUST_135"/>
    <d v="2024-01-04T00:00:00"/>
    <n v="447"/>
    <n v="1"/>
    <n v="297"/>
    <n v="1"/>
    <n v="2"/>
    <n v="1"/>
    <s v="121"/>
    <s v="At Risk"/>
    <x v="1"/>
  </r>
  <r>
    <s v="CUST_136"/>
    <d v="2024-10-25T00:00:00"/>
    <n v="936"/>
    <n v="1"/>
    <n v="2"/>
    <n v="5"/>
    <n v="2"/>
    <n v="2"/>
    <s v="522"/>
    <s v="Recent Customers"/>
    <x v="0"/>
  </r>
  <r>
    <s v="CUST_137"/>
    <d v="2024-09-21T00:00:00"/>
    <n v="638"/>
    <n v="1"/>
    <n v="36"/>
    <n v="4"/>
    <n v="2"/>
    <n v="1"/>
    <s v="421"/>
    <s v="Recent Customers"/>
    <x v="0"/>
  </r>
  <r>
    <s v="CUST_138"/>
    <d v="2024-08-13T00:00:00"/>
    <n v="525"/>
    <n v="1"/>
    <n v="75"/>
    <n v="3"/>
    <n v="2"/>
    <n v="1"/>
    <s v="321"/>
    <s v="Potential Loyalist"/>
    <x v="0"/>
  </r>
  <r>
    <s v="CUST_139"/>
    <d v="2024-07-17T00:00:00"/>
    <n v="1203"/>
    <n v="1"/>
    <n v="102"/>
    <n v="2"/>
    <n v="2"/>
    <n v="2"/>
    <s v="222"/>
    <s v="At Risk"/>
    <x v="1"/>
  </r>
  <r>
    <s v="CUST_14"/>
    <d v="2024-06-19T00:00:00"/>
    <n v="241"/>
    <n v="1"/>
    <n v="130"/>
    <n v="2"/>
    <n v="2"/>
    <n v="1"/>
    <s v="221"/>
    <s v="At Risk"/>
    <x v="1"/>
  </r>
  <r>
    <s v="CUST_140"/>
    <d v="2024-06-21T00:00:00"/>
    <n v="208"/>
    <n v="1"/>
    <n v="128"/>
    <n v="2"/>
    <n v="2"/>
    <n v="1"/>
    <s v="221"/>
    <s v="At Risk"/>
    <x v="1"/>
  </r>
  <r>
    <s v="CUST_141"/>
    <d v="2024-03-02T00:00:00"/>
    <n v="147"/>
    <n v="1"/>
    <n v="239"/>
    <n v="1"/>
    <n v="2"/>
    <n v="1"/>
    <s v="121"/>
    <s v="At Risk"/>
    <x v="1"/>
  </r>
  <r>
    <s v="CUST_142"/>
    <d v="2024-05-29T00:00:00"/>
    <n v="454"/>
    <n v="1"/>
    <n v="151"/>
    <n v="1"/>
    <n v="2"/>
    <n v="1"/>
    <s v="121"/>
    <s v="At Risk"/>
    <x v="1"/>
  </r>
  <r>
    <s v="CUST_143"/>
    <d v="2024-09-18T00:00:00"/>
    <n v="1350"/>
    <n v="1"/>
    <n v="39"/>
    <n v="4"/>
    <n v="2"/>
    <n v="2"/>
    <s v="422"/>
    <s v="Recent Customers"/>
    <x v="0"/>
  </r>
  <r>
    <s v="CUST_144"/>
    <d v="2024-04-10T00:00:00"/>
    <n v="234"/>
    <n v="1"/>
    <n v="200"/>
    <n v="1"/>
    <n v="2"/>
    <n v="1"/>
    <s v="121"/>
    <s v="At Risk"/>
    <x v="1"/>
  </r>
  <r>
    <s v="CUST_145"/>
    <d v="2024-09-02T00:00:00"/>
    <n v="1524"/>
    <n v="1"/>
    <n v="55"/>
    <n v="3"/>
    <n v="2"/>
    <n v="2"/>
    <s v="322"/>
    <s v="Potential Loyalist"/>
    <x v="0"/>
  </r>
  <r>
    <s v="CUST_146"/>
    <d v="2024-03-12T00:00:00"/>
    <n v="1840"/>
    <n v="1"/>
    <n v="229"/>
    <n v="1"/>
    <n v="2"/>
    <n v="3"/>
    <s v="123"/>
    <s v="At Risk"/>
    <x v="1"/>
  </r>
  <r>
    <s v="CUST_147"/>
    <d v="2024-09-01T00:00:00"/>
    <n v="266"/>
    <n v="1"/>
    <n v="56"/>
    <n v="3"/>
    <n v="2"/>
    <n v="1"/>
    <s v="321"/>
    <s v="Potential Loyalist"/>
    <x v="0"/>
  </r>
  <r>
    <s v="CUST_148"/>
    <d v="2024-07-17T00:00:00"/>
    <n v="497"/>
    <n v="1"/>
    <n v="102"/>
    <n v="2"/>
    <n v="2"/>
    <n v="1"/>
    <s v="221"/>
    <s v="At Risk"/>
    <x v="1"/>
  </r>
  <r>
    <s v="CUST_149"/>
    <d v="2024-07-29T00:00:00"/>
    <n v="238"/>
    <n v="1"/>
    <n v="90"/>
    <n v="2"/>
    <n v="2"/>
    <n v="1"/>
    <s v="221"/>
    <s v="At Risk"/>
    <x v="0"/>
  </r>
  <r>
    <s v="CUST_15"/>
    <d v="2024-02-23T00:00:00"/>
    <n v="398"/>
    <n v="1"/>
    <n v="247"/>
    <n v="1"/>
    <n v="2"/>
    <n v="1"/>
    <s v="121"/>
    <s v="At Risk"/>
    <x v="1"/>
  </r>
  <r>
    <s v="CUST_150"/>
    <d v="2024-06-23T00:00:00"/>
    <n v="792"/>
    <n v="1"/>
    <n v="126"/>
    <n v="2"/>
    <n v="2"/>
    <n v="1"/>
    <s v="221"/>
    <s v="At Risk"/>
    <x v="1"/>
  </r>
  <r>
    <s v="CUST_151"/>
    <d v="2024-08-15T00:00:00"/>
    <n v="495"/>
    <n v="1"/>
    <n v="73"/>
    <n v="3"/>
    <n v="2"/>
    <n v="1"/>
    <s v="321"/>
    <s v="Potential Loyalist"/>
    <x v="0"/>
  </r>
  <r>
    <s v="CUST_152"/>
    <d v="2024-09-14T00:00:00"/>
    <n v="876"/>
    <n v="1"/>
    <n v="43"/>
    <n v="4"/>
    <n v="2"/>
    <n v="2"/>
    <s v="422"/>
    <s v="Recent Customers"/>
    <x v="0"/>
  </r>
  <r>
    <s v="CUST_153"/>
    <d v="2024-05-26T00:00:00"/>
    <n v="484"/>
    <n v="1"/>
    <n v="154"/>
    <n v="1"/>
    <n v="2"/>
    <n v="1"/>
    <s v="121"/>
    <s v="At Risk"/>
    <x v="1"/>
  </r>
  <r>
    <s v="CUST_154"/>
    <d v="2024-02-21T00:00:00"/>
    <n v="260"/>
    <n v="1"/>
    <n v="249"/>
    <n v="1"/>
    <n v="2"/>
    <n v="1"/>
    <s v="121"/>
    <s v="At Risk"/>
    <x v="1"/>
  </r>
  <r>
    <s v="CUST_155"/>
    <d v="2024-04-06T00:00:00"/>
    <n v="218"/>
    <n v="1"/>
    <n v="204"/>
    <n v="1"/>
    <n v="2"/>
    <n v="1"/>
    <s v="121"/>
    <s v="At Risk"/>
    <x v="1"/>
  </r>
  <r>
    <s v="CUST_156"/>
    <d v="2024-07-03T00:00:00"/>
    <n v="572"/>
    <n v="1"/>
    <n v="116"/>
    <n v="2"/>
    <n v="2"/>
    <n v="1"/>
    <s v="221"/>
    <s v="At Risk"/>
    <x v="1"/>
  </r>
  <r>
    <s v="CUST_157"/>
    <d v="2024-09-16T00:00:00"/>
    <n v="1555"/>
    <n v="1"/>
    <n v="41"/>
    <n v="4"/>
    <n v="2"/>
    <n v="2"/>
    <s v="422"/>
    <s v="Recent Customers"/>
    <x v="0"/>
  </r>
  <r>
    <s v="CUST_158"/>
    <d v="2024-09-14T00:00:00"/>
    <n v="468"/>
    <n v="1"/>
    <n v="43"/>
    <n v="4"/>
    <n v="2"/>
    <n v="1"/>
    <s v="421"/>
    <s v="Recent Customers"/>
    <x v="0"/>
  </r>
  <r>
    <s v="CUST_159"/>
    <d v="2024-03-25T00:00:00"/>
    <n v="1008"/>
    <n v="1"/>
    <n v="216"/>
    <n v="1"/>
    <n v="2"/>
    <n v="2"/>
    <s v="122"/>
    <s v="At Risk"/>
    <x v="1"/>
  </r>
  <r>
    <s v="CUST_16"/>
    <d v="2024-01-22T00:00:00"/>
    <n v="618"/>
    <n v="1"/>
    <n v="279"/>
    <n v="1"/>
    <n v="2"/>
    <n v="1"/>
    <s v="121"/>
    <s v="At Risk"/>
    <x v="1"/>
  </r>
  <r>
    <s v="CUST_160"/>
    <d v="2024-04-12T00:00:00"/>
    <n v="510"/>
    <n v="1"/>
    <n v="198"/>
    <n v="1"/>
    <n v="2"/>
    <n v="1"/>
    <s v="121"/>
    <s v="At Risk"/>
    <x v="1"/>
  </r>
  <r>
    <s v="CUST_161"/>
    <d v="2024-03-30T00:00:00"/>
    <n v="492"/>
    <n v="1"/>
    <n v="211"/>
    <n v="1"/>
    <n v="2"/>
    <n v="1"/>
    <s v="121"/>
    <s v="At Risk"/>
    <x v="1"/>
  </r>
  <r>
    <s v="CUST_162"/>
    <d v="2024-02-15T00:00:00"/>
    <n v="1383"/>
    <n v="1"/>
    <n v="255"/>
    <n v="1"/>
    <n v="2"/>
    <n v="2"/>
    <s v="122"/>
    <s v="At Risk"/>
    <x v="1"/>
  </r>
  <r>
    <s v="CUST_163"/>
    <d v="2024-04-22T00:00:00"/>
    <n v="888"/>
    <n v="1"/>
    <n v="188"/>
    <n v="1"/>
    <n v="2"/>
    <n v="2"/>
    <s v="122"/>
    <s v="At Risk"/>
    <x v="1"/>
  </r>
  <r>
    <s v="CUST_164"/>
    <d v="2024-04-22T00:00:00"/>
    <n v="998"/>
    <n v="1"/>
    <n v="188"/>
    <n v="1"/>
    <n v="2"/>
    <n v="2"/>
    <s v="122"/>
    <s v="At Risk"/>
    <x v="1"/>
  </r>
  <r>
    <s v="CUST_165"/>
    <d v="2024-10-22T00:00:00"/>
    <n v="302"/>
    <n v="1"/>
    <n v="5"/>
    <n v="5"/>
    <n v="2"/>
    <n v="1"/>
    <s v="521"/>
    <s v="Recent Customers"/>
    <x v="0"/>
  </r>
  <r>
    <s v="CUST_166"/>
    <d v="2024-09-01T00:00:00"/>
    <n v="124"/>
    <n v="1"/>
    <n v="56"/>
    <n v="3"/>
    <n v="2"/>
    <n v="1"/>
    <s v="321"/>
    <s v="Potential Loyalist"/>
    <x v="0"/>
  </r>
  <r>
    <s v="CUST_167"/>
    <d v="2024-08-05T00:00:00"/>
    <n v="2410"/>
    <n v="1"/>
    <n v="83"/>
    <n v="3"/>
    <n v="2"/>
    <n v="3"/>
    <s v="323"/>
    <s v="Potential Loyalist"/>
    <x v="0"/>
  </r>
  <r>
    <s v="CUST_168"/>
    <d v="2024-09-25T00:00:00"/>
    <n v="203"/>
    <n v="1"/>
    <n v="32"/>
    <n v="4"/>
    <n v="2"/>
    <n v="1"/>
    <s v="421"/>
    <s v="Recent Customers"/>
    <x v="0"/>
  </r>
  <r>
    <s v="CUST_169"/>
    <d v="2024-03-22T00:00:00"/>
    <n v="1365"/>
    <n v="1"/>
    <n v="219"/>
    <n v="1"/>
    <n v="2"/>
    <n v="2"/>
    <s v="122"/>
    <s v="At Risk"/>
    <x v="1"/>
  </r>
  <r>
    <s v="CUST_17"/>
    <d v="2024-05-16T00:00:00"/>
    <n v="555"/>
    <n v="1"/>
    <n v="164"/>
    <n v="1"/>
    <n v="2"/>
    <n v="1"/>
    <s v="121"/>
    <s v="At Risk"/>
    <x v="1"/>
  </r>
  <r>
    <s v="CUST_170"/>
    <d v="2024-09-16T00:00:00"/>
    <n v="506"/>
    <n v="1"/>
    <n v="41"/>
    <n v="4"/>
    <n v="2"/>
    <n v="1"/>
    <s v="421"/>
    <s v="Recent Customers"/>
    <x v="0"/>
  </r>
  <r>
    <s v="CUST_171"/>
    <d v="2024-05-21T00:00:00"/>
    <n v="1780"/>
    <n v="1"/>
    <n v="159"/>
    <n v="1"/>
    <n v="2"/>
    <n v="3"/>
    <s v="123"/>
    <s v="At Risk"/>
    <x v="1"/>
  </r>
  <r>
    <s v="CUST_172"/>
    <d v="2024-03-14T00:00:00"/>
    <n v="418"/>
    <n v="1"/>
    <n v="227"/>
    <n v="1"/>
    <n v="2"/>
    <n v="1"/>
    <s v="121"/>
    <s v="At Risk"/>
    <x v="1"/>
  </r>
  <r>
    <s v="CUST_173"/>
    <d v="2024-09-14T00:00:00"/>
    <n v="816"/>
    <n v="1"/>
    <n v="43"/>
    <n v="4"/>
    <n v="2"/>
    <n v="1"/>
    <s v="421"/>
    <s v="Recent Customers"/>
    <x v="0"/>
  </r>
  <r>
    <s v="CUST_174"/>
    <d v="2024-07-03T00:00:00"/>
    <n v="1500"/>
    <n v="1"/>
    <n v="116"/>
    <n v="2"/>
    <n v="2"/>
    <n v="2"/>
    <s v="222"/>
    <s v="At Risk"/>
    <x v="1"/>
  </r>
  <r>
    <s v="CUST_175"/>
    <d v="2024-10-21T00:00:00"/>
    <n v="468"/>
    <n v="1"/>
    <n v="6"/>
    <n v="5"/>
    <n v="2"/>
    <n v="1"/>
    <s v="521"/>
    <s v="Recent Customers"/>
    <x v="0"/>
  </r>
  <r>
    <s v="CUST_176"/>
    <d v="2024-09-29T00:00:00"/>
    <n v="1221"/>
    <n v="1"/>
    <n v="28"/>
    <n v="4"/>
    <n v="2"/>
    <n v="2"/>
    <s v="422"/>
    <s v="Recent Customers"/>
    <x v="0"/>
  </r>
  <r>
    <s v="CUST_177"/>
    <d v="2024-08-17T00:00:00"/>
    <n v="876"/>
    <n v="1"/>
    <n v="71"/>
    <n v="3"/>
    <n v="2"/>
    <n v="2"/>
    <s v="322"/>
    <s v="Potential Loyalist"/>
    <x v="0"/>
  </r>
  <r>
    <s v="CUST_178"/>
    <d v="2024-09-11T00:00:00"/>
    <n v="825"/>
    <n v="1"/>
    <n v="46"/>
    <n v="4"/>
    <n v="2"/>
    <n v="1"/>
    <s v="421"/>
    <s v="Recent Customers"/>
    <x v="0"/>
  </r>
  <r>
    <s v="CUST_179"/>
    <d v="2024-08-09T00:00:00"/>
    <n v="536"/>
    <n v="1"/>
    <n v="79"/>
    <n v="3"/>
    <n v="2"/>
    <n v="1"/>
    <s v="321"/>
    <s v="Potential Loyalist"/>
    <x v="0"/>
  </r>
  <r>
    <s v="CUST_18"/>
    <d v="2024-08-29T00:00:00"/>
    <n v="1115"/>
    <n v="1"/>
    <n v="59"/>
    <n v="3"/>
    <n v="2"/>
    <n v="2"/>
    <s v="322"/>
    <s v="Potential Loyalist"/>
    <x v="0"/>
  </r>
  <r>
    <s v="CUST_180"/>
    <d v="2024-08-07T00:00:00"/>
    <n v="1065"/>
    <n v="1"/>
    <n v="81"/>
    <n v="3"/>
    <n v="2"/>
    <n v="2"/>
    <s v="322"/>
    <s v="Potential Loyalist"/>
    <x v="0"/>
  </r>
  <r>
    <s v="CUST_181"/>
    <d v="2024-06-27T00:00:00"/>
    <n v="2365"/>
    <n v="3"/>
    <n v="122"/>
    <n v="2"/>
    <n v="4"/>
    <n v="3"/>
    <s v="243"/>
    <s v="At Risk"/>
    <x v="1"/>
  </r>
  <r>
    <s v="CUST_182"/>
    <d v="2024-10-05T00:00:00"/>
    <n v="3615"/>
    <n v="2"/>
    <n v="22"/>
    <n v="5"/>
    <n v="3"/>
    <n v="4"/>
    <s v="534"/>
    <s v="Loyal Customers"/>
    <x v="0"/>
  </r>
  <r>
    <s v="CUST_183"/>
    <d v="2024-09-08T00:00:00"/>
    <n v="2338"/>
    <n v="2"/>
    <n v="49"/>
    <n v="4"/>
    <n v="3"/>
    <n v="3"/>
    <s v="433"/>
    <s v="Loyal Customers"/>
    <x v="0"/>
  </r>
  <r>
    <s v="CUST_184"/>
    <d v="2024-09-04T00:00:00"/>
    <n v="5108"/>
    <n v="5"/>
    <n v="53"/>
    <n v="4"/>
    <n v="5"/>
    <n v="5"/>
    <s v="455"/>
    <s v="Champions"/>
    <x v="0"/>
  </r>
  <r>
    <s v="CUST_185"/>
    <d v="2024-10-17T00:00:00"/>
    <n v="1356"/>
    <n v="3"/>
    <n v="10"/>
    <n v="5"/>
    <n v="4"/>
    <n v="2"/>
    <s v="542"/>
    <s v="Recent Customers"/>
    <x v="0"/>
  </r>
  <r>
    <s v="CUST_186"/>
    <d v="2024-10-27T00:00:00"/>
    <n v="2517"/>
    <n v="5"/>
    <n v="0"/>
    <n v="5"/>
    <n v="5"/>
    <n v="3"/>
    <s v="553"/>
    <s v="Loyal Customers"/>
    <x v="0"/>
  </r>
  <r>
    <s v="CUST_187"/>
    <d v="2024-09-15T00:00:00"/>
    <n v="1394"/>
    <n v="3"/>
    <n v="42"/>
    <n v="4"/>
    <n v="4"/>
    <n v="2"/>
    <s v="442"/>
    <s v="Recent Customers"/>
    <x v="0"/>
  </r>
  <r>
    <s v="CUST_188"/>
    <d v="2024-07-02T00:00:00"/>
    <n v="3959"/>
    <n v="4"/>
    <n v="117"/>
    <n v="2"/>
    <n v="5"/>
    <n v="5"/>
    <s v="255"/>
    <s v="At Risk"/>
    <x v="1"/>
  </r>
  <r>
    <s v="CUST_189"/>
    <d v="2024-08-25T00:00:00"/>
    <n v="1643"/>
    <n v="2"/>
    <n v="63"/>
    <n v="3"/>
    <n v="3"/>
    <n v="3"/>
    <s v="333"/>
    <s v="Loyal Customers"/>
    <x v="0"/>
  </r>
  <r>
    <s v="CUST_19"/>
    <d v="2024-03-06T00:00:00"/>
    <n v="306"/>
    <n v="1"/>
    <n v="235"/>
    <n v="1"/>
    <n v="2"/>
    <n v="1"/>
    <s v="121"/>
    <s v="At Risk"/>
    <x v="1"/>
  </r>
  <r>
    <s v="CUST_190"/>
    <d v="2024-09-12T00:00:00"/>
    <n v="4819"/>
    <n v="4"/>
    <n v="45"/>
    <n v="4"/>
    <n v="5"/>
    <n v="5"/>
    <s v="455"/>
    <s v="Champions"/>
    <x v="0"/>
  </r>
  <r>
    <s v="CUST_191"/>
    <d v="2024-09-09T00:00:00"/>
    <n v="2683"/>
    <n v="4"/>
    <n v="48"/>
    <n v="4"/>
    <n v="5"/>
    <n v="4"/>
    <s v="454"/>
    <s v="Champions"/>
    <x v="0"/>
  </r>
  <r>
    <s v="CUST_192"/>
    <d v="2024-08-03T00:00:00"/>
    <n v="6376"/>
    <n v="3"/>
    <n v="85"/>
    <n v="3"/>
    <n v="4"/>
    <n v="5"/>
    <s v="345"/>
    <s v="Loyal Customers"/>
    <x v="0"/>
  </r>
  <r>
    <s v="CUST_193"/>
    <d v="2024-08-27T00:00:00"/>
    <n v="3783"/>
    <n v="5"/>
    <n v="61"/>
    <n v="3"/>
    <n v="5"/>
    <n v="5"/>
    <s v="355"/>
    <s v="Loyal Customers"/>
    <x v="0"/>
  </r>
  <r>
    <s v="CUST_194"/>
    <d v="2024-09-13T00:00:00"/>
    <n v="5048"/>
    <n v="5"/>
    <n v="44"/>
    <n v="4"/>
    <n v="5"/>
    <n v="5"/>
    <s v="455"/>
    <s v="Champions"/>
    <x v="0"/>
  </r>
  <r>
    <s v="CUST_195"/>
    <d v="2024-06-25T00:00:00"/>
    <n v="1471"/>
    <n v="2"/>
    <n v="124"/>
    <n v="2"/>
    <n v="3"/>
    <n v="2"/>
    <s v="232"/>
    <s v="At Risk"/>
    <x v="1"/>
  </r>
  <r>
    <s v="CUST_196"/>
    <d v="2024-07-17T00:00:00"/>
    <n v="1614"/>
    <n v="3"/>
    <n v="102"/>
    <n v="2"/>
    <n v="4"/>
    <n v="3"/>
    <s v="243"/>
    <s v="At Risk"/>
    <x v="1"/>
  </r>
  <r>
    <s v="CUST_197"/>
    <d v="2024-08-26T00:00:00"/>
    <n v="3419"/>
    <n v="4"/>
    <n v="62"/>
    <n v="3"/>
    <n v="5"/>
    <n v="4"/>
    <s v="354"/>
    <s v="Loyal Customers"/>
    <x v="0"/>
  </r>
  <r>
    <s v="CUST_198"/>
    <d v="2024-09-30T00:00:00"/>
    <n v="2605"/>
    <n v="4"/>
    <n v="27"/>
    <n v="5"/>
    <n v="5"/>
    <n v="4"/>
    <s v="554"/>
    <s v="Champions"/>
    <x v="0"/>
  </r>
  <r>
    <s v="CUST_199"/>
    <d v="2024-08-02T00:00:00"/>
    <n v="3704"/>
    <n v="3"/>
    <n v="86"/>
    <n v="3"/>
    <n v="4"/>
    <n v="5"/>
    <s v="345"/>
    <s v="Loyal Customers"/>
    <x v="0"/>
  </r>
  <r>
    <s v="CUST_2"/>
    <d v="2024-07-15T00:00:00"/>
    <n v="1371"/>
    <n v="1"/>
    <n v="104"/>
    <n v="2"/>
    <n v="2"/>
    <n v="2"/>
    <s v="222"/>
    <s v="At Risk"/>
    <x v="1"/>
  </r>
  <r>
    <s v="CUST_20"/>
    <d v="2024-09-24T00:00:00"/>
    <n v="582"/>
    <n v="1"/>
    <n v="33"/>
    <n v="4"/>
    <n v="2"/>
    <n v="1"/>
    <s v="421"/>
    <s v="Recent Customers"/>
    <x v="0"/>
  </r>
  <r>
    <s v="CUST_200"/>
    <d v="2024-04-18T00:00:00"/>
    <n v="1664"/>
    <n v="2"/>
    <n v="192"/>
    <n v="1"/>
    <n v="3"/>
    <n v="3"/>
    <s v="133"/>
    <s v="At Risk"/>
    <x v="1"/>
  </r>
  <r>
    <s v="CUST_201"/>
    <d v="2024-09-27T00:00:00"/>
    <n v="3192"/>
    <n v="4"/>
    <n v="30"/>
    <n v="4"/>
    <n v="5"/>
    <n v="4"/>
    <s v="454"/>
    <s v="Champions"/>
    <x v="0"/>
  </r>
  <r>
    <s v="CUST_202"/>
    <d v="2024-09-09T00:00:00"/>
    <n v="2577"/>
    <n v="5"/>
    <n v="48"/>
    <n v="4"/>
    <n v="5"/>
    <n v="3"/>
    <s v="453"/>
    <s v="Loyal Customers"/>
    <x v="0"/>
  </r>
  <r>
    <s v="CUST_203"/>
    <d v="2024-07-05T00:00:00"/>
    <n v="5435"/>
    <n v="3"/>
    <n v="114"/>
    <n v="2"/>
    <n v="4"/>
    <n v="5"/>
    <s v="245"/>
    <s v="At Risk"/>
    <x v="1"/>
  </r>
  <r>
    <s v="CUST_204"/>
    <d v="2024-10-14T00:00:00"/>
    <n v="3159"/>
    <n v="5"/>
    <n v="13"/>
    <n v="5"/>
    <n v="5"/>
    <n v="4"/>
    <s v="554"/>
    <s v="Champions"/>
    <x v="0"/>
  </r>
  <r>
    <s v="CUST_205"/>
    <d v="2024-10-18T00:00:00"/>
    <n v="3258"/>
    <n v="4"/>
    <n v="9"/>
    <n v="5"/>
    <n v="5"/>
    <n v="4"/>
    <s v="554"/>
    <s v="Champions"/>
    <x v="0"/>
  </r>
  <r>
    <s v="CUST_206"/>
    <d v="2024-10-03T00:00:00"/>
    <n v="5805"/>
    <n v="5"/>
    <n v="24"/>
    <n v="5"/>
    <n v="5"/>
    <n v="5"/>
    <s v="555"/>
    <s v="Champions"/>
    <x v="0"/>
  </r>
  <r>
    <s v="CUST_207"/>
    <d v="2024-08-20T00:00:00"/>
    <n v="3065"/>
    <n v="4"/>
    <n v="68"/>
    <n v="3"/>
    <n v="5"/>
    <n v="4"/>
    <s v="354"/>
    <s v="Loyal Customers"/>
    <x v="0"/>
  </r>
  <r>
    <s v="CUST_208"/>
    <d v="2024-08-31T00:00:00"/>
    <n v="3060"/>
    <n v="2"/>
    <n v="57"/>
    <n v="3"/>
    <n v="3"/>
    <n v="4"/>
    <s v="334"/>
    <s v="Loyal Customers"/>
    <x v="0"/>
  </r>
  <r>
    <s v="CUST_209"/>
    <d v="2024-09-25T00:00:00"/>
    <n v="2111"/>
    <n v="3"/>
    <n v="32"/>
    <n v="4"/>
    <n v="4"/>
    <n v="3"/>
    <s v="443"/>
    <s v="Loyal Customers"/>
    <x v="0"/>
  </r>
  <r>
    <s v="CUST_21"/>
    <d v="2024-07-07T00:00:00"/>
    <n v="276"/>
    <n v="1"/>
    <n v="112"/>
    <n v="2"/>
    <n v="2"/>
    <n v="1"/>
    <s v="221"/>
    <s v="At Risk"/>
    <x v="1"/>
  </r>
  <r>
    <s v="CUST_210"/>
    <d v="2024-08-25T00:00:00"/>
    <n v="3911"/>
    <n v="4"/>
    <n v="63"/>
    <n v="3"/>
    <n v="5"/>
    <n v="5"/>
    <s v="355"/>
    <s v="Loyal Customers"/>
    <x v="0"/>
  </r>
  <r>
    <s v="CUST_211"/>
    <d v="2024-10-19T00:00:00"/>
    <n v="2516"/>
    <n v="4"/>
    <n v="8"/>
    <n v="5"/>
    <n v="5"/>
    <n v="3"/>
    <s v="553"/>
    <s v="Loyal Customers"/>
    <x v="0"/>
  </r>
  <r>
    <s v="CUST_212"/>
    <d v="2024-08-09T00:00:00"/>
    <n v="973"/>
    <n v="2"/>
    <n v="79"/>
    <n v="3"/>
    <n v="3"/>
    <n v="2"/>
    <s v="332"/>
    <s v="Potential Loyalist"/>
    <x v="0"/>
  </r>
  <r>
    <s v="CUST_213"/>
    <d v="2024-05-28T00:00:00"/>
    <n v="1445"/>
    <n v="3"/>
    <n v="152"/>
    <n v="1"/>
    <n v="4"/>
    <n v="2"/>
    <s v="142"/>
    <s v="At Risk"/>
    <x v="1"/>
  </r>
  <r>
    <s v="CUST_214"/>
    <d v="2024-05-31T00:00:00"/>
    <n v="1190"/>
    <n v="2"/>
    <n v="149"/>
    <n v="2"/>
    <n v="3"/>
    <n v="2"/>
    <s v="232"/>
    <s v="At Risk"/>
    <x v="1"/>
  </r>
  <r>
    <s v="CUST_215"/>
    <d v="2024-10-17T00:00:00"/>
    <n v="2258"/>
    <n v="4"/>
    <n v="10"/>
    <n v="5"/>
    <n v="5"/>
    <n v="3"/>
    <s v="553"/>
    <s v="Loyal Customers"/>
    <x v="0"/>
  </r>
  <r>
    <s v="CUST_216"/>
    <d v="2024-08-09T00:00:00"/>
    <n v="5003"/>
    <n v="5"/>
    <n v="79"/>
    <n v="3"/>
    <n v="5"/>
    <n v="5"/>
    <s v="355"/>
    <s v="Loyal Customers"/>
    <x v="0"/>
  </r>
  <r>
    <s v="CUST_217"/>
    <d v="2024-10-15T00:00:00"/>
    <n v="3621"/>
    <n v="3"/>
    <n v="12"/>
    <n v="5"/>
    <n v="4"/>
    <n v="4"/>
    <s v="544"/>
    <s v="Champions"/>
    <x v="0"/>
  </r>
  <r>
    <s v="CUST_218"/>
    <d v="2024-09-04T00:00:00"/>
    <n v="1485"/>
    <n v="2"/>
    <n v="53"/>
    <n v="4"/>
    <n v="3"/>
    <n v="2"/>
    <s v="432"/>
    <s v="Recent Customers"/>
    <x v="0"/>
  </r>
  <r>
    <s v="CUST_219"/>
    <d v="2024-10-19T00:00:00"/>
    <n v="4877"/>
    <n v="5"/>
    <n v="8"/>
    <n v="5"/>
    <n v="5"/>
    <n v="5"/>
    <s v="555"/>
    <s v="Champions"/>
    <x v="0"/>
  </r>
  <r>
    <s v="CUST_22"/>
    <d v="2024-09-30T00:00:00"/>
    <n v="1167"/>
    <n v="1"/>
    <n v="27"/>
    <n v="5"/>
    <n v="2"/>
    <n v="2"/>
    <s v="522"/>
    <s v="Recent Customers"/>
    <x v="0"/>
  </r>
  <r>
    <s v="CUST_220"/>
    <d v="2024-07-16T00:00:00"/>
    <n v="2460"/>
    <n v="3"/>
    <n v="103"/>
    <n v="2"/>
    <n v="4"/>
    <n v="3"/>
    <s v="243"/>
    <s v="At Risk"/>
    <x v="1"/>
  </r>
  <r>
    <s v="CUST_221"/>
    <d v="2024-04-09T00:00:00"/>
    <n v="2411"/>
    <n v="2"/>
    <n v="201"/>
    <n v="1"/>
    <n v="3"/>
    <n v="3"/>
    <s v="133"/>
    <s v="At Risk"/>
    <x v="1"/>
  </r>
  <r>
    <s v="CUST_222"/>
    <d v="2024-08-26T00:00:00"/>
    <n v="3302"/>
    <n v="4"/>
    <n v="62"/>
    <n v="3"/>
    <n v="5"/>
    <n v="4"/>
    <s v="354"/>
    <s v="Loyal Customers"/>
    <x v="0"/>
  </r>
  <r>
    <s v="CUST_223"/>
    <d v="2024-08-25T00:00:00"/>
    <n v="5377"/>
    <n v="5"/>
    <n v="63"/>
    <n v="3"/>
    <n v="5"/>
    <n v="5"/>
    <s v="355"/>
    <s v="Loyal Customers"/>
    <x v="0"/>
  </r>
  <r>
    <s v="CUST_224"/>
    <d v="2024-08-22T00:00:00"/>
    <n v="1471"/>
    <n v="2"/>
    <n v="66"/>
    <n v="3"/>
    <n v="3"/>
    <n v="2"/>
    <s v="332"/>
    <s v="Potential Loyalist"/>
    <x v="0"/>
  </r>
  <r>
    <s v="CUST_225"/>
    <d v="2024-08-22T00:00:00"/>
    <n v="2123"/>
    <n v="3"/>
    <n v="66"/>
    <n v="3"/>
    <n v="4"/>
    <n v="3"/>
    <s v="343"/>
    <s v="Loyal Customers"/>
    <x v="0"/>
  </r>
  <r>
    <s v="CUST_226"/>
    <d v="2024-09-07T00:00:00"/>
    <n v="4587"/>
    <n v="5"/>
    <n v="50"/>
    <n v="4"/>
    <n v="5"/>
    <n v="5"/>
    <s v="455"/>
    <s v="Champions"/>
    <x v="0"/>
  </r>
  <r>
    <s v="CUST_227"/>
    <d v="2024-08-05T00:00:00"/>
    <n v="3203"/>
    <n v="5"/>
    <n v="83"/>
    <n v="3"/>
    <n v="5"/>
    <n v="4"/>
    <s v="354"/>
    <s v="Loyal Customers"/>
    <x v="0"/>
  </r>
  <r>
    <s v="CUST_228"/>
    <d v="2024-06-10T00:00:00"/>
    <n v="4487"/>
    <n v="5"/>
    <n v="139"/>
    <n v="2"/>
    <n v="5"/>
    <n v="5"/>
    <s v="255"/>
    <s v="At Risk"/>
    <x v="1"/>
  </r>
  <r>
    <s v="CUST_229"/>
    <d v="2024-09-18T00:00:00"/>
    <n v="2948"/>
    <n v="5"/>
    <n v="39"/>
    <n v="4"/>
    <n v="5"/>
    <n v="4"/>
    <s v="454"/>
    <s v="Champions"/>
    <x v="0"/>
  </r>
  <r>
    <s v="CUST_23"/>
    <d v="2024-04-30T00:00:00"/>
    <n v="426"/>
    <n v="1"/>
    <n v="180"/>
    <n v="1"/>
    <n v="2"/>
    <n v="1"/>
    <s v="121"/>
    <s v="At Risk"/>
    <x v="1"/>
  </r>
  <r>
    <s v="CUST_230"/>
    <d v="2024-10-12T00:00:00"/>
    <n v="1154"/>
    <n v="2"/>
    <n v="15"/>
    <n v="5"/>
    <n v="3"/>
    <n v="2"/>
    <s v="532"/>
    <s v="Recent Customers"/>
    <x v="0"/>
  </r>
  <r>
    <s v="CUST_231"/>
    <d v="2024-08-29T00:00:00"/>
    <n v="2720"/>
    <n v="4"/>
    <n v="59"/>
    <n v="3"/>
    <n v="5"/>
    <n v="4"/>
    <s v="354"/>
    <s v="Loyal Customers"/>
    <x v="0"/>
  </r>
  <r>
    <s v="CUST_232"/>
    <d v="2024-07-25T00:00:00"/>
    <n v="2320"/>
    <n v="3"/>
    <n v="94"/>
    <n v="2"/>
    <n v="4"/>
    <n v="3"/>
    <s v="243"/>
    <s v="At Risk"/>
    <x v="1"/>
  </r>
  <r>
    <s v="CUST_233"/>
    <d v="2024-06-30T00:00:00"/>
    <n v="4236"/>
    <n v="5"/>
    <n v="119"/>
    <n v="2"/>
    <n v="5"/>
    <n v="5"/>
    <s v="255"/>
    <s v="At Risk"/>
    <x v="1"/>
  </r>
  <r>
    <s v="CUST_234"/>
    <d v="2024-06-26T00:00:00"/>
    <n v="2937"/>
    <n v="4"/>
    <n v="123"/>
    <n v="2"/>
    <n v="5"/>
    <n v="4"/>
    <s v="254"/>
    <s v="At Risk"/>
    <x v="1"/>
  </r>
  <r>
    <s v="CUST_235"/>
    <d v="2024-08-18T00:00:00"/>
    <n v="4364"/>
    <n v="4"/>
    <n v="70"/>
    <n v="3"/>
    <n v="5"/>
    <n v="5"/>
    <s v="355"/>
    <s v="Loyal Customers"/>
    <x v="0"/>
  </r>
  <r>
    <s v="CUST_236"/>
    <d v="2024-10-09T00:00:00"/>
    <n v="2855"/>
    <n v="5"/>
    <n v="18"/>
    <n v="5"/>
    <n v="5"/>
    <n v="4"/>
    <s v="554"/>
    <s v="Champions"/>
    <x v="0"/>
  </r>
  <r>
    <s v="CUST_237"/>
    <d v="2024-10-25T00:00:00"/>
    <n v="6784"/>
    <n v="5"/>
    <n v="2"/>
    <n v="5"/>
    <n v="5"/>
    <n v="5"/>
    <s v="555"/>
    <s v="Champions"/>
    <x v="0"/>
  </r>
  <r>
    <s v="CUST_238"/>
    <d v="2024-07-16T00:00:00"/>
    <n v="3192"/>
    <n v="3"/>
    <n v="103"/>
    <n v="2"/>
    <n v="4"/>
    <n v="4"/>
    <s v="244"/>
    <s v="At Risk"/>
    <x v="1"/>
  </r>
  <r>
    <s v="CUST_239"/>
    <d v="2024-10-12T00:00:00"/>
    <n v="5912"/>
    <n v="5"/>
    <n v="15"/>
    <n v="5"/>
    <n v="5"/>
    <n v="5"/>
    <s v="555"/>
    <s v="Champions"/>
    <x v="0"/>
  </r>
  <r>
    <s v="CUST_24"/>
    <d v="2024-04-27T00:00:00"/>
    <n v="1792"/>
    <n v="1"/>
    <n v="183"/>
    <n v="1"/>
    <n v="2"/>
    <n v="3"/>
    <s v="123"/>
    <s v="At Risk"/>
    <x v="1"/>
  </r>
  <r>
    <s v="CUST_240"/>
    <d v="2024-08-13T00:00:00"/>
    <n v="6100"/>
    <n v="5"/>
    <n v="75"/>
    <n v="3"/>
    <n v="5"/>
    <n v="5"/>
    <s v="355"/>
    <s v="Loyal Customers"/>
    <x v="0"/>
  </r>
  <r>
    <s v="CUST_241"/>
    <d v="2024-09-04T00:00:00"/>
    <n v="2764"/>
    <n v="2"/>
    <n v="53"/>
    <n v="4"/>
    <n v="3"/>
    <n v="4"/>
    <s v="434"/>
    <s v="Loyal Customers"/>
    <x v="0"/>
  </r>
  <r>
    <s v="CUST_242"/>
    <d v="2024-06-24T00:00:00"/>
    <n v="1896"/>
    <n v="4"/>
    <n v="125"/>
    <n v="2"/>
    <n v="5"/>
    <n v="3"/>
    <s v="253"/>
    <s v="At Risk"/>
    <x v="1"/>
  </r>
  <r>
    <s v="CUST_243"/>
    <d v="2024-09-03T00:00:00"/>
    <n v="3711"/>
    <n v="4"/>
    <n v="54"/>
    <n v="3"/>
    <n v="5"/>
    <n v="5"/>
    <s v="355"/>
    <s v="Loyal Customers"/>
    <x v="0"/>
  </r>
  <r>
    <s v="CUST_244"/>
    <d v="2024-10-02T00:00:00"/>
    <n v="1860"/>
    <n v="3"/>
    <n v="25"/>
    <n v="5"/>
    <n v="4"/>
    <n v="3"/>
    <s v="543"/>
    <s v="Loyal Customers"/>
    <x v="0"/>
  </r>
  <r>
    <s v="CUST_245"/>
    <d v="2024-09-12T00:00:00"/>
    <n v="4502"/>
    <n v="5"/>
    <n v="45"/>
    <n v="4"/>
    <n v="5"/>
    <n v="5"/>
    <s v="455"/>
    <s v="Champions"/>
    <x v="0"/>
  </r>
  <r>
    <s v="CUST_246"/>
    <d v="2024-08-05T00:00:00"/>
    <n v="2597"/>
    <n v="3"/>
    <n v="83"/>
    <n v="3"/>
    <n v="4"/>
    <n v="4"/>
    <s v="344"/>
    <s v="Loyal Customers"/>
    <x v="0"/>
  </r>
  <r>
    <s v="CUST_247"/>
    <d v="2024-08-16T00:00:00"/>
    <n v="5839"/>
    <n v="5"/>
    <n v="72"/>
    <n v="3"/>
    <n v="5"/>
    <n v="5"/>
    <s v="355"/>
    <s v="Loyal Customers"/>
    <x v="0"/>
  </r>
  <r>
    <s v="CUST_248"/>
    <d v="2024-08-19T00:00:00"/>
    <n v="2758"/>
    <n v="4"/>
    <n v="69"/>
    <n v="3"/>
    <n v="5"/>
    <n v="4"/>
    <s v="354"/>
    <s v="Loyal Customers"/>
    <x v="0"/>
  </r>
  <r>
    <s v="CUST_249"/>
    <d v="2024-06-01T00:00:00"/>
    <n v="1224"/>
    <n v="2"/>
    <n v="148"/>
    <n v="2"/>
    <n v="3"/>
    <n v="2"/>
    <s v="232"/>
    <s v="At Risk"/>
    <x v="1"/>
  </r>
  <r>
    <s v="CUST_25"/>
    <d v="2024-06-08T00:00:00"/>
    <n v="740"/>
    <n v="1"/>
    <n v="141"/>
    <n v="2"/>
    <n v="2"/>
    <n v="1"/>
    <s v="221"/>
    <s v="At Risk"/>
    <x v="1"/>
  </r>
  <r>
    <s v="CUST_250"/>
    <d v="2024-10-23T00:00:00"/>
    <n v="544"/>
    <n v="3"/>
    <n v="4"/>
    <n v="5"/>
    <n v="4"/>
    <n v="1"/>
    <s v="541"/>
    <s v="Recent Customers"/>
    <x v="0"/>
  </r>
  <r>
    <s v="CUST_251"/>
    <d v="2024-07-18T00:00:00"/>
    <n v="1987"/>
    <n v="3"/>
    <n v="101"/>
    <n v="2"/>
    <n v="4"/>
    <n v="3"/>
    <s v="243"/>
    <s v="At Risk"/>
    <x v="1"/>
  </r>
  <r>
    <s v="CUST_252"/>
    <d v="2024-02-19T00:00:00"/>
    <n v="1291"/>
    <n v="2"/>
    <n v="251"/>
    <n v="1"/>
    <n v="3"/>
    <n v="2"/>
    <s v="132"/>
    <s v="At Risk"/>
    <x v="1"/>
  </r>
  <r>
    <s v="CUST_253"/>
    <d v="2024-10-26T00:00:00"/>
    <n v="2768"/>
    <n v="4"/>
    <n v="1"/>
    <n v="5"/>
    <n v="5"/>
    <n v="4"/>
    <s v="554"/>
    <s v="Champions"/>
    <x v="0"/>
  </r>
  <r>
    <s v="CUST_254"/>
    <d v="2024-09-19T00:00:00"/>
    <n v="2544"/>
    <n v="4"/>
    <n v="38"/>
    <n v="4"/>
    <n v="5"/>
    <n v="3"/>
    <s v="453"/>
    <s v="Loyal Customers"/>
    <x v="0"/>
  </r>
  <r>
    <s v="CUST_255"/>
    <d v="2024-09-22T00:00:00"/>
    <n v="4267"/>
    <n v="5"/>
    <n v="35"/>
    <n v="4"/>
    <n v="5"/>
    <n v="5"/>
    <s v="455"/>
    <s v="Champions"/>
    <x v="0"/>
  </r>
  <r>
    <s v="CUST_256"/>
    <d v="2024-07-31T00:00:00"/>
    <n v="2293"/>
    <n v="2"/>
    <n v="88"/>
    <n v="3"/>
    <n v="3"/>
    <n v="3"/>
    <s v="333"/>
    <s v="Loyal Customers"/>
    <x v="0"/>
  </r>
  <r>
    <s v="CUST_257"/>
    <d v="2024-10-12T00:00:00"/>
    <n v="2648"/>
    <n v="5"/>
    <n v="15"/>
    <n v="5"/>
    <n v="5"/>
    <n v="4"/>
    <s v="554"/>
    <s v="Champions"/>
    <x v="0"/>
  </r>
  <r>
    <s v="CUST_258"/>
    <d v="2024-06-13T00:00:00"/>
    <n v="748"/>
    <n v="2"/>
    <n v="136"/>
    <n v="2"/>
    <n v="3"/>
    <n v="1"/>
    <s v="231"/>
    <s v="At Risk"/>
    <x v="1"/>
  </r>
  <r>
    <s v="CUST_259"/>
    <d v="2024-10-04T00:00:00"/>
    <n v="4137"/>
    <n v="5"/>
    <n v="23"/>
    <n v="5"/>
    <n v="5"/>
    <n v="5"/>
    <s v="555"/>
    <s v="Champions"/>
    <x v="0"/>
  </r>
  <r>
    <s v="CUST_26"/>
    <d v="2024-06-21T00:00:00"/>
    <n v="1345"/>
    <n v="1"/>
    <n v="128"/>
    <n v="2"/>
    <n v="2"/>
    <n v="2"/>
    <s v="222"/>
    <s v="At Risk"/>
    <x v="1"/>
  </r>
  <r>
    <s v="CUST_260"/>
    <d v="2024-10-03T00:00:00"/>
    <n v="2591"/>
    <n v="4"/>
    <n v="24"/>
    <n v="5"/>
    <n v="5"/>
    <n v="4"/>
    <s v="554"/>
    <s v="Champions"/>
    <x v="0"/>
  </r>
  <r>
    <s v="CUST_261"/>
    <d v="2024-09-25T00:00:00"/>
    <n v="2469"/>
    <n v="2"/>
    <n v="32"/>
    <n v="4"/>
    <n v="3"/>
    <n v="3"/>
    <s v="433"/>
    <s v="Loyal Customers"/>
    <x v="0"/>
  </r>
  <r>
    <s v="CUST_262"/>
    <d v="2024-10-11T00:00:00"/>
    <n v="1951"/>
    <n v="4"/>
    <n v="16"/>
    <n v="5"/>
    <n v="5"/>
    <n v="3"/>
    <s v="553"/>
    <s v="Loyal Customers"/>
    <x v="0"/>
  </r>
  <r>
    <s v="CUST_263"/>
    <d v="2024-07-22T00:00:00"/>
    <n v="5736"/>
    <n v="4"/>
    <n v="97"/>
    <n v="2"/>
    <n v="5"/>
    <n v="5"/>
    <s v="255"/>
    <s v="At Risk"/>
    <x v="1"/>
  </r>
  <r>
    <s v="CUST_264"/>
    <d v="2024-07-08T00:00:00"/>
    <n v="1095"/>
    <n v="2"/>
    <n v="111"/>
    <n v="2"/>
    <n v="3"/>
    <n v="2"/>
    <s v="232"/>
    <s v="At Risk"/>
    <x v="1"/>
  </r>
  <r>
    <s v="CUST_265"/>
    <d v="2024-07-22T00:00:00"/>
    <n v="2977"/>
    <n v="3"/>
    <n v="97"/>
    <n v="2"/>
    <n v="4"/>
    <n v="4"/>
    <s v="244"/>
    <s v="At Risk"/>
    <x v="1"/>
  </r>
  <r>
    <s v="CUST_266"/>
    <d v="2024-06-03T00:00:00"/>
    <n v="3591"/>
    <n v="3"/>
    <n v="146"/>
    <n v="2"/>
    <n v="4"/>
    <n v="4"/>
    <s v="244"/>
    <s v="At Risk"/>
    <x v="1"/>
  </r>
  <r>
    <s v="CUST_267"/>
    <d v="2024-08-19T00:00:00"/>
    <n v="3127"/>
    <n v="4"/>
    <n v="69"/>
    <n v="3"/>
    <n v="5"/>
    <n v="4"/>
    <s v="354"/>
    <s v="Loyal Customers"/>
    <x v="0"/>
  </r>
  <r>
    <s v="CUST_268"/>
    <d v="2024-04-17T00:00:00"/>
    <n v="1106"/>
    <n v="2"/>
    <n v="193"/>
    <n v="1"/>
    <n v="3"/>
    <n v="2"/>
    <s v="132"/>
    <s v="At Risk"/>
    <x v="1"/>
  </r>
  <r>
    <s v="CUST_269"/>
    <d v="2024-09-23T00:00:00"/>
    <n v="867"/>
    <n v="2"/>
    <n v="34"/>
    <n v="4"/>
    <n v="3"/>
    <n v="2"/>
    <s v="432"/>
    <s v="Recent Customers"/>
    <x v="0"/>
  </r>
  <r>
    <s v="CUST_27"/>
    <d v="2024-01-28T00:00:00"/>
    <n v="471"/>
    <n v="1"/>
    <n v="273"/>
    <n v="1"/>
    <n v="2"/>
    <n v="1"/>
    <s v="121"/>
    <s v="At Risk"/>
    <x v="1"/>
  </r>
  <r>
    <s v="CUST_270"/>
    <d v="2024-05-02T00:00:00"/>
    <n v="1650"/>
    <n v="2"/>
    <n v="178"/>
    <n v="1"/>
    <n v="3"/>
    <n v="3"/>
    <s v="133"/>
    <s v="At Risk"/>
    <x v="1"/>
  </r>
  <r>
    <s v="CUST_271"/>
    <d v="2024-10-14T00:00:00"/>
    <n v="4223"/>
    <n v="4"/>
    <n v="13"/>
    <n v="5"/>
    <n v="5"/>
    <n v="5"/>
    <s v="555"/>
    <s v="Champions"/>
    <x v="0"/>
  </r>
  <r>
    <s v="CUST_272"/>
    <d v="2024-09-03T00:00:00"/>
    <n v="5688"/>
    <n v="5"/>
    <n v="54"/>
    <n v="3"/>
    <n v="5"/>
    <n v="5"/>
    <s v="355"/>
    <s v="Loyal Customers"/>
    <x v="0"/>
  </r>
  <r>
    <s v="CUST_273"/>
    <d v="2024-10-15T00:00:00"/>
    <n v="3443"/>
    <n v="4"/>
    <n v="12"/>
    <n v="5"/>
    <n v="5"/>
    <n v="4"/>
    <s v="554"/>
    <s v="Champions"/>
    <x v="0"/>
  </r>
  <r>
    <s v="CUST_274"/>
    <d v="2024-06-19T00:00:00"/>
    <n v="639"/>
    <n v="2"/>
    <n v="130"/>
    <n v="2"/>
    <n v="3"/>
    <n v="1"/>
    <s v="231"/>
    <s v="At Risk"/>
    <x v="1"/>
  </r>
  <r>
    <s v="CUST_275"/>
    <d v="2024-08-29T00:00:00"/>
    <n v="2288"/>
    <n v="3"/>
    <n v="59"/>
    <n v="3"/>
    <n v="4"/>
    <n v="3"/>
    <s v="343"/>
    <s v="Loyal Customers"/>
    <x v="0"/>
  </r>
  <r>
    <s v="CUST_276"/>
    <d v="2024-09-30T00:00:00"/>
    <n v="2757"/>
    <n v="5"/>
    <n v="27"/>
    <n v="5"/>
    <n v="5"/>
    <n v="4"/>
    <s v="554"/>
    <s v="Champions"/>
    <x v="0"/>
  </r>
  <r>
    <s v="CUST_277"/>
    <d v="2024-06-08T00:00:00"/>
    <n v="2532"/>
    <n v="2"/>
    <n v="141"/>
    <n v="2"/>
    <n v="3"/>
    <n v="3"/>
    <s v="233"/>
    <s v="At Risk"/>
    <x v="1"/>
  </r>
  <r>
    <s v="CUST_278"/>
    <d v="2024-09-18T00:00:00"/>
    <n v="2236"/>
    <n v="3"/>
    <n v="39"/>
    <n v="4"/>
    <n v="4"/>
    <n v="3"/>
    <s v="443"/>
    <s v="Loyal Customers"/>
    <x v="0"/>
  </r>
  <r>
    <s v="CUST_279"/>
    <d v="2024-09-23T00:00:00"/>
    <n v="4390"/>
    <n v="4"/>
    <n v="34"/>
    <n v="4"/>
    <n v="5"/>
    <n v="5"/>
    <s v="455"/>
    <s v="Champions"/>
    <x v="0"/>
  </r>
  <r>
    <s v="CUST_28"/>
    <d v="2024-09-18T00:00:00"/>
    <n v="420"/>
    <n v="1"/>
    <n v="39"/>
    <n v="4"/>
    <n v="2"/>
    <n v="1"/>
    <s v="421"/>
    <s v="Recent Customers"/>
    <x v="0"/>
  </r>
  <r>
    <s v="CUST_280"/>
    <d v="2024-10-12T00:00:00"/>
    <n v="2415"/>
    <n v="2"/>
    <n v="15"/>
    <n v="5"/>
    <n v="3"/>
    <n v="3"/>
    <s v="533"/>
    <s v="Loyal Customers"/>
    <x v="0"/>
  </r>
  <r>
    <s v="CUST_281"/>
    <d v="2024-06-25T00:00:00"/>
    <n v="2695"/>
    <n v="3"/>
    <n v="124"/>
    <n v="2"/>
    <n v="4"/>
    <n v="4"/>
    <s v="244"/>
    <s v="At Risk"/>
    <x v="1"/>
  </r>
  <r>
    <s v="CUST_282"/>
    <d v="2024-10-01T00:00:00"/>
    <n v="3859"/>
    <n v="5"/>
    <n v="26"/>
    <n v="5"/>
    <n v="5"/>
    <n v="5"/>
    <s v="555"/>
    <s v="Champions"/>
    <x v="0"/>
  </r>
  <r>
    <s v="CUST_283"/>
    <d v="2024-10-16T00:00:00"/>
    <n v="4999"/>
    <n v="4"/>
    <n v="11"/>
    <n v="5"/>
    <n v="5"/>
    <n v="5"/>
    <s v="555"/>
    <s v="Champions"/>
    <x v="0"/>
  </r>
  <r>
    <s v="CUST_284"/>
    <d v="2024-07-16T00:00:00"/>
    <n v="3387"/>
    <n v="5"/>
    <n v="103"/>
    <n v="2"/>
    <n v="5"/>
    <n v="4"/>
    <s v="254"/>
    <s v="At Risk"/>
    <x v="1"/>
  </r>
  <r>
    <s v="CUST_285"/>
    <d v="2024-10-16T00:00:00"/>
    <n v="4378"/>
    <n v="4"/>
    <n v="11"/>
    <n v="5"/>
    <n v="5"/>
    <n v="5"/>
    <s v="555"/>
    <s v="Champions"/>
    <x v="0"/>
  </r>
  <r>
    <s v="CUST_286"/>
    <d v="2024-09-10T00:00:00"/>
    <n v="1193"/>
    <n v="2"/>
    <n v="47"/>
    <n v="4"/>
    <n v="3"/>
    <n v="2"/>
    <s v="432"/>
    <s v="Recent Customers"/>
    <x v="0"/>
  </r>
  <r>
    <s v="CUST_287"/>
    <d v="2024-10-22T00:00:00"/>
    <n v="4359"/>
    <n v="5"/>
    <n v="5"/>
    <n v="5"/>
    <n v="5"/>
    <n v="5"/>
    <s v="555"/>
    <s v="Champions"/>
    <x v="0"/>
  </r>
  <r>
    <s v="CUST_288"/>
    <d v="2024-09-23T00:00:00"/>
    <n v="2958"/>
    <n v="5"/>
    <n v="34"/>
    <n v="4"/>
    <n v="5"/>
    <n v="4"/>
    <s v="454"/>
    <s v="Champions"/>
    <x v="0"/>
  </r>
  <r>
    <s v="CUST_289"/>
    <d v="2024-08-10T00:00:00"/>
    <n v="4215"/>
    <n v="4"/>
    <n v="78"/>
    <n v="3"/>
    <n v="5"/>
    <n v="5"/>
    <s v="355"/>
    <s v="Loyal Customers"/>
    <x v="0"/>
  </r>
  <r>
    <s v="CUST_29"/>
    <d v="2024-03-16T00:00:00"/>
    <n v="1002"/>
    <n v="1"/>
    <n v="225"/>
    <n v="1"/>
    <n v="2"/>
    <n v="2"/>
    <s v="122"/>
    <s v="At Risk"/>
    <x v="1"/>
  </r>
  <r>
    <s v="CUST_290"/>
    <d v="2024-09-21T00:00:00"/>
    <n v="3063"/>
    <n v="3"/>
    <n v="36"/>
    <n v="4"/>
    <n v="4"/>
    <n v="4"/>
    <s v="444"/>
    <s v="Champions"/>
    <x v="0"/>
  </r>
  <r>
    <s v="CUST_291"/>
    <d v="2024-09-16T00:00:00"/>
    <n v="1526"/>
    <n v="2"/>
    <n v="41"/>
    <n v="4"/>
    <n v="3"/>
    <n v="2"/>
    <s v="432"/>
    <s v="Recent Customers"/>
    <x v="0"/>
  </r>
  <r>
    <s v="CUST_292"/>
    <d v="2024-08-08T00:00:00"/>
    <n v="2606"/>
    <n v="5"/>
    <n v="80"/>
    <n v="3"/>
    <n v="5"/>
    <n v="4"/>
    <s v="354"/>
    <s v="Loyal Customers"/>
    <x v="0"/>
  </r>
  <r>
    <s v="CUST_293"/>
    <d v="2024-08-19T00:00:00"/>
    <n v="2693"/>
    <n v="4"/>
    <n v="69"/>
    <n v="3"/>
    <n v="5"/>
    <n v="4"/>
    <s v="354"/>
    <s v="Loyal Customers"/>
    <x v="0"/>
  </r>
  <r>
    <s v="CUST_294"/>
    <d v="2024-08-19T00:00:00"/>
    <n v="2690"/>
    <n v="4"/>
    <n v="69"/>
    <n v="3"/>
    <n v="5"/>
    <n v="4"/>
    <s v="354"/>
    <s v="Loyal Customers"/>
    <x v="0"/>
  </r>
  <r>
    <s v="CUST_295"/>
    <d v="2024-10-23T00:00:00"/>
    <n v="3612"/>
    <n v="4"/>
    <n v="4"/>
    <n v="5"/>
    <n v="5"/>
    <n v="4"/>
    <s v="554"/>
    <s v="Champions"/>
    <x v="0"/>
  </r>
  <r>
    <s v="CUST_296"/>
    <d v="2024-08-12T00:00:00"/>
    <n v="1770"/>
    <n v="3"/>
    <n v="76"/>
    <n v="3"/>
    <n v="4"/>
    <n v="3"/>
    <s v="343"/>
    <s v="Loyal Customers"/>
    <x v="0"/>
  </r>
  <r>
    <s v="CUST_297"/>
    <d v="2024-10-09T00:00:00"/>
    <n v="4653"/>
    <n v="5"/>
    <n v="18"/>
    <n v="5"/>
    <n v="5"/>
    <n v="5"/>
    <s v="555"/>
    <s v="Champions"/>
    <x v="0"/>
  </r>
  <r>
    <s v="CUST_298"/>
    <d v="2024-10-21T00:00:00"/>
    <n v="3510"/>
    <n v="5"/>
    <n v="6"/>
    <n v="5"/>
    <n v="5"/>
    <n v="4"/>
    <s v="554"/>
    <s v="Champions"/>
    <x v="0"/>
  </r>
  <r>
    <s v="CUST_299"/>
    <d v="2024-09-30T00:00:00"/>
    <n v="3166"/>
    <n v="4"/>
    <n v="27"/>
    <n v="5"/>
    <n v="5"/>
    <n v="4"/>
    <s v="554"/>
    <s v="Champions"/>
    <x v="0"/>
  </r>
  <r>
    <s v="CUST_3"/>
    <d v="2024-04-30T00:00:00"/>
    <n v="1119"/>
    <n v="1"/>
    <n v="180"/>
    <n v="1"/>
    <n v="2"/>
    <n v="2"/>
    <s v="122"/>
    <s v="At Risk"/>
    <x v="1"/>
  </r>
  <r>
    <s v="CUST_30"/>
    <d v="2024-08-08T00:00:00"/>
    <n v="948"/>
    <n v="1"/>
    <n v="80"/>
    <n v="3"/>
    <n v="2"/>
    <n v="2"/>
    <s v="322"/>
    <s v="Potential Loyalist"/>
    <x v="0"/>
  </r>
  <r>
    <s v="CUST_300"/>
    <d v="2024-08-19T00:00:00"/>
    <n v="1485"/>
    <n v="2"/>
    <n v="69"/>
    <n v="3"/>
    <n v="3"/>
    <n v="2"/>
    <s v="332"/>
    <s v="Potential Loyalist"/>
    <x v="0"/>
  </r>
  <r>
    <s v="CUST_301"/>
    <d v="2024-10-22T00:00:00"/>
    <n v="5273"/>
    <n v="4"/>
    <n v="5"/>
    <n v="5"/>
    <n v="5"/>
    <n v="5"/>
    <s v="555"/>
    <s v="Champions"/>
    <x v="0"/>
  </r>
  <r>
    <s v="CUST_302"/>
    <d v="2024-09-15T00:00:00"/>
    <n v="2421"/>
    <n v="2"/>
    <n v="42"/>
    <n v="4"/>
    <n v="3"/>
    <n v="3"/>
    <s v="433"/>
    <s v="Loyal Customers"/>
    <x v="0"/>
  </r>
  <r>
    <s v="CUST_303"/>
    <d v="2024-08-28T00:00:00"/>
    <n v="4553"/>
    <n v="5"/>
    <n v="60"/>
    <n v="3"/>
    <n v="5"/>
    <n v="5"/>
    <s v="355"/>
    <s v="Loyal Customers"/>
    <x v="0"/>
  </r>
  <r>
    <s v="CUST_304"/>
    <d v="2024-01-26T00:00:00"/>
    <n v="2339"/>
    <n v="2"/>
    <n v="275"/>
    <n v="1"/>
    <n v="3"/>
    <n v="3"/>
    <s v="133"/>
    <s v="At Risk"/>
    <x v="1"/>
  </r>
  <r>
    <s v="CUST_305"/>
    <d v="2024-09-29T00:00:00"/>
    <n v="5528"/>
    <n v="5"/>
    <n v="28"/>
    <n v="4"/>
    <n v="5"/>
    <n v="5"/>
    <s v="455"/>
    <s v="Champions"/>
    <x v="0"/>
  </r>
  <r>
    <s v="CUST_306"/>
    <d v="2024-08-07T00:00:00"/>
    <n v="4251"/>
    <n v="4"/>
    <n v="81"/>
    <n v="3"/>
    <n v="5"/>
    <n v="5"/>
    <s v="355"/>
    <s v="Loyal Customers"/>
    <x v="0"/>
  </r>
  <r>
    <s v="CUST_307"/>
    <d v="2024-10-25T00:00:00"/>
    <n v="3749"/>
    <n v="5"/>
    <n v="2"/>
    <n v="5"/>
    <n v="5"/>
    <n v="5"/>
    <s v="555"/>
    <s v="Champions"/>
    <x v="0"/>
  </r>
  <r>
    <s v="CUST_308"/>
    <d v="2024-06-21T00:00:00"/>
    <n v="355"/>
    <n v="2"/>
    <n v="128"/>
    <n v="2"/>
    <n v="3"/>
    <n v="1"/>
    <s v="231"/>
    <s v="At Risk"/>
    <x v="1"/>
  </r>
  <r>
    <s v="CUST_309"/>
    <d v="2024-09-18T00:00:00"/>
    <n v="5402"/>
    <n v="5"/>
    <n v="39"/>
    <n v="4"/>
    <n v="5"/>
    <n v="5"/>
    <s v="455"/>
    <s v="Champions"/>
    <x v="0"/>
  </r>
  <r>
    <s v="CUST_31"/>
    <d v="2024-04-08T00:00:00"/>
    <n v="1745"/>
    <n v="1"/>
    <n v="202"/>
    <n v="1"/>
    <n v="2"/>
    <n v="3"/>
    <s v="123"/>
    <s v="At Risk"/>
    <x v="1"/>
  </r>
  <r>
    <s v="CUST_310"/>
    <d v="2024-09-01T00:00:00"/>
    <n v="763"/>
    <n v="2"/>
    <n v="56"/>
    <n v="3"/>
    <n v="3"/>
    <n v="1"/>
    <s v="331"/>
    <s v="Potential Loyalist"/>
    <x v="0"/>
  </r>
  <r>
    <s v="CUST_311"/>
    <d v="2024-09-14T00:00:00"/>
    <n v="2885"/>
    <n v="5"/>
    <n v="43"/>
    <n v="4"/>
    <n v="5"/>
    <n v="4"/>
    <s v="454"/>
    <s v="Champions"/>
    <x v="0"/>
  </r>
  <r>
    <s v="CUST_312"/>
    <d v="2024-09-16T00:00:00"/>
    <n v="3073"/>
    <n v="5"/>
    <n v="41"/>
    <n v="4"/>
    <n v="5"/>
    <n v="4"/>
    <s v="454"/>
    <s v="Champions"/>
    <x v="0"/>
  </r>
  <r>
    <s v="CUST_313"/>
    <d v="2024-04-22T00:00:00"/>
    <n v="4281"/>
    <n v="5"/>
    <n v="188"/>
    <n v="1"/>
    <n v="5"/>
    <n v="5"/>
    <s v="155"/>
    <s v="At Risk"/>
    <x v="1"/>
  </r>
  <r>
    <s v="CUST_314"/>
    <d v="2024-10-22T00:00:00"/>
    <n v="1300"/>
    <n v="2"/>
    <n v="5"/>
    <n v="5"/>
    <n v="3"/>
    <n v="2"/>
    <s v="532"/>
    <s v="Recent Customers"/>
    <x v="0"/>
  </r>
  <r>
    <s v="CUST_315"/>
    <d v="2024-09-01T00:00:00"/>
    <n v="2534"/>
    <n v="2"/>
    <n v="56"/>
    <n v="3"/>
    <n v="3"/>
    <n v="3"/>
    <s v="333"/>
    <s v="Loyal Customers"/>
    <x v="0"/>
  </r>
  <r>
    <s v="CUST_316"/>
    <d v="2024-09-25T00:00:00"/>
    <n v="2074"/>
    <n v="3"/>
    <n v="32"/>
    <n v="4"/>
    <n v="4"/>
    <n v="3"/>
    <s v="443"/>
    <s v="Loyal Customers"/>
    <x v="0"/>
  </r>
  <r>
    <s v="CUST_317"/>
    <d v="2024-09-14T00:00:00"/>
    <n v="3014"/>
    <n v="3"/>
    <n v="43"/>
    <n v="4"/>
    <n v="4"/>
    <n v="4"/>
    <s v="444"/>
    <s v="Champions"/>
    <x v="0"/>
  </r>
  <r>
    <s v="CUST_318"/>
    <d v="2024-10-21T00:00:00"/>
    <n v="3189"/>
    <n v="3"/>
    <n v="6"/>
    <n v="5"/>
    <n v="4"/>
    <n v="4"/>
    <s v="544"/>
    <s v="Champions"/>
    <x v="0"/>
  </r>
  <r>
    <s v="CUST_319"/>
    <d v="2024-09-11T00:00:00"/>
    <n v="3302"/>
    <n v="4"/>
    <n v="46"/>
    <n v="4"/>
    <n v="5"/>
    <n v="4"/>
    <s v="454"/>
    <s v="Champions"/>
    <x v="0"/>
  </r>
  <r>
    <s v="CUST_32"/>
    <d v="2024-09-23T00:00:00"/>
    <n v="695"/>
    <n v="1"/>
    <n v="34"/>
    <n v="4"/>
    <n v="2"/>
    <n v="1"/>
    <s v="421"/>
    <s v="Recent Customers"/>
    <x v="0"/>
  </r>
  <r>
    <s v="CUST_320"/>
    <d v="2024-10-05T00:00:00"/>
    <n v="5980"/>
    <n v="5"/>
    <n v="22"/>
    <n v="5"/>
    <n v="5"/>
    <n v="5"/>
    <s v="555"/>
    <s v="Champions"/>
    <x v="0"/>
  </r>
  <r>
    <s v="CUST_321"/>
    <d v="2024-09-08T00:00:00"/>
    <n v="2338"/>
    <n v="2"/>
    <n v="49"/>
    <n v="4"/>
    <n v="3"/>
    <n v="3"/>
    <s v="433"/>
    <s v="Loyal Customers"/>
    <x v="0"/>
  </r>
  <r>
    <s v="CUST_322"/>
    <d v="2024-09-04T00:00:00"/>
    <n v="5108"/>
    <n v="5"/>
    <n v="53"/>
    <n v="4"/>
    <n v="5"/>
    <n v="5"/>
    <s v="455"/>
    <s v="Champions"/>
    <x v="0"/>
  </r>
  <r>
    <s v="CUST_323"/>
    <d v="2024-10-17T00:00:00"/>
    <n v="1356"/>
    <n v="3"/>
    <n v="10"/>
    <n v="5"/>
    <n v="4"/>
    <n v="2"/>
    <s v="542"/>
    <s v="Recent Customers"/>
    <x v="0"/>
  </r>
  <r>
    <s v="CUST_324"/>
    <d v="2024-10-27T00:00:00"/>
    <n v="1087"/>
    <n v="2"/>
    <n v="0"/>
    <n v="5"/>
    <n v="3"/>
    <n v="2"/>
    <s v="532"/>
    <s v="Recent Customers"/>
    <x v="0"/>
  </r>
  <r>
    <s v="CUST_325"/>
    <d v="2024-07-31T00:00:00"/>
    <n v="1050"/>
    <n v="2"/>
    <n v="88"/>
    <n v="3"/>
    <n v="3"/>
    <n v="2"/>
    <s v="332"/>
    <s v="Potential Loyalist"/>
    <x v="0"/>
  </r>
  <r>
    <s v="CUST_326"/>
    <d v="2024-09-15T00:00:00"/>
    <n v="1774"/>
    <n v="4"/>
    <n v="42"/>
    <n v="4"/>
    <n v="5"/>
    <n v="3"/>
    <s v="453"/>
    <s v="Loyal Customers"/>
    <x v="0"/>
  </r>
  <r>
    <s v="CUST_327"/>
    <d v="2024-07-02T00:00:00"/>
    <n v="3959"/>
    <n v="4"/>
    <n v="117"/>
    <n v="2"/>
    <n v="5"/>
    <n v="5"/>
    <s v="255"/>
    <s v="At Risk"/>
    <x v="1"/>
  </r>
  <r>
    <s v="CUST_328"/>
    <d v="2024-09-12T00:00:00"/>
    <n v="5590"/>
    <n v="5"/>
    <n v="45"/>
    <n v="4"/>
    <n v="5"/>
    <n v="5"/>
    <s v="455"/>
    <s v="Champions"/>
    <x v="0"/>
  </r>
  <r>
    <s v="CUST_329"/>
    <d v="2024-09-09T00:00:00"/>
    <n v="2775"/>
    <n v="4"/>
    <n v="48"/>
    <n v="4"/>
    <n v="5"/>
    <n v="4"/>
    <s v="454"/>
    <s v="Champions"/>
    <x v="0"/>
  </r>
  <r>
    <s v="CUST_33"/>
    <d v="2024-10-12T00:00:00"/>
    <n v="491"/>
    <n v="1"/>
    <n v="15"/>
    <n v="5"/>
    <n v="2"/>
    <n v="1"/>
    <s v="521"/>
    <s v="Recent Customers"/>
    <x v="0"/>
  </r>
  <r>
    <s v="CUST_330"/>
    <d v="2024-03-12T00:00:00"/>
    <n v="2716"/>
    <n v="2"/>
    <n v="229"/>
    <n v="1"/>
    <n v="3"/>
    <n v="4"/>
    <s v="134"/>
    <s v="At Risk"/>
    <x v="1"/>
  </r>
  <r>
    <s v="CUST_331"/>
    <d v="2024-08-03T00:00:00"/>
    <n v="5474"/>
    <n v="5"/>
    <n v="85"/>
    <n v="3"/>
    <n v="5"/>
    <n v="5"/>
    <s v="355"/>
    <s v="Loyal Customers"/>
    <x v="0"/>
  </r>
  <r>
    <s v="CUST_332"/>
    <d v="2024-08-27T00:00:00"/>
    <n v="2749"/>
    <n v="2"/>
    <n v="61"/>
    <n v="3"/>
    <n v="3"/>
    <n v="4"/>
    <s v="334"/>
    <s v="Loyal Customers"/>
    <x v="0"/>
  </r>
  <r>
    <s v="CUST_333"/>
    <d v="2024-09-13T00:00:00"/>
    <n v="2070"/>
    <n v="3"/>
    <n v="44"/>
    <n v="4"/>
    <n v="4"/>
    <n v="3"/>
    <s v="443"/>
    <s v="Loyal Customers"/>
    <x v="0"/>
  </r>
  <r>
    <s v="CUST_334"/>
    <d v="2024-06-25T00:00:00"/>
    <n v="4795"/>
    <n v="5"/>
    <n v="124"/>
    <n v="2"/>
    <n v="5"/>
    <n v="5"/>
    <s v="255"/>
    <s v="At Risk"/>
    <x v="1"/>
  </r>
  <r>
    <s v="CUST_335"/>
    <d v="2024-07-17T00:00:00"/>
    <n v="1268"/>
    <n v="2"/>
    <n v="102"/>
    <n v="2"/>
    <n v="3"/>
    <n v="2"/>
    <s v="232"/>
    <s v="At Risk"/>
    <x v="1"/>
  </r>
  <r>
    <s v="CUST_336"/>
    <d v="2024-08-26T00:00:00"/>
    <n v="2858"/>
    <n v="3"/>
    <n v="62"/>
    <n v="3"/>
    <n v="4"/>
    <n v="4"/>
    <s v="344"/>
    <s v="Loyal Customers"/>
    <x v="0"/>
  </r>
  <r>
    <s v="CUST_337"/>
    <d v="2024-04-30T00:00:00"/>
    <n v="1069"/>
    <n v="2"/>
    <n v="180"/>
    <n v="1"/>
    <n v="3"/>
    <n v="2"/>
    <s v="132"/>
    <s v="At Risk"/>
    <x v="1"/>
  </r>
  <r>
    <s v="CUST_338"/>
    <d v="2024-09-30T00:00:00"/>
    <n v="1026"/>
    <n v="2"/>
    <n v="27"/>
    <n v="5"/>
    <n v="3"/>
    <n v="2"/>
    <s v="532"/>
    <s v="Recent Customers"/>
    <x v="0"/>
  </r>
  <r>
    <s v="CUST_339"/>
    <d v="2024-09-29T00:00:00"/>
    <n v="4775"/>
    <n v="4"/>
    <n v="28"/>
    <n v="4"/>
    <n v="5"/>
    <n v="5"/>
    <s v="455"/>
    <s v="Champions"/>
    <x v="0"/>
  </r>
  <r>
    <s v="CUST_34"/>
    <d v="2024-07-04T00:00:00"/>
    <n v="1924"/>
    <n v="1"/>
    <n v="115"/>
    <n v="2"/>
    <n v="2"/>
    <n v="3"/>
    <s v="223"/>
    <s v="At Risk"/>
    <x v="1"/>
  </r>
  <r>
    <s v="CUST_340"/>
    <d v="2024-04-18T00:00:00"/>
    <n v="1664"/>
    <n v="2"/>
    <n v="192"/>
    <n v="1"/>
    <n v="3"/>
    <n v="3"/>
    <s v="133"/>
    <s v="At Risk"/>
    <x v="1"/>
  </r>
  <r>
    <s v="CUST_341"/>
    <d v="2024-09-27T00:00:00"/>
    <n v="2076"/>
    <n v="2"/>
    <n v="30"/>
    <n v="4"/>
    <n v="3"/>
    <n v="3"/>
    <s v="433"/>
    <s v="Loyal Customers"/>
    <x v="0"/>
  </r>
  <r>
    <s v="CUST_342"/>
    <d v="2024-07-11T00:00:00"/>
    <n v="1859"/>
    <n v="4"/>
    <n v="108"/>
    <n v="2"/>
    <n v="5"/>
    <n v="3"/>
    <s v="253"/>
    <s v="At Risk"/>
    <x v="1"/>
  </r>
  <r>
    <s v="CUST_343"/>
    <d v="2024-09-09T00:00:00"/>
    <n v="6309"/>
    <n v="5"/>
    <n v="48"/>
    <n v="4"/>
    <n v="5"/>
    <n v="5"/>
    <s v="455"/>
    <s v="Champions"/>
    <x v="0"/>
  </r>
  <r>
    <s v="CUST_344"/>
    <d v="2024-07-03T00:00:00"/>
    <n v="2502"/>
    <n v="3"/>
    <n v="116"/>
    <n v="2"/>
    <n v="4"/>
    <n v="3"/>
    <s v="243"/>
    <s v="At Risk"/>
    <x v="1"/>
  </r>
  <r>
    <s v="CUST_345"/>
    <d v="2024-10-14T00:00:00"/>
    <n v="3439"/>
    <n v="5"/>
    <n v="13"/>
    <n v="5"/>
    <n v="5"/>
    <n v="4"/>
    <s v="554"/>
    <s v="Champions"/>
    <x v="0"/>
  </r>
  <r>
    <s v="CUST_346"/>
    <d v="2024-10-18T00:00:00"/>
    <n v="6153"/>
    <n v="5"/>
    <n v="9"/>
    <n v="5"/>
    <n v="5"/>
    <n v="5"/>
    <s v="555"/>
    <s v="Champions"/>
    <x v="0"/>
  </r>
  <r>
    <s v="CUST_347"/>
    <d v="2024-10-03T00:00:00"/>
    <n v="3124"/>
    <n v="4"/>
    <n v="24"/>
    <n v="5"/>
    <n v="5"/>
    <n v="4"/>
    <s v="554"/>
    <s v="Champions"/>
    <x v="0"/>
  </r>
  <r>
    <s v="CUST_348"/>
    <d v="2024-07-24T00:00:00"/>
    <n v="1029"/>
    <n v="2"/>
    <n v="95"/>
    <n v="2"/>
    <n v="3"/>
    <n v="2"/>
    <s v="232"/>
    <s v="At Risk"/>
    <x v="1"/>
  </r>
  <r>
    <s v="CUST_349"/>
    <d v="2024-08-31T00:00:00"/>
    <n v="4796"/>
    <n v="4"/>
    <n v="57"/>
    <n v="3"/>
    <n v="5"/>
    <n v="5"/>
    <s v="355"/>
    <s v="Loyal Customers"/>
    <x v="0"/>
  </r>
  <r>
    <s v="CUST_35"/>
    <d v="2024-04-17T00:00:00"/>
    <n v="1608"/>
    <n v="1"/>
    <n v="193"/>
    <n v="1"/>
    <n v="2"/>
    <n v="3"/>
    <s v="123"/>
    <s v="At Risk"/>
    <x v="1"/>
  </r>
  <r>
    <s v="CUST_350"/>
    <d v="2024-09-25T00:00:00"/>
    <n v="2750"/>
    <n v="3"/>
    <n v="32"/>
    <n v="4"/>
    <n v="4"/>
    <n v="4"/>
    <s v="444"/>
    <s v="Champions"/>
    <x v="0"/>
  </r>
  <r>
    <s v="CUST_351"/>
    <d v="2024-04-19T00:00:00"/>
    <n v="1536"/>
    <n v="2"/>
    <n v="191"/>
    <n v="1"/>
    <n v="3"/>
    <n v="2"/>
    <s v="132"/>
    <s v="At Risk"/>
    <x v="1"/>
  </r>
  <r>
    <s v="CUST_352"/>
    <d v="2024-10-19T00:00:00"/>
    <n v="2117"/>
    <n v="3"/>
    <n v="8"/>
    <n v="5"/>
    <n v="4"/>
    <n v="3"/>
    <s v="543"/>
    <s v="Loyal Customers"/>
    <x v="0"/>
  </r>
  <r>
    <s v="CUST_353"/>
    <d v="2024-04-29T00:00:00"/>
    <n v="1206"/>
    <n v="2"/>
    <n v="181"/>
    <n v="1"/>
    <n v="3"/>
    <n v="2"/>
    <s v="132"/>
    <s v="At Risk"/>
    <x v="1"/>
  </r>
  <r>
    <s v="CUST_354"/>
    <d v="2024-08-09T00:00:00"/>
    <n v="1611"/>
    <n v="4"/>
    <n v="79"/>
    <n v="3"/>
    <n v="5"/>
    <n v="3"/>
    <s v="353"/>
    <s v="Loyal Customers"/>
    <x v="0"/>
  </r>
  <r>
    <s v="CUST_355"/>
    <d v="2024-05-31T00:00:00"/>
    <n v="1890"/>
    <n v="4"/>
    <n v="149"/>
    <n v="2"/>
    <n v="5"/>
    <n v="3"/>
    <s v="253"/>
    <s v="At Risk"/>
    <x v="1"/>
  </r>
  <r>
    <s v="CUST_356"/>
    <d v="2024-10-17T00:00:00"/>
    <n v="4562"/>
    <n v="5"/>
    <n v="10"/>
    <n v="5"/>
    <n v="5"/>
    <n v="5"/>
    <s v="555"/>
    <s v="Champions"/>
    <x v="0"/>
  </r>
  <r>
    <s v="CUST_357"/>
    <d v="2024-05-28T00:00:00"/>
    <n v="3303"/>
    <n v="3"/>
    <n v="152"/>
    <n v="1"/>
    <n v="4"/>
    <n v="4"/>
    <s v="144"/>
    <s v="At Risk"/>
    <x v="1"/>
  </r>
  <r>
    <s v="CUST_358"/>
    <d v="2024-10-19T00:00:00"/>
    <n v="3963"/>
    <n v="5"/>
    <n v="8"/>
    <n v="5"/>
    <n v="5"/>
    <n v="5"/>
    <s v="555"/>
    <s v="Champions"/>
    <x v="0"/>
  </r>
  <r>
    <s v="CUST_359"/>
    <d v="2024-07-17T00:00:00"/>
    <n v="4716"/>
    <n v="4"/>
    <n v="102"/>
    <n v="2"/>
    <n v="5"/>
    <n v="5"/>
    <s v="255"/>
    <s v="At Risk"/>
    <x v="1"/>
  </r>
  <r>
    <s v="CUST_36"/>
    <d v="2024-06-25T00:00:00"/>
    <n v="532"/>
    <n v="1"/>
    <n v="124"/>
    <n v="2"/>
    <n v="2"/>
    <n v="1"/>
    <s v="221"/>
    <s v="At Risk"/>
    <x v="1"/>
  </r>
  <r>
    <s v="CUST_360"/>
    <d v="2024-07-16T00:00:00"/>
    <n v="400"/>
    <n v="2"/>
    <n v="103"/>
    <n v="2"/>
    <n v="3"/>
    <n v="1"/>
    <s v="231"/>
    <s v="At Risk"/>
    <x v="1"/>
  </r>
  <r>
    <s v="CUST_361"/>
    <d v="2024-04-09T00:00:00"/>
    <n v="5261"/>
    <n v="4"/>
    <n v="201"/>
    <n v="1"/>
    <n v="5"/>
    <n v="5"/>
    <s v="155"/>
    <s v="At Risk"/>
    <x v="1"/>
  </r>
  <r>
    <s v="CUST_362"/>
    <d v="2024-08-26T00:00:00"/>
    <n v="1732"/>
    <n v="2"/>
    <n v="62"/>
    <n v="3"/>
    <n v="3"/>
    <n v="3"/>
    <s v="333"/>
    <s v="Loyal Customers"/>
    <x v="0"/>
  </r>
  <r>
    <s v="CUST_363"/>
    <d v="2024-08-25T00:00:00"/>
    <n v="4921"/>
    <n v="5"/>
    <n v="63"/>
    <n v="3"/>
    <n v="5"/>
    <n v="5"/>
    <s v="355"/>
    <s v="Loyal Customers"/>
    <x v="0"/>
  </r>
  <r>
    <s v="CUST_364"/>
    <d v="2024-08-22T00:00:00"/>
    <n v="3016"/>
    <n v="4"/>
    <n v="66"/>
    <n v="3"/>
    <n v="5"/>
    <n v="4"/>
    <s v="354"/>
    <s v="Loyal Customers"/>
    <x v="0"/>
  </r>
  <r>
    <s v="CUST_365"/>
    <d v="2024-09-07T00:00:00"/>
    <n v="3050"/>
    <n v="4"/>
    <n v="50"/>
    <n v="4"/>
    <n v="5"/>
    <n v="4"/>
    <s v="454"/>
    <s v="Champions"/>
    <x v="0"/>
  </r>
  <r>
    <s v="CUST_366"/>
    <d v="2024-07-24T00:00:00"/>
    <n v="3351"/>
    <n v="3"/>
    <n v="95"/>
    <n v="2"/>
    <n v="4"/>
    <n v="4"/>
    <s v="244"/>
    <s v="At Risk"/>
    <x v="1"/>
  </r>
  <r>
    <s v="CUST_367"/>
    <d v="2024-07-01T00:00:00"/>
    <n v="1679"/>
    <n v="3"/>
    <n v="118"/>
    <n v="2"/>
    <n v="4"/>
    <n v="3"/>
    <s v="243"/>
    <s v="At Risk"/>
    <x v="1"/>
  </r>
  <r>
    <s v="CUST_368"/>
    <d v="2024-08-05T00:00:00"/>
    <n v="3619"/>
    <n v="4"/>
    <n v="83"/>
    <n v="3"/>
    <n v="5"/>
    <n v="4"/>
    <s v="354"/>
    <s v="Loyal Customers"/>
    <x v="0"/>
  </r>
  <r>
    <s v="CUST_369"/>
    <d v="2024-06-10T00:00:00"/>
    <n v="1537"/>
    <n v="2"/>
    <n v="139"/>
    <n v="2"/>
    <n v="3"/>
    <n v="2"/>
    <s v="232"/>
    <s v="At Risk"/>
    <x v="1"/>
  </r>
  <r>
    <s v="CUST_37"/>
    <d v="2024-05-30T00:00:00"/>
    <n v="555"/>
    <n v="1"/>
    <n v="150"/>
    <n v="1"/>
    <n v="2"/>
    <n v="1"/>
    <s v="121"/>
    <s v="At Risk"/>
    <x v="1"/>
  </r>
  <r>
    <s v="CUST_370"/>
    <d v="2024-09-18T00:00:00"/>
    <n v="2351"/>
    <n v="4"/>
    <n v="39"/>
    <n v="4"/>
    <n v="5"/>
    <n v="3"/>
    <s v="453"/>
    <s v="Loyal Customers"/>
    <x v="0"/>
  </r>
  <r>
    <s v="CUST_371"/>
    <d v="2024-08-29T00:00:00"/>
    <n v="1452"/>
    <n v="2"/>
    <n v="59"/>
    <n v="3"/>
    <n v="3"/>
    <n v="2"/>
    <s v="332"/>
    <s v="Potential Loyalist"/>
    <x v="0"/>
  </r>
  <r>
    <s v="CUST_372"/>
    <d v="2024-10-12T00:00:00"/>
    <n v="3120"/>
    <n v="5"/>
    <n v="15"/>
    <n v="5"/>
    <n v="5"/>
    <n v="4"/>
    <s v="554"/>
    <s v="Champions"/>
    <x v="0"/>
  </r>
  <r>
    <s v="CUST_373"/>
    <d v="2024-07-21T00:00:00"/>
    <n v="2578"/>
    <n v="3"/>
    <n v="98"/>
    <n v="2"/>
    <n v="4"/>
    <n v="4"/>
    <s v="244"/>
    <s v="At Risk"/>
    <x v="1"/>
  </r>
  <r>
    <s v="CUST_374"/>
    <d v="2024-07-25T00:00:00"/>
    <n v="2440"/>
    <n v="3"/>
    <n v="94"/>
    <n v="2"/>
    <n v="4"/>
    <n v="3"/>
    <s v="243"/>
    <s v="At Risk"/>
    <x v="1"/>
  </r>
  <r>
    <s v="CUST_375"/>
    <d v="2024-06-30T00:00:00"/>
    <n v="2292"/>
    <n v="3"/>
    <n v="119"/>
    <n v="2"/>
    <n v="4"/>
    <n v="3"/>
    <s v="243"/>
    <s v="At Risk"/>
    <x v="1"/>
  </r>
  <r>
    <s v="CUST_376"/>
    <d v="2024-06-26T00:00:00"/>
    <n v="2937"/>
    <n v="4"/>
    <n v="123"/>
    <n v="2"/>
    <n v="5"/>
    <n v="4"/>
    <s v="254"/>
    <s v="At Risk"/>
    <x v="1"/>
  </r>
  <r>
    <s v="CUST_377"/>
    <d v="2024-08-18T00:00:00"/>
    <n v="3732"/>
    <n v="3"/>
    <n v="70"/>
    <n v="3"/>
    <n v="4"/>
    <n v="5"/>
    <s v="345"/>
    <s v="Loyal Customers"/>
    <x v="0"/>
  </r>
  <r>
    <s v="CUST_378"/>
    <d v="2024-10-09T00:00:00"/>
    <n v="2747"/>
    <n v="4"/>
    <n v="18"/>
    <n v="5"/>
    <n v="5"/>
    <n v="4"/>
    <s v="554"/>
    <s v="Champions"/>
    <x v="0"/>
  </r>
  <r>
    <s v="CUST_379"/>
    <d v="2024-10-25T00:00:00"/>
    <n v="3140"/>
    <n v="4"/>
    <n v="2"/>
    <n v="5"/>
    <n v="5"/>
    <n v="4"/>
    <s v="554"/>
    <s v="Champions"/>
    <x v="0"/>
  </r>
  <r>
    <s v="CUST_38"/>
    <d v="2024-10-01T00:00:00"/>
    <n v="987"/>
    <n v="1"/>
    <n v="26"/>
    <n v="5"/>
    <n v="2"/>
    <n v="2"/>
    <s v="522"/>
    <s v="Recent Customers"/>
    <x v="0"/>
  </r>
  <r>
    <s v="CUST_380"/>
    <d v="2024-09-18T00:00:00"/>
    <n v="6164"/>
    <n v="4"/>
    <n v="39"/>
    <n v="4"/>
    <n v="5"/>
    <n v="5"/>
    <s v="455"/>
    <s v="Champions"/>
    <x v="0"/>
  </r>
  <r>
    <s v="CUST_381"/>
    <d v="2024-08-04T00:00:00"/>
    <n v="1936"/>
    <n v="3"/>
    <n v="84"/>
    <n v="3"/>
    <n v="4"/>
    <n v="3"/>
    <s v="343"/>
    <s v="Loyal Customers"/>
    <x v="0"/>
  </r>
  <r>
    <s v="CUST_382"/>
    <d v="2024-10-12T00:00:00"/>
    <n v="4444"/>
    <n v="3"/>
    <n v="15"/>
    <n v="5"/>
    <n v="4"/>
    <n v="5"/>
    <s v="545"/>
    <s v="Champions"/>
    <x v="0"/>
  </r>
  <r>
    <s v="CUST_383"/>
    <d v="2024-08-06T00:00:00"/>
    <n v="3631"/>
    <n v="3"/>
    <n v="82"/>
    <n v="3"/>
    <n v="4"/>
    <n v="4"/>
    <s v="344"/>
    <s v="Loyal Customers"/>
    <x v="0"/>
  </r>
  <r>
    <s v="CUST_384"/>
    <d v="2024-08-13T00:00:00"/>
    <n v="3413"/>
    <n v="3"/>
    <n v="75"/>
    <n v="3"/>
    <n v="4"/>
    <n v="4"/>
    <s v="344"/>
    <s v="Loyal Customers"/>
    <x v="0"/>
  </r>
  <r>
    <s v="CUST_385"/>
    <d v="2024-09-04T00:00:00"/>
    <n v="3228"/>
    <n v="3"/>
    <n v="53"/>
    <n v="4"/>
    <n v="4"/>
    <n v="4"/>
    <s v="444"/>
    <s v="Champions"/>
    <x v="0"/>
  </r>
  <r>
    <s v="CUST_386"/>
    <d v="2024-06-24T00:00:00"/>
    <n v="1980"/>
    <n v="4"/>
    <n v="125"/>
    <n v="2"/>
    <n v="5"/>
    <n v="3"/>
    <s v="253"/>
    <s v="At Risk"/>
    <x v="1"/>
  </r>
  <r>
    <s v="CUST_387"/>
    <d v="2024-10-02T00:00:00"/>
    <n v="4271"/>
    <n v="5"/>
    <n v="25"/>
    <n v="5"/>
    <n v="5"/>
    <n v="5"/>
    <s v="555"/>
    <s v="Champions"/>
    <x v="0"/>
  </r>
  <r>
    <s v="CUST_388"/>
    <d v="2024-09-12T00:00:00"/>
    <n v="3873"/>
    <n v="4"/>
    <n v="45"/>
    <n v="4"/>
    <n v="5"/>
    <n v="5"/>
    <s v="455"/>
    <s v="Champions"/>
    <x v="0"/>
  </r>
  <r>
    <s v="CUST_389"/>
    <d v="2024-08-05T00:00:00"/>
    <n v="3978"/>
    <n v="5"/>
    <n v="83"/>
    <n v="3"/>
    <n v="5"/>
    <n v="5"/>
    <s v="355"/>
    <s v="Loyal Customers"/>
    <x v="0"/>
  </r>
  <r>
    <s v="CUST_39"/>
    <d v="2024-01-17T00:00:00"/>
    <n v="298"/>
    <n v="1"/>
    <n v="284"/>
    <n v="1"/>
    <n v="2"/>
    <n v="1"/>
    <s v="121"/>
    <s v="At Risk"/>
    <x v="1"/>
  </r>
  <r>
    <s v="CUST_390"/>
    <d v="2024-08-16T00:00:00"/>
    <n v="5839"/>
    <n v="5"/>
    <n v="72"/>
    <n v="3"/>
    <n v="5"/>
    <n v="5"/>
    <s v="355"/>
    <s v="Loyal Customers"/>
    <x v="0"/>
  </r>
  <r>
    <s v="CUST_391"/>
    <d v="2024-08-19T00:00:00"/>
    <n v="1969"/>
    <n v="3"/>
    <n v="69"/>
    <n v="3"/>
    <n v="4"/>
    <n v="3"/>
    <s v="343"/>
    <s v="Loyal Customers"/>
    <x v="0"/>
  </r>
  <r>
    <s v="CUST_392"/>
    <d v="2024-07-24T00:00:00"/>
    <n v="2116"/>
    <n v="4"/>
    <n v="95"/>
    <n v="2"/>
    <n v="5"/>
    <n v="3"/>
    <s v="253"/>
    <s v="At Risk"/>
    <x v="1"/>
  </r>
  <r>
    <s v="CUST_393"/>
    <d v="2024-10-23T00:00:00"/>
    <n v="2428"/>
    <n v="5"/>
    <n v="4"/>
    <n v="5"/>
    <n v="5"/>
    <n v="3"/>
    <s v="553"/>
    <s v="Loyal Customers"/>
    <x v="0"/>
  </r>
  <r>
    <s v="CUST_394"/>
    <d v="2024-02-19T00:00:00"/>
    <n v="1291"/>
    <n v="2"/>
    <n v="251"/>
    <n v="1"/>
    <n v="3"/>
    <n v="2"/>
    <s v="132"/>
    <s v="At Risk"/>
    <x v="1"/>
  </r>
  <r>
    <s v="CUST_395"/>
    <d v="2024-10-26T00:00:00"/>
    <n v="1590"/>
    <n v="2"/>
    <n v="1"/>
    <n v="5"/>
    <n v="3"/>
    <n v="2"/>
    <s v="532"/>
    <s v="Recent Customers"/>
    <x v="0"/>
  </r>
  <r>
    <s v="CUST_396"/>
    <d v="2024-09-19T00:00:00"/>
    <n v="2023"/>
    <n v="3"/>
    <n v="38"/>
    <n v="4"/>
    <n v="4"/>
    <n v="3"/>
    <s v="443"/>
    <s v="Loyal Customers"/>
    <x v="0"/>
  </r>
  <r>
    <s v="CUST_397"/>
    <d v="2024-08-29T00:00:00"/>
    <n v="3692"/>
    <n v="5"/>
    <n v="59"/>
    <n v="3"/>
    <n v="5"/>
    <n v="5"/>
    <s v="355"/>
    <s v="Loyal Customers"/>
    <x v="0"/>
  </r>
  <r>
    <s v="CUST_398"/>
    <d v="2024-09-22T00:00:00"/>
    <n v="4099"/>
    <n v="4"/>
    <n v="35"/>
    <n v="4"/>
    <n v="5"/>
    <n v="5"/>
    <s v="455"/>
    <s v="Champions"/>
    <x v="0"/>
  </r>
  <r>
    <s v="CUST_399"/>
    <d v="2024-07-31T00:00:00"/>
    <n v="1256"/>
    <n v="2"/>
    <n v="88"/>
    <n v="3"/>
    <n v="3"/>
    <n v="2"/>
    <s v="332"/>
    <s v="Potential Loyalist"/>
    <x v="0"/>
  </r>
  <r>
    <s v="CUST_4"/>
    <d v="2024-09-20T00:00:00"/>
    <n v="1272"/>
    <n v="1"/>
    <n v="37"/>
    <n v="4"/>
    <n v="2"/>
    <n v="2"/>
    <s v="422"/>
    <s v="Recent Customers"/>
    <x v="0"/>
  </r>
  <r>
    <s v="CUST_40"/>
    <d v="2024-05-31T00:00:00"/>
    <n v="915"/>
    <n v="1"/>
    <n v="149"/>
    <n v="2"/>
    <n v="2"/>
    <n v="2"/>
    <s v="222"/>
    <s v="At Risk"/>
    <x v="1"/>
  </r>
  <r>
    <s v="CUST_400"/>
    <d v="2024-10-12T00:00:00"/>
    <n v="2296"/>
    <n v="5"/>
    <n v="15"/>
    <n v="5"/>
    <n v="5"/>
    <n v="3"/>
    <s v="553"/>
    <s v="Loyal Customers"/>
    <x v="0"/>
  </r>
  <r>
    <s v="CUST_401"/>
    <d v="2024-10-04T00:00:00"/>
    <n v="4105"/>
    <n v="5"/>
    <n v="23"/>
    <n v="5"/>
    <n v="5"/>
    <n v="5"/>
    <s v="555"/>
    <s v="Champions"/>
    <x v="0"/>
  </r>
  <r>
    <s v="CUST_402"/>
    <d v="2024-10-03T00:00:00"/>
    <n v="2935"/>
    <n v="5"/>
    <n v="24"/>
    <n v="5"/>
    <n v="5"/>
    <n v="4"/>
    <s v="554"/>
    <s v="Champions"/>
    <x v="0"/>
  </r>
  <r>
    <s v="CUST_403"/>
    <d v="2024-10-11T00:00:00"/>
    <n v="3284"/>
    <n v="5"/>
    <n v="16"/>
    <n v="5"/>
    <n v="5"/>
    <n v="4"/>
    <s v="554"/>
    <s v="Champions"/>
    <x v="0"/>
  </r>
  <r>
    <s v="CUST_404"/>
    <d v="2024-04-16T00:00:00"/>
    <n v="3128"/>
    <n v="2"/>
    <n v="194"/>
    <n v="1"/>
    <n v="3"/>
    <n v="4"/>
    <s v="134"/>
    <s v="At Risk"/>
    <x v="1"/>
  </r>
  <r>
    <s v="CUST_405"/>
    <d v="2024-07-22T00:00:00"/>
    <n v="4839"/>
    <n v="5"/>
    <n v="97"/>
    <n v="2"/>
    <n v="5"/>
    <n v="5"/>
    <s v="255"/>
    <s v="At Risk"/>
    <x v="1"/>
  </r>
  <r>
    <s v="CUST_406"/>
    <d v="2024-07-22T00:00:00"/>
    <n v="3475"/>
    <n v="4"/>
    <n v="97"/>
    <n v="2"/>
    <n v="5"/>
    <n v="4"/>
    <s v="254"/>
    <s v="At Risk"/>
    <x v="1"/>
  </r>
  <r>
    <s v="CUST_407"/>
    <d v="2024-05-05T00:00:00"/>
    <n v="3625"/>
    <n v="3"/>
    <n v="175"/>
    <n v="1"/>
    <n v="4"/>
    <n v="4"/>
    <s v="144"/>
    <s v="At Risk"/>
    <x v="1"/>
  </r>
  <r>
    <s v="CUST_408"/>
    <d v="2024-06-23T00:00:00"/>
    <n v="1819"/>
    <n v="2"/>
    <n v="126"/>
    <n v="2"/>
    <n v="3"/>
    <n v="3"/>
    <s v="233"/>
    <s v="At Risk"/>
    <x v="1"/>
  </r>
  <r>
    <s v="CUST_409"/>
    <d v="2024-09-23T00:00:00"/>
    <n v="2749"/>
    <n v="5"/>
    <n v="34"/>
    <n v="4"/>
    <n v="5"/>
    <n v="4"/>
    <s v="454"/>
    <s v="Champions"/>
    <x v="0"/>
  </r>
  <r>
    <s v="CUST_41"/>
    <d v="2024-07-12T00:00:00"/>
    <n v="1135"/>
    <n v="1"/>
    <n v="107"/>
    <n v="2"/>
    <n v="2"/>
    <n v="2"/>
    <s v="222"/>
    <s v="At Risk"/>
    <x v="1"/>
  </r>
  <r>
    <s v="CUST_410"/>
    <d v="2024-08-13T00:00:00"/>
    <n v="3482"/>
    <n v="4"/>
    <n v="75"/>
    <n v="3"/>
    <n v="5"/>
    <n v="4"/>
    <s v="354"/>
    <s v="Loyal Customers"/>
    <x v="0"/>
  </r>
  <r>
    <s v="CUST_411"/>
    <d v="2024-09-04T00:00:00"/>
    <n v="6367"/>
    <n v="5"/>
    <n v="53"/>
    <n v="4"/>
    <n v="5"/>
    <n v="5"/>
    <s v="455"/>
    <s v="Champions"/>
    <x v="0"/>
  </r>
  <r>
    <s v="CUST_412"/>
    <d v="2024-06-24T00:00:00"/>
    <n v="1712"/>
    <n v="2"/>
    <n v="125"/>
    <n v="2"/>
    <n v="3"/>
    <n v="3"/>
    <s v="233"/>
    <s v="At Risk"/>
    <x v="1"/>
  </r>
  <r>
    <s v="CUST_413"/>
    <d v="2024-09-03T00:00:00"/>
    <n v="3130"/>
    <n v="3"/>
    <n v="54"/>
    <n v="3"/>
    <n v="4"/>
    <n v="4"/>
    <s v="344"/>
    <s v="Loyal Customers"/>
    <x v="0"/>
  </r>
  <r>
    <s v="CUST_414"/>
    <d v="2024-10-02T00:00:00"/>
    <n v="952"/>
    <n v="3"/>
    <n v="25"/>
    <n v="5"/>
    <n v="4"/>
    <n v="2"/>
    <s v="542"/>
    <s v="Recent Customers"/>
    <x v="0"/>
  </r>
  <r>
    <s v="CUST_415"/>
    <d v="2024-09-12T00:00:00"/>
    <n v="2594"/>
    <n v="4"/>
    <n v="45"/>
    <n v="4"/>
    <n v="5"/>
    <n v="4"/>
    <s v="454"/>
    <s v="Champions"/>
    <x v="0"/>
  </r>
  <r>
    <s v="CUST_416"/>
    <d v="2024-08-05T00:00:00"/>
    <n v="4243"/>
    <n v="5"/>
    <n v="83"/>
    <n v="3"/>
    <n v="5"/>
    <n v="5"/>
    <s v="355"/>
    <s v="Loyal Customers"/>
    <x v="0"/>
  </r>
  <r>
    <s v="CUST_417"/>
    <d v="2024-08-16T00:00:00"/>
    <n v="2976"/>
    <n v="4"/>
    <n v="72"/>
    <n v="3"/>
    <n v="5"/>
    <n v="4"/>
    <s v="354"/>
    <s v="Loyal Customers"/>
    <x v="0"/>
  </r>
  <r>
    <s v="CUST_418"/>
    <d v="2024-08-19T00:00:00"/>
    <n v="4390"/>
    <n v="4"/>
    <n v="69"/>
    <n v="3"/>
    <n v="5"/>
    <n v="5"/>
    <s v="355"/>
    <s v="Loyal Customers"/>
    <x v="0"/>
  </r>
  <r>
    <s v="CUST_419"/>
    <d v="2024-10-17T00:00:00"/>
    <n v="5110"/>
    <n v="5"/>
    <n v="10"/>
    <n v="5"/>
    <n v="5"/>
    <n v="5"/>
    <s v="555"/>
    <s v="Champions"/>
    <x v="0"/>
  </r>
  <r>
    <s v="CUST_42"/>
    <d v="2024-01-11T00:00:00"/>
    <n v="524"/>
    <n v="1"/>
    <n v="290"/>
    <n v="1"/>
    <n v="2"/>
    <n v="1"/>
    <s v="121"/>
    <s v="At Risk"/>
    <x v="1"/>
  </r>
  <r>
    <s v="CUST_420"/>
    <d v="2024-10-23T00:00:00"/>
    <n v="3859"/>
    <n v="5"/>
    <n v="4"/>
    <n v="5"/>
    <n v="5"/>
    <n v="5"/>
    <s v="555"/>
    <s v="Champions"/>
    <x v="0"/>
  </r>
  <r>
    <s v="CUST_421"/>
    <d v="2024-09-12T00:00:00"/>
    <n v="1908"/>
    <n v="2"/>
    <n v="45"/>
    <n v="4"/>
    <n v="3"/>
    <n v="3"/>
    <s v="433"/>
    <s v="Loyal Customers"/>
    <x v="0"/>
  </r>
  <r>
    <s v="CUST_422"/>
    <d v="2024-10-26T00:00:00"/>
    <n v="3091"/>
    <n v="2"/>
    <n v="1"/>
    <n v="5"/>
    <n v="3"/>
    <n v="4"/>
    <s v="534"/>
    <s v="Loyal Customers"/>
    <x v="0"/>
  </r>
  <r>
    <s v="CUST_423"/>
    <d v="2024-09-19T00:00:00"/>
    <n v="1600"/>
    <n v="3"/>
    <n v="38"/>
    <n v="4"/>
    <n v="4"/>
    <n v="2"/>
    <s v="442"/>
    <s v="Recent Customers"/>
    <x v="0"/>
  </r>
  <r>
    <s v="CUST_424"/>
    <d v="2024-08-29T00:00:00"/>
    <n v="5397"/>
    <n v="5"/>
    <n v="59"/>
    <n v="3"/>
    <n v="5"/>
    <n v="5"/>
    <s v="355"/>
    <s v="Loyal Customers"/>
    <x v="0"/>
  </r>
  <r>
    <s v="CUST_425"/>
    <d v="2024-09-22T00:00:00"/>
    <n v="1480"/>
    <n v="2"/>
    <n v="35"/>
    <n v="4"/>
    <n v="3"/>
    <n v="2"/>
    <s v="432"/>
    <s v="Recent Customers"/>
    <x v="0"/>
  </r>
  <r>
    <s v="CUST_426"/>
    <d v="2024-07-31T00:00:00"/>
    <n v="1963"/>
    <n v="3"/>
    <n v="88"/>
    <n v="3"/>
    <n v="4"/>
    <n v="3"/>
    <s v="343"/>
    <s v="Loyal Customers"/>
    <x v="0"/>
  </r>
  <r>
    <s v="CUST_427"/>
    <d v="2024-10-12T00:00:00"/>
    <n v="3719"/>
    <n v="4"/>
    <n v="15"/>
    <n v="5"/>
    <n v="5"/>
    <n v="5"/>
    <s v="555"/>
    <s v="Champions"/>
    <x v="0"/>
  </r>
  <r>
    <s v="CUST_428"/>
    <d v="2024-10-04T00:00:00"/>
    <n v="1506"/>
    <n v="3"/>
    <n v="23"/>
    <n v="5"/>
    <n v="4"/>
    <n v="2"/>
    <s v="542"/>
    <s v="Recent Customers"/>
    <x v="0"/>
  </r>
  <r>
    <s v="CUST_429"/>
    <d v="2024-03-06T00:00:00"/>
    <n v="1170"/>
    <n v="2"/>
    <n v="235"/>
    <n v="1"/>
    <n v="3"/>
    <n v="2"/>
    <s v="132"/>
    <s v="At Risk"/>
    <x v="1"/>
  </r>
  <r>
    <s v="CUST_43"/>
    <d v="2024-04-04T00:00:00"/>
    <n v="816"/>
    <n v="1"/>
    <n v="206"/>
    <n v="1"/>
    <n v="2"/>
    <n v="1"/>
    <s v="121"/>
    <s v="At Risk"/>
    <x v="1"/>
  </r>
  <r>
    <s v="CUST_430"/>
    <d v="2024-05-14T00:00:00"/>
    <n v="1220"/>
    <n v="2"/>
    <n v="166"/>
    <n v="1"/>
    <n v="3"/>
    <n v="2"/>
    <s v="132"/>
    <s v="At Risk"/>
    <x v="1"/>
  </r>
  <r>
    <s v="CUST_431"/>
    <d v="2024-10-03T00:00:00"/>
    <n v="5498"/>
    <n v="4"/>
    <n v="24"/>
    <n v="5"/>
    <n v="5"/>
    <n v="5"/>
    <s v="555"/>
    <s v="Champions"/>
    <x v="0"/>
  </r>
  <r>
    <s v="CUST_432"/>
    <d v="2024-10-11T00:00:00"/>
    <n v="2512"/>
    <n v="5"/>
    <n v="16"/>
    <n v="5"/>
    <n v="5"/>
    <n v="3"/>
    <s v="553"/>
    <s v="Loyal Customers"/>
    <x v="0"/>
  </r>
  <r>
    <s v="CUST_433"/>
    <d v="2024-04-16T00:00:00"/>
    <n v="3139"/>
    <n v="4"/>
    <n v="194"/>
    <n v="1"/>
    <n v="5"/>
    <n v="4"/>
    <s v="154"/>
    <s v="At Risk"/>
    <x v="1"/>
  </r>
  <r>
    <s v="CUST_434"/>
    <d v="2024-07-22T00:00:00"/>
    <n v="3303"/>
    <n v="4"/>
    <n v="97"/>
    <n v="2"/>
    <n v="5"/>
    <n v="4"/>
    <s v="254"/>
    <s v="At Risk"/>
    <x v="1"/>
  </r>
  <r>
    <s v="CUST_435"/>
    <d v="2024-07-22T00:00:00"/>
    <n v="1782"/>
    <n v="3"/>
    <n v="97"/>
    <n v="2"/>
    <n v="4"/>
    <n v="3"/>
    <s v="243"/>
    <s v="At Risk"/>
    <x v="1"/>
  </r>
  <r>
    <s v="CUST_436"/>
    <d v="2024-06-23T00:00:00"/>
    <n v="3496"/>
    <n v="5"/>
    <n v="126"/>
    <n v="2"/>
    <n v="5"/>
    <n v="4"/>
    <s v="254"/>
    <s v="At Risk"/>
    <x v="1"/>
  </r>
  <r>
    <s v="CUST_437"/>
    <d v="2024-09-23T00:00:00"/>
    <n v="3599"/>
    <n v="4"/>
    <n v="34"/>
    <n v="4"/>
    <n v="5"/>
    <n v="4"/>
    <s v="454"/>
    <s v="Champions"/>
    <x v="0"/>
  </r>
  <r>
    <s v="CUST_438"/>
    <d v="2024-10-14T00:00:00"/>
    <n v="3897"/>
    <n v="5"/>
    <n v="13"/>
    <n v="5"/>
    <n v="5"/>
    <n v="5"/>
    <s v="555"/>
    <s v="Champions"/>
    <x v="0"/>
  </r>
  <r>
    <s v="CUST_439"/>
    <d v="2024-09-20T00:00:00"/>
    <n v="2664"/>
    <n v="3"/>
    <n v="37"/>
    <n v="4"/>
    <n v="4"/>
    <n v="4"/>
    <s v="444"/>
    <s v="Champions"/>
    <x v="0"/>
  </r>
  <r>
    <s v="CUST_44"/>
    <d v="2024-07-21T00:00:00"/>
    <n v="1092"/>
    <n v="1"/>
    <n v="98"/>
    <n v="2"/>
    <n v="2"/>
    <n v="2"/>
    <s v="222"/>
    <s v="At Risk"/>
    <x v="1"/>
  </r>
  <r>
    <s v="CUST_440"/>
    <d v="2024-09-03T00:00:00"/>
    <n v="3319"/>
    <n v="5"/>
    <n v="54"/>
    <n v="3"/>
    <n v="5"/>
    <n v="4"/>
    <s v="354"/>
    <s v="Loyal Customers"/>
    <x v="0"/>
  </r>
  <r>
    <s v="CUST_441"/>
    <d v="2024-10-15T00:00:00"/>
    <n v="2557"/>
    <n v="2"/>
    <n v="12"/>
    <n v="5"/>
    <n v="3"/>
    <n v="3"/>
    <s v="533"/>
    <s v="Loyal Customers"/>
    <x v="0"/>
  </r>
  <r>
    <s v="CUST_442"/>
    <d v="2024-06-19T00:00:00"/>
    <n v="5137"/>
    <n v="4"/>
    <n v="130"/>
    <n v="2"/>
    <n v="5"/>
    <n v="5"/>
    <s v="255"/>
    <s v="At Risk"/>
    <x v="1"/>
  </r>
  <r>
    <s v="CUST_443"/>
    <d v="2024-08-29T00:00:00"/>
    <n v="2461"/>
    <n v="3"/>
    <n v="59"/>
    <n v="3"/>
    <n v="4"/>
    <n v="3"/>
    <s v="343"/>
    <s v="Loyal Customers"/>
    <x v="0"/>
  </r>
  <r>
    <s v="CUST_444"/>
    <d v="2024-09-30T00:00:00"/>
    <n v="4431"/>
    <n v="4"/>
    <n v="27"/>
    <n v="5"/>
    <n v="5"/>
    <n v="5"/>
    <s v="555"/>
    <s v="Champions"/>
    <x v="0"/>
  </r>
  <r>
    <s v="CUST_445"/>
    <d v="2024-06-21T00:00:00"/>
    <n v="3934"/>
    <n v="3"/>
    <n v="128"/>
    <n v="2"/>
    <n v="4"/>
    <n v="5"/>
    <s v="245"/>
    <s v="At Risk"/>
    <x v="1"/>
  </r>
  <r>
    <s v="CUST_446"/>
    <d v="2024-09-18T00:00:00"/>
    <n v="1594"/>
    <n v="2"/>
    <n v="39"/>
    <n v="4"/>
    <n v="3"/>
    <n v="2"/>
    <s v="432"/>
    <s v="Recent Customers"/>
    <x v="0"/>
  </r>
  <r>
    <s v="CUST_447"/>
    <d v="2024-09-23T00:00:00"/>
    <n v="4251"/>
    <n v="4"/>
    <n v="34"/>
    <n v="4"/>
    <n v="5"/>
    <n v="5"/>
    <s v="455"/>
    <s v="Champions"/>
    <x v="0"/>
  </r>
  <r>
    <s v="CUST_448"/>
    <d v="2024-10-12T00:00:00"/>
    <n v="2021"/>
    <n v="3"/>
    <n v="15"/>
    <n v="5"/>
    <n v="4"/>
    <n v="3"/>
    <s v="543"/>
    <s v="Loyal Customers"/>
    <x v="0"/>
  </r>
  <r>
    <s v="CUST_449"/>
    <d v="2024-10-01T00:00:00"/>
    <n v="2537"/>
    <n v="5"/>
    <n v="26"/>
    <n v="5"/>
    <n v="5"/>
    <n v="3"/>
    <s v="553"/>
    <s v="Loyal Customers"/>
    <x v="0"/>
  </r>
  <r>
    <s v="CUST_45"/>
    <d v="2024-10-16T00:00:00"/>
    <n v="866"/>
    <n v="1"/>
    <n v="11"/>
    <n v="5"/>
    <n v="2"/>
    <n v="2"/>
    <s v="522"/>
    <s v="Recent Customers"/>
    <x v="0"/>
  </r>
  <r>
    <s v="CUST_450"/>
    <d v="2024-07-12T00:00:00"/>
    <n v="1584"/>
    <n v="2"/>
    <n v="107"/>
    <n v="2"/>
    <n v="3"/>
    <n v="2"/>
    <s v="232"/>
    <s v="At Risk"/>
    <x v="1"/>
  </r>
  <r>
    <s v="CUST_451"/>
    <d v="2024-10-16T00:00:00"/>
    <n v="4127"/>
    <n v="4"/>
    <n v="11"/>
    <n v="5"/>
    <n v="5"/>
    <n v="5"/>
    <s v="555"/>
    <s v="Champions"/>
    <x v="0"/>
  </r>
  <r>
    <s v="CUST_452"/>
    <d v="2024-07-09T00:00:00"/>
    <n v="1525"/>
    <n v="3"/>
    <n v="110"/>
    <n v="2"/>
    <n v="4"/>
    <n v="2"/>
    <s v="242"/>
    <s v="At Risk"/>
    <x v="1"/>
  </r>
  <r>
    <s v="CUST_453"/>
    <d v="2024-10-16T00:00:00"/>
    <n v="2410"/>
    <n v="5"/>
    <n v="11"/>
    <n v="5"/>
    <n v="5"/>
    <n v="3"/>
    <s v="553"/>
    <s v="Loyal Customers"/>
    <x v="0"/>
  </r>
  <r>
    <s v="CUST_454"/>
    <d v="2024-09-10T00:00:00"/>
    <n v="2023"/>
    <n v="2"/>
    <n v="47"/>
    <n v="4"/>
    <n v="3"/>
    <n v="3"/>
    <s v="433"/>
    <s v="Loyal Customers"/>
    <x v="0"/>
  </r>
  <r>
    <s v="CUST_455"/>
    <d v="2024-10-22T00:00:00"/>
    <n v="2010"/>
    <n v="3"/>
    <n v="5"/>
    <n v="5"/>
    <n v="4"/>
    <n v="3"/>
    <s v="543"/>
    <s v="Loyal Customers"/>
    <x v="0"/>
  </r>
  <r>
    <s v="CUST_456"/>
    <d v="2024-10-02T00:00:00"/>
    <n v="3571"/>
    <n v="4"/>
    <n v="25"/>
    <n v="5"/>
    <n v="5"/>
    <n v="4"/>
    <s v="554"/>
    <s v="Champions"/>
    <x v="0"/>
  </r>
  <r>
    <s v="CUST_457"/>
    <d v="2024-09-23T00:00:00"/>
    <n v="2737"/>
    <n v="3"/>
    <n v="34"/>
    <n v="4"/>
    <n v="4"/>
    <n v="4"/>
    <s v="444"/>
    <s v="Champions"/>
    <x v="0"/>
  </r>
  <r>
    <s v="CUST_458"/>
    <d v="2024-06-26T00:00:00"/>
    <n v="3651"/>
    <n v="3"/>
    <n v="123"/>
    <n v="2"/>
    <n v="4"/>
    <n v="4"/>
    <s v="244"/>
    <s v="At Risk"/>
    <x v="1"/>
  </r>
  <r>
    <s v="CUST_459"/>
    <d v="2024-08-10T00:00:00"/>
    <n v="1234"/>
    <n v="2"/>
    <n v="78"/>
    <n v="3"/>
    <n v="3"/>
    <n v="2"/>
    <s v="332"/>
    <s v="Potential Loyalist"/>
    <x v="0"/>
  </r>
  <r>
    <s v="CUST_46"/>
    <d v="2024-09-11T00:00:00"/>
    <n v="2225"/>
    <n v="1"/>
    <n v="46"/>
    <n v="4"/>
    <n v="2"/>
    <n v="3"/>
    <s v="423"/>
    <s v="Recent Customers"/>
    <x v="0"/>
  </r>
  <r>
    <s v="CUST_460"/>
    <d v="2024-09-21T00:00:00"/>
    <n v="4065"/>
    <n v="4"/>
    <n v="36"/>
    <n v="4"/>
    <n v="5"/>
    <n v="5"/>
    <s v="455"/>
    <s v="Champions"/>
    <x v="0"/>
  </r>
  <r>
    <s v="CUST_461"/>
    <d v="2024-04-19T00:00:00"/>
    <n v="3016"/>
    <n v="4"/>
    <n v="191"/>
    <n v="1"/>
    <n v="5"/>
    <n v="4"/>
    <s v="154"/>
    <s v="At Risk"/>
    <x v="1"/>
  </r>
  <r>
    <s v="CUST_462"/>
    <d v="2024-08-08T00:00:00"/>
    <n v="3470"/>
    <n v="3"/>
    <n v="80"/>
    <n v="3"/>
    <n v="4"/>
    <n v="4"/>
    <s v="344"/>
    <s v="Loyal Customers"/>
    <x v="0"/>
  </r>
  <r>
    <s v="CUST_463"/>
    <d v="2024-08-19T00:00:00"/>
    <n v="4258"/>
    <n v="3"/>
    <n v="69"/>
    <n v="3"/>
    <n v="4"/>
    <n v="5"/>
    <s v="345"/>
    <s v="Loyal Customers"/>
    <x v="0"/>
  </r>
  <r>
    <s v="CUST_464"/>
    <d v="2024-08-19T00:00:00"/>
    <n v="2814"/>
    <n v="3"/>
    <n v="69"/>
    <n v="3"/>
    <n v="4"/>
    <n v="4"/>
    <s v="344"/>
    <s v="Loyal Customers"/>
    <x v="0"/>
  </r>
  <r>
    <s v="CUST_465"/>
    <d v="2024-06-20T00:00:00"/>
    <n v="2294"/>
    <n v="2"/>
    <n v="129"/>
    <n v="2"/>
    <n v="3"/>
    <n v="3"/>
    <s v="233"/>
    <s v="At Risk"/>
    <x v="1"/>
  </r>
  <r>
    <s v="CUST_466"/>
    <d v="2024-10-23T00:00:00"/>
    <n v="1807"/>
    <n v="4"/>
    <n v="4"/>
    <n v="5"/>
    <n v="5"/>
    <n v="3"/>
    <s v="553"/>
    <s v="Loyal Customers"/>
    <x v="0"/>
  </r>
  <r>
    <s v="CUST_467"/>
    <d v="2024-09-26T00:00:00"/>
    <n v="2636"/>
    <n v="5"/>
    <n v="31"/>
    <n v="4"/>
    <n v="5"/>
    <n v="4"/>
    <s v="454"/>
    <s v="Champions"/>
    <x v="0"/>
  </r>
  <r>
    <s v="CUST_468"/>
    <d v="2024-10-09T00:00:00"/>
    <n v="824"/>
    <n v="2"/>
    <n v="18"/>
    <n v="5"/>
    <n v="3"/>
    <n v="1"/>
    <s v="531"/>
    <s v="Recent Customers"/>
    <x v="0"/>
  </r>
  <r>
    <s v="CUST_469"/>
    <d v="2024-07-11T00:00:00"/>
    <n v="2052"/>
    <n v="2"/>
    <n v="108"/>
    <n v="2"/>
    <n v="3"/>
    <n v="3"/>
    <s v="233"/>
    <s v="At Risk"/>
    <x v="1"/>
  </r>
  <r>
    <s v="CUST_47"/>
    <d v="2024-04-07T00:00:00"/>
    <n v="836"/>
    <n v="1"/>
    <n v="203"/>
    <n v="1"/>
    <n v="2"/>
    <n v="1"/>
    <s v="121"/>
    <s v="At Risk"/>
    <x v="1"/>
  </r>
  <r>
    <s v="CUST_470"/>
    <d v="2024-10-21T00:00:00"/>
    <n v="5138"/>
    <n v="5"/>
    <n v="6"/>
    <n v="5"/>
    <n v="5"/>
    <n v="5"/>
    <s v="555"/>
    <s v="Champions"/>
    <x v="0"/>
  </r>
  <r>
    <s v="CUST_471"/>
    <d v="2024-09-30T00:00:00"/>
    <n v="3231"/>
    <n v="3"/>
    <n v="27"/>
    <n v="5"/>
    <n v="4"/>
    <n v="4"/>
    <s v="544"/>
    <s v="Champions"/>
    <x v="0"/>
  </r>
  <r>
    <s v="CUST_472"/>
    <d v="2024-10-22T00:00:00"/>
    <n v="2683"/>
    <n v="4"/>
    <n v="5"/>
    <n v="5"/>
    <n v="5"/>
    <n v="4"/>
    <s v="554"/>
    <s v="Champions"/>
    <x v="0"/>
  </r>
  <r>
    <s v="CUST_473"/>
    <d v="2024-09-19T00:00:00"/>
    <n v="7022"/>
    <n v="5"/>
    <n v="38"/>
    <n v="4"/>
    <n v="5"/>
    <n v="5"/>
    <s v="455"/>
    <s v="Champions"/>
    <x v="0"/>
  </r>
  <r>
    <s v="CUST_474"/>
    <d v="2024-06-17T00:00:00"/>
    <n v="3375"/>
    <n v="4"/>
    <n v="132"/>
    <n v="2"/>
    <n v="5"/>
    <n v="4"/>
    <s v="254"/>
    <s v="At Risk"/>
    <x v="1"/>
  </r>
  <r>
    <s v="CUST_475"/>
    <d v="2024-04-04T00:00:00"/>
    <n v="1832"/>
    <n v="2"/>
    <n v="206"/>
    <n v="1"/>
    <n v="3"/>
    <n v="3"/>
    <s v="133"/>
    <s v="At Risk"/>
    <x v="1"/>
  </r>
  <r>
    <s v="CUST_476"/>
    <d v="2024-09-29T00:00:00"/>
    <n v="2978"/>
    <n v="2"/>
    <n v="28"/>
    <n v="4"/>
    <n v="3"/>
    <n v="4"/>
    <s v="434"/>
    <s v="Loyal Customers"/>
    <x v="0"/>
  </r>
  <r>
    <s v="CUST_477"/>
    <d v="2024-07-19T00:00:00"/>
    <n v="1817"/>
    <n v="3"/>
    <n v="100"/>
    <n v="2"/>
    <n v="4"/>
    <n v="3"/>
    <s v="243"/>
    <s v="At Risk"/>
    <x v="1"/>
  </r>
  <r>
    <s v="CUST_478"/>
    <d v="2024-05-14T00:00:00"/>
    <n v="1268"/>
    <n v="2"/>
    <n v="166"/>
    <n v="1"/>
    <n v="3"/>
    <n v="2"/>
    <s v="132"/>
    <s v="At Risk"/>
    <x v="1"/>
  </r>
  <r>
    <s v="CUST_479"/>
    <d v="2024-10-25T00:00:00"/>
    <n v="2858"/>
    <n v="3"/>
    <n v="2"/>
    <n v="5"/>
    <n v="4"/>
    <n v="4"/>
    <s v="544"/>
    <s v="Champions"/>
    <x v="0"/>
  </r>
  <r>
    <s v="CUST_48"/>
    <d v="2024-07-09T00:00:00"/>
    <n v="428"/>
    <n v="1"/>
    <n v="110"/>
    <n v="2"/>
    <n v="2"/>
    <n v="1"/>
    <s v="221"/>
    <s v="At Risk"/>
    <x v="1"/>
  </r>
  <r>
    <s v="CUST_480"/>
    <d v="2024-09-21T00:00:00"/>
    <n v="3166"/>
    <n v="5"/>
    <n v="36"/>
    <n v="4"/>
    <n v="5"/>
    <n v="4"/>
    <s v="454"/>
    <s v="Champions"/>
    <x v="0"/>
  </r>
  <r>
    <s v="CUST_481"/>
    <d v="2024-09-18T00:00:00"/>
    <n v="3704"/>
    <n v="3"/>
    <n v="39"/>
    <n v="4"/>
    <n v="4"/>
    <n v="5"/>
    <s v="445"/>
    <s v="Champions"/>
    <x v="0"/>
  </r>
  <r>
    <s v="CUST_482"/>
    <d v="2024-09-02T00:00:00"/>
    <n v="1664"/>
    <n v="2"/>
    <n v="55"/>
    <n v="3"/>
    <n v="3"/>
    <n v="3"/>
    <s v="333"/>
    <s v="Loyal Customers"/>
    <x v="0"/>
  </r>
  <r>
    <s v="CUST_483"/>
    <d v="2024-09-01T00:00:00"/>
    <n v="3192"/>
    <n v="4"/>
    <n v="56"/>
    <n v="3"/>
    <n v="5"/>
    <n v="4"/>
    <s v="354"/>
    <s v="Loyal Customers"/>
    <x v="0"/>
  </r>
  <r>
    <s v="CUST_484"/>
    <d v="2024-09-14T00:00:00"/>
    <n v="2577"/>
    <n v="5"/>
    <n v="43"/>
    <n v="4"/>
    <n v="5"/>
    <n v="3"/>
    <s v="453"/>
    <s v="Loyal Customers"/>
    <x v="0"/>
  </r>
  <r>
    <s v="CUST_485"/>
    <d v="2024-09-16T00:00:00"/>
    <n v="6291"/>
    <n v="4"/>
    <n v="41"/>
    <n v="4"/>
    <n v="5"/>
    <n v="5"/>
    <s v="455"/>
    <s v="Champions"/>
    <x v="0"/>
  </r>
  <r>
    <s v="CUST_486"/>
    <d v="2024-04-12T00:00:00"/>
    <n v="1406"/>
    <n v="2"/>
    <n v="198"/>
    <n v="1"/>
    <n v="3"/>
    <n v="2"/>
    <s v="132"/>
    <s v="At Risk"/>
    <x v="1"/>
  </r>
  <r>
    <s v="CUST_487"/>
    <d v="2024-04-22T00:00:00"/>
    <n v="897"/>
    <n v="2"/>
    <n v="188"/>
    <n v="1"/>
    <n v="3"/>
    <n v="2"/>
    <s v="132"/>
    <s v="At Risk"/>
    <x v="1"/>
  </r>
  <r>
    <s v="CUST_488"/>
    <d v="2024-10-22T00:00:00"/>
    <n v="5054"/>
    <n v="5"/>
    <n v="5"/>
    <n v="5"/>
    <n v="5"/>
    <n v="5"/>
    <s v="555"/>
    <s v="Champions"/>
    <x v="0"/>
  </r>
  <r>
    <s v="CUST_489"/>
    <d v="2024-09-16T00:00:00"/>
    <n v="2921"/>
    <n v="2"/>
    <n v="41"/>
    <n v="4"/>
    <n v="3"/>
    <n v="4"/>
    <s v="434"/>
    <s v="Loyal Customers"/>
    <x v="0"/>
  </r>
  <r>
    <s v="CUST_49"/>
    <d v="2024-04-29T00:00:00"/>
    <n v="336"/>
    <n v="1"/>
    <n v="181"/>
    <n v="1"/>
    <n v="2"/>
    <n v="1"/>
    <s v="121"/>
    <s v="At Risk"/>
    <x v="1"/>
  </r>
  <r>
    <s v="CUST_490"/>
    <d v="2024-09-14T00:00:00"/>
    <n v="1484"/>
    <n v="3"/>
    <n v="43"/>
    <n v="4"/>
    <n v="4"/>
    <n v="2"/>
    <s v="442"/>
    <s v="Recent Customers"/>
    <x v="0"/>
  </r>
  <r>
    <s v="CUST_491"/>
    <d v="2024-10-21T00:00:00"/>
    <n v="4664"/>
    <n v="4"/>
    <n v="6"/>
    <n v="5"/>
    <n v="5"/>
    <n v="5"/>
    <s v="555"/>
    <s v="Champions"/>
    <x v="0"/>
  </r>
  <r>
    <s v="CUST_492"/>
    <d v="2024-09-11T00:00:00"/>
    <n v="2801"/>
    <n v="3"/>
    <n v="46"/>
    <n v="4"/>
    <n v="4"/>
    <n v="4"/>
    <s v="444"/>
    <s v="Champions"/>
    <x v="0"/>
  </r>
  <r>
    <s v="CUST_493"/>
    <d v="2024-06-27T00:00:00"/>
    <n v="2215"/>
    <n v="2"/>
    <n v="122"/>
    <n v="2"/>
    <n v="3"/>
    <n v="3"/>
    <s v="233"/>
    <s v="At Risk"/>
    <x v="1"/>
  </r>
  <r>
    <s v="CUST_494"/>
    <d v="2024-10-05T00:00:00"/>
    <n v="2071"/>
    <n v="3"/>
    <n v="22"/>
    <n v="5"/>
    <n v="4"/>
    <n v="3"/>
    <s v="543"/>
    <s v="Loyal Customers"/>
    <x v="0"/>
  </r>
  <r>
    <s v="CUST_495"/>
    <d v="2024-09-08T00:00:00"/>
    <n v="1841"/>
    <n v="2"/>
    <n v="49"/>
    <n v="4"/>
    <n v="3"/>
    <n v="3"/>
    <s v="433"/>
    <s v="Loyal Customers"/>
    <x v="0"/>
  </r>
  <r>
    <s v="CUST_496"/>
    <d v="2024-09-04T00:00:00"/>
    <n v="1946"/>
    <n v="5"/>
    <n v="53"/>
    <n v="4"/>
    <n v="5"/>
    <n v="3"/>
    <s v="453"/>
    <s v="Loyal Customers"/>
    <x v="0"/>
  </r>
  <r>
    <s v="CUST_497"/>
    <d v="2024-10-17T00:00:00"/>
    <n v="1509"/>
    <n v="3"/>
    <n v="10"/>
    <n v="5"/>
    <n v="4"/>
    <n v="2"/>
    <s v="542"/>
    <s v="Recent Customers"/>
    <x v="0"/>
  </r>
  <r>
    <s v="CUST_498"/>
    <d v="2024-10-27T00:00:00"/>
    <n v="1528"/>
    <n v="3"/>
    <n v="0"/>
    <n v="5"/>
    <n v="4"/>
    <n v="2"/>
    <s v="542"/>
    <s v="Recent Customers"/>
    <x v="0"/>
  </r>
  <r>
    <s v="CUST_499"/>
    <d v="2024-06-12T00:00:00"/>
    <n v="1558"/>
    <n v="2"/>
    <n v="137"/>
    <n v="2"/>
    <n v="3"/>
    <n v="2"/>
    <s v="232"/>
    <s v="At Risk"/>
    <x v="1"/>
  </r>
  <r>
    <s v="CUST_5"/>
    <d v="2024-03-08T00:00:00"/>
    <n v="1565"/>
    <n v="1"/>
    <n v="233"/>
    <n v="1"/>
    <n v="2"/>
    <n v="2"/>
    <s v="122"/>
    <s v="At Risk"/>
    <x v="1"/>
  </r>
  <r>
    <s v="CUST_50"/>
    <d v="2024-06-24T00:00:00"/>
    <n v="1392"/>
    <n v="1"/>
    <n v="125"/>
    <n v="2"/>
    <n v="2"/>
    <n v="2"/>
    <s v="222"/>
    <s v="At Risk"/>
    <x v="1"/>
  </r>
  <r>
    <s v="CUST_500"/>
    <d v="2024-09-15T00:00:00"/>
    <n v="5003"/>
    <n v="5"/>
    <n v="42"/>
    <n v="4"/>
    <n v="5"/>
    <n v="5"/>
    <s v="455"/>
    <s v="Champions"/>
    <x v="0"/>
  </r>
  <r>
    <s v="CUST_501"/>
    <d v="2024-08-25T00:00:00"/>
    <n v="3851"/>
    <n v="4"/>
    <n v="63"/>
    <n v="3"/>
    <n v="5"/>
    <n v="5"/>
    <s v="355"/>
    <s v="Loyal Customers"/>
    <x v="0"/>
  </r>
  <r>
    <s v="CUST_502"/>
    <d v="2024-09-12T00:00:00"/>
    <n v="5016"/>
    <n v="5"/>
    <n v="45"/>
    <n v="4"/>
    <n v="5"/>
    <n v="5"/>
    <s v="455"/>
    <s v="Champions"/>
    <x v="0"/>
  </r>
  <r>
    <s v="CUST_503"/>
    <d v="2024-09-09T00:00:00"/>
    <n v="1384"/>
    <n v="2"/>
    <n v="48"/>
    <n v="4"/>
    <n v="3"/>
    <n v="2"/>
    <s v="432"/>
    <s v="Recent Customers"/>
    <x v="0"/>
  </r>
  <r>
    <s v="CUST_504"/>
    <d v="2024-08-03T00:00:00"/>
    <n v="5393"/>
    <n v="5"/>
    <n v="85"/>
    <n v="3"/>
    <n v="5"/>
    <n v="5"/>
    <s v="355"/>
    <s v="Loyal Customers"/>
    <x v="0"/>
  </r>
  <r>
    <s v="CUST_505"/>
    <d v="2024-03-22T00:00:00"/>
    <n v="1732"/>
    <n v="2"/>
    <n v="219"/>
    <n v="1"/>
    <n v="3"/>
    <n v="3"/>
    <s v="133"/>
    <s v="At Risk"/>
    <x v="1"/>
  </r>
  <r>
    <s v="CUST_506"/>
    <d v="2024-09-13T00:00:00"/>
    <n v="4921"/>
    <n v="5"/>
    <n v="44"/>
    <n v="4"/>
    <n v="5"/>
    <n v="5"/>
    <s v="455"/>
    <s v="Champions"/>
    <x v="0"/>
  </r>
  <r>
    <s v="CUST_507"/>
    <d v="2024-04-23T00:00:00"/>
    <n v="2707"/>
    <n v="3"/>
    <n v="187"/>
    <n v="1"/>
    <n v="4"/>
    <n v="4"/>
    <s v="144"/>
    <s v="At Risk"/>
    <x v="1"/>
  </r>
  <r>
    <s v="CUST_508"/>
    <d v="2024-06-25T00:00:00"/>
    <n v="943"/>
    <n v="2"/>
    <n v="124"/>
    <n v="2"/>
    <n v="3"/>
    <n v="2"/>
    <s v="232"/>
    <s v="At Risk"/>
    <x v="1"/>
  </r>
  <r>
    <s v="CUST_509"/>
    <d v="2024-07-17T00:00:00"/>
    <n v="1984"/>
    <n v="2"/>
    <n v="102"/>
    <n v="2"/>
    <n v="3"/>
    <n v="3"/>
    <s v="233"/>
    <s v="At Risk"/>
    <x v="1"/>
  </r>
  <r>
    <s v="CUST_51"/>
    <d v="2024-07-16T00:00:00"/>
    <n v="395"/>
    <n v="1"/>
    <n v="103"/>
    <n v="2"/>
    <n v="2"/>
    <n v="1"/>
    <s v="221"/>
    <s v="At Risk"/>
    <x v="1"/>
  </r>
  <r>
    <s v="CUST_510"/>
    <d v="2024-08-26T00:00:00"/>
    <n v="3783"/>
    <n v="4"/>
    <n v="62"/>
    <n v="3"/>
    <n v="5"/>
    <n v="5"/>
    <s v="355"/>
    <s v="Loyal Customers"/>
    <x v="0"/>
  </r>
  <r>
    <s v="CUST_511"/>
    <d v="2024-09-30T00:00:00"/>
    <n v="2123"/>
    <n v="4"/>
    <n v="27"/>
    <n v="5"/>
    <n v="5"/>
    <n v="3"/>
    <s v="553"/>
    <s v="Loyal Customers"/>
    <x v="0"/>
  </r>
  <r>
    <s v="CUST_512"/>
    <d v="2024-08-02T00:00:00"/>
    <n v="1815"/>
    <n v="2"/>
    <n v="86"/>
    <n v="3"/>
    <n v="3"/>
    <n v="3"/>
    <s v="333"/>
    <s v="Loyal Customers"/>
    <x v="0"/>
  </r>
  <r>
    <s v="CUST_513"/>
    <d v="2024-04-18T00:00:00"/>
    <n v="3752"/>
    <n v="4"/>
    <n v="192"/>
    <n v="1"/>
    <n v="5"/>
    <n v="5"/>
    <s v="155"/>
    <s v="At Risk"/>
    <x v="1"/>
  </r>
  <r>
    <s v="CUST_514"/>
    <d v="2024-09-27T00:00:00"/>
    <n v="954"/>
    <n v="2"/>
    <n v="30"/>
    <n v="4"/>
    <n v="3"/>
    <n v="2"/>
    <s v="432"/>
    <s v="Recent Customers"/>
    <x v="0"/>
  </r>
  <r>
    <s v="CUST_515"/>
    <d v="2024-07-11T00:00:00"/>
    <n v="2138"/>
    <n v="4"/>
    <n v="108"/>
    <n v="2"/>
    <n v="5"/>
    <n v="3"/>
    <s v="253"/>
    <s v="At Risk"/>
    <x v="1"/>
  </r>
  <r>
    <s v="CUST_516"/>
    <d v="2024-09-09T00:00:00"/>
    <n v="1620"/>
    <n v="2"/>
    <n v="48"/>
    <n v="4"/>
    <n v="3"/>
    <n v="3"/>
    <s v="433"/>
    <s v="Loyal Customers"/>
    <x v="0"/>
  </r>
  <r>
    <s v="CUST_517"/>
    <d v="2024-07-05T00:00:00"/>
    <n v="2110"/>
    <n v="3"/>
    <n v="114"/>
    <n v="2"/>
    <n v="4"/>
    <n v="3"/>
    <s v="243"/>
    <s v="At Risk"/>
    <x v="1"/>
  </r>
  <r>
    <s v="CUST_518"/>
    <d v="2024-10-14T00:00:00"/>
    <n v="4264"/>
    <n v="5"/>
    <n v="13"/>
    <n v="5"/>
    <n v="5"/>
    <n v="5"/>
    <s v="555"/>
    <s v="Champions"/>
    <x v="0"/>
  </r>
  <r>
    <s v="CUST_519"/>
    <d v="2024-08-19T00:00:00"/>
    <n v="1036"/>
    <n v="2"/>
    <n v="69"/>
    <n v="3"/>
    <n v="3"/>
    <n v="2"/>
    <s v="332"/>
    <s v="Potential Loyalist"/>
    <x v="0"/>
  </r>
  <r>
    <s v="CUST_52"/>
    <d v="2024-04-22T00:00:00"/>
    <n v="2160"/>
    <n v="1"/>
    <n v="188"/>
    <n v="1"/>
    <n v="2"/>
    <n v="3"/>
    <s v="123"/>
    <s v="At Risk"/>
    <x v="1"/>
  </r>
  <r>
    <s v="CUST_520"/>
    <d v="2024-10-18T00:00:00"/>
    <n v="4193"/>
    <n v="5"/>
    <n v="9"/>
    <n v="5"/>
    <n v="5"/>
    <n v="5"/>
    <s v="555"/>
    <s v="Champions"/>
    <x v="0"/>
  </r>
  <r>
    <s v="CUST_521"/>
    <d v="2024-10-03T00:00:00"/>
    <n v="4364"/>
    <n v="4"/>
    <n v="24"/>
    <n v="5"/>
    <n v="5"/>
    <n v="5"/>
    <s v="555"/>
    <s v="Champions"/>
    <x v="0"/>
  </r>
  <r>
    <s v="CUST_522"/>
    <d v="2024-08-31T00:00:00"/>
    <n v="2115"/>
    <n v="3"/>
    <n v="57"/>
    <n v="3"/>
    <n v="4"/>
    <n v="3"/>
    <s v="343"/>
    <s v="Loyal Customers"/>
    <x v="0"/>
  </r>
  <r>
    <s v="CUST_523"/>
    <d v="2024-07-24T00:00:00"/>
    <n v="740"/>
    <n v="2"/>
    <n v="95"/>
    <n v="2"/>
    <n v="3"/>
    <n v="1"/>
    <s v="231"/>
    <s v="At Risk"/>
    <x v="1"/>
  </r>
  <r>
    <s v="CUST_524"/>
    <d v="2024-09-25T00:00:00"/>
    <n v="4932"/>
    <n v="4"/>
    <n v="32"/>
    <n v="4"/>
    <n v="5"/>
    <n v="5"/>
    <s v="455"/>
    <s v="Champions"/>
    <x v="0"/>
  </r>
  <r>
    <s v="CUST_525"/>
    <d v="2024-04-19T00:00:00"/>
    <n v="3632"/>
    <n v="2"/>
    <n v="191"/>
    <n v="1"/>
    <n v="3"/>
    <n v="4"/>
    <s v="134"/>
    <s v="At Risk"/>
    <x v="1"/>
  </r>
  <r>
    <s v="CUST_526"/>
    <d v="2024-10-19T00:00:00"/>
    <n v="2696"/>
    <n v="4"/>
    <n v="8"/>
    <n v="5"/>
    <n v="5"/>
    <n v="4"/>
    <s v="554"/>
    <s v="Champions"/>
    <x v="0"/>
  </r>
  <r>
    <s v="CUST_527"/>
    <d v="2024-08-09T00:00:00"/>
    <n v="3684"/>
    <n v="2"/>
    <n v="79"/>
    <n v="3"/>
    <n v="3"/>
    <n v="5"/>
    <s v="335"/>
    <s v="Loyal Customers"/>
    <x v="0"/>
  </r>
  <r>
    <s v="CUST_528"/>
    <d v="2024-05-28T00:00:00"/>
    <n v="4104"/>
    <n v="4"/>
    <n v="152"/>
    <n v="1"/>
    <n v="5"/>
    <n v="5"/>
    <s v="155"/>
    <s v="At Risk"/>
    <x v="1"/>
  </r>
  <r>
    <s v="CUST_529"/>
    <d v="2024-05-31T00:00:00"/>
    <n v="5250"/>
    <n v="3"/>
    <n v="149"/>
    <n v="2"/>
    <n v="4"/>
    <n v="5"/>
    <s v="245"/>
    <s v="At Risk"/>
    <x v="1"/>
  </r>
  <r>
    <s v="CUST_53"/>
    <d v="2024-02-01T00:00:00"/>
    <n v="394"/>
    <n v="1"/>
    <n v="269"/>
    <n v="1"/>
    <n v="2"/>
    <n v="1"/>
    <s v="121"/>
    <s v="At Risk"/>
    <x v="1"/>
  </r>
  <r>
    <s v="CUST_530"/>
    <d v="2024-10-17T00:00:00"/>
    <n v="2350"/>
    <n v="5"/>
    <n v="10"/>
    <n v="5"/>
    <n v="5"/>
    <n v="3"/>
    <s v="553"/>
    <s v="Loyal Customers"/>
    <x v="0"/>
  </r>
  <r>
    <s v="CUST_531"/>
    <d v="2024-10-15T00:00:00"/>
    <n v="3711"/>
    <n v="4"/>
    <n v="12"/>
    <n v="5"/>
    <n v="5"/>
    <n v="5"/>
    <s v="555"/>
    <s v="Champions"/>
    <x v="0"/>
  </r>
  <r>
    <s v="CUST_532"/>
    <d v="2024-10-19T00:00:00"/>
    <n v="3788"/>
    <n v="4"/>
    <n v="8"/>
    <n v="5"/>
    <n v="5"/>
    <n v="5"/>
    <s v="555"/>
    <s v="Champions"/>
    <x v="0"/>
  </r>
  <r>
    <s v="CUST_533"/>
    <d v="2024-07-08T00:00:00"/>
    <n v="1729"/>
    <n v="3"/>
    <n v="111"/>
    <n v="2"/>
    <n v="4"/>
    <n v="3"/>
    <s v="243"/>
    <s v="At Risk"/>
    <x v="1"/>
  </r>
  <r>
    <s v="CUST_534"/>
    <d v="2024-07-17T00:00:00"/>
    <n v="1487"/>
    <n v="3"/>
    <n v="102"/>
    <n v="2"/>
    <n v="4"/>
    <n v="2"/>
    <s v="242"/>
    <s v="At Risk"/>
    <x v="1"/>
  </r>
  <r>
    <s v="CUST_535"/>
    <d v="2024-02-27T00:00:00"/>
    <n v="2445"/>
    <n v="2"/>
    <n v="243"/>
    <n v="1"/>
    <n v="3"/>
    <n v="3"/>
    <s v="133"/>
    <s v="At Risk"/>
    <x v="1"/>
  </r>
  <r>
    <s v="CUST_536"/>
    <d v="2024-04-09T00:00:00"/>
    <n v="2934"/>
    <n v="2"/>
    <n v="201"/>
    <n v="1"/>
    <n v="3"/>
    <n v="4"/>
    <s v="134"/>
    <s v="At Risk"/>
    <x v="1"/>
  </r>
  <r>
    <s v="CUST_537"/>
    <d v="2024-08-26T00:00:00"/>
    <n v="2415"/>
    <n v="2"/>
    <n v="62"/>
    <n v="3"/>
    <n v="3"/>
    <n v="3"/>
    <s v="333"/>
    <s v="Loyal Customers"/>
    <x v="0"/>
  </r>
  <r>
    <s v="CUST_538"/>
    <d v="2024-08-25T00:00:00"/>
    <n v="3670"/>
    <n v="5"/>
    <n v="63"/>
    <n v="3"/>
    <n v="5"/>
    <n v="4"/>
    <s v="354"/>
    <s v="Loyal Customers"/>
    <x v="0"/>
  </r>
  <r>
    <s v="CUST_539"/>
    <d v="2024-08-22T00:00:00"/>
    <n v="415"/>
    <n v="2"/>
    <n v="66"/>
    <n v="3"/>
    <n v="3"/>
    <n v="1"/>
    <s v="331"/>
    <s v="Potential Loyalist"/>
    <x v="0"/>
  </r>
  <r>
    <s v="CUST_54"/>
    <d v="2024-10-16T00:00:00"/>
    <n v="1056"/>
    <n v="1"/>
    <n v="11"/>
    <n v="5"/>
    <n v="2"/>
    <n v="2"/>
    <s v="522"/>
    <s v="Recent Customers"/>
    <x v="0"/>
  </r>
  <r>
    <s v="CUST_540"/>
    <d v="2024-09-07T00:00:00"/>
    <n v="2428"/>
    <n v="5"/>
    <n v="50"/>
    <n v="4"/>
    <n v="5"/>
    <n v="3"/>
    <s v="453"/>
    <s v="Loyal Customers"/>
    <x v="0"/>
  </r>
  <r>
    <s v="CUST_541"/>
    <d v="2024-07-18T00:00:00"/>
    <n v="1291"/>
    <n v="2"/>
    <n v="101"/>
    <n v="2"/>
    <n v="3"/>
    <n v="2"/>
    <s v="232"/>
    <s v="At Risk"/>
    <x v="1"/>
  </r>
  <r>
    <s v="CUST_542"/>
    <d v="2024-07-24T00:00:00"/>
    <n v="3613"/>
    <n v="5"/>
    <n v="95"/>
    <n v="2"/>
    <n v="5"/>
    <n v="4"/>
    <s v="254"/>
    <s v="At Risk"/>
    <x v="1"/>
  </r>
  <r>
    <s v="CUST_543"/>
    <d v="2024-08-05T00:00:00"/>
    <n v="2177"/>
    <n v="4"/>
    <n v="83"/>
    <n v="3"/>
    <n v="5"/>
    <n v="3"/>
    <s v="353"/>
    <s v="Loyal Customers"/>
    <x v="0"/>
  </r>
  <r>
    <s v="CUST_544"/>
    <d v="2024-06-10T00:00:00"/>
    <n v="3467"/>
    <n v="3"/>
    <n v="139"/>
    <n v="2"/>
    <n v="4"/>
    <n v="4"/>
    <s v="244"/>
    <s v="At Risk"/>
    <x v="1"/>
  </r>
  <r>
    <s v="CUST_545"/>
    <d v="2024-09-18T00:00:00"/>
    <n v="3803"/>
    <n v="5"/>
    <n v="39"/>
    <n v="4"/>
    <n v="5"/>
    <n v="5"/>
    <s v="455"/>
    <s v="Champions"/>
    <x v="0"/>
  </r>
  <r>
    <s v="CUST_546"/>
    <d v="2024-10-12T00:00:00"/>
    <n v="1896"/>
    <n v="4"/>
    <n v="15"/>
    <n v="5"/>
    <n v="5"/>
    <n v="3"/>
    <s v="553"/>
    <s v="Loyal Customers"/>
    <x v="0"/>
  </r>
  <r>
    <s v="CUST_547"/>
    <d v="2024-07-02T00:00:00"/>
    <n v="1212"/>
    <n v="2"/>
    <n v="117"/>
    <n v="2"/>
    <n v="3"/>
    <n v="2"/>
    <s v="232"/>
    <s v="At Risk"/>
    <x v="1"/>
  </r>
  <r>
    <s v="CUST_548"/>
    <d v="2024-07-25T00:00:00"/>
    <n v="3645"/>
    <n v="5"/>
    <n v="94"/>
    <n v="2"/>
    <n v="5"/>
    <n v="4"/>
    <s v="254"/>
    <s v="At Risk"/>
    <x v="1"/>
  </r>
  <r>
    <s v="CUST_549"/>
    <d v="2024-06-30T00:00:00"/>
    <n v="2183"/>
    <n v="3"/>
    <n v="119"/>
    <n v="2"/>
    <n v="4"/>
    <n v="3"/>
    <s v="243"/>
    <s v="At Risk"/>
    <x v="1"/>
  </r>
  <r>
    <s v="CUST_55"/>
    <d v="2024-05-19T00:00:00"/>
    <n v="768"/>
    <n v="1"/>
    <n v="161"/>
    <n v="1"/>
    <n v="2"/>
    <n v="1"/>
    <s v="121"/>
    <s v="At Risk"/>
    <x v="1"/>
  </r>
  <r>
    <s v="CUST_550"/>
    <d v="2024-04-21T00:00:00"/>
    <n v="2469"/>
    <n v="2"/>
    <n v="189"/>
    <n v="1"/>
    <n v="3"/>
    <n v="3"/>
    <s v="133"/>
    <s v="At Risk"/>
    <x v="1"/>
  </r>
  <r>
    <s v="CUST_551"/>
    <d v="2024-06-26T00:00:00"/>
    <n v="657"/>
    <n v="2"/>
    <n v="123"/>
    <n v="2"/>
    <n v="3"/>
    <n v="1"/>
    <s v="231"/>
    <s v="At Risk"/>
    <x v="1"/>
  </r>
  <r>
    <s v="CUST_552"/>
    <d v="2024-10-09T00:00:00"/>
    <n v="6130"/>
    <n v="5"/>
    <n v="18"/>
    <n v="5"/>
    <n v="5"/>
    <n v="5"/>
    <s v="555"/>
    <s v="Champions"/>
    <x v="0"/>
  </r>
  <r>
    <s v="CUST_553"/>
    <d v="2024-09-22T00:00:00"/>
    <n v="2871"/>
    <n v="4"/>
    <n v="35"/>
    <n v="4"/>
    <n v="5"/>
    <n v="4"/>
    <s v="454"/>
    <s v="Champions"/>
    <x v="0"/>
  </r>
  <r>
    <s v="CUST_554"/>
    <d v="2024-10-25T00:00:00"/>
    <n v="5692"/>
    <n v="5"/>
    <n v="2"/>
    <n v="5"/>
    <n v="5"/>
    <n v="5"/>
    <s v="555"/>
    <s v="Champions"/>
    <x v="0"/>
  </r>
  <r>
    <s v="CUST_555"/>
    <d v="2024-06-07T00:00:00"/>
    <n v="2212"/>
    <n v="2"/>
    <n v="142"/>
    <n v="2"/>
    <n v="3"/>
    <n v="3"/>
    <s v="233"/>
    <s v="At Risk"/>
    <x v="1"/>
  </r>
  <r>
    <s v="CUST_556"/>
    <d v="2024-08-04T00:00:00"/>
    <n v="915"/>
    <n v="2"/>
    <n v="84"/>
    <n v="3"/>
    <n v="3"/>
    <n v="2"/>
    <s v="332"/>
    <s v="Potential Loyalist"/>
    <x v="0"/>
  </r>
  <r>
    <s v="CUST_557"/>
    <d v="2024-10-12T00:00:00"/>
    <n v="1973"/>
    <n v="4"/>
    <n v="15"/>
    <n v="5"/>
    <n v="5"/>
    <n v="3"/>
    <s v="553"/>
    <s v="Loyal Customers"/>
    <x v="0"/>
  </r>
  <r>
    <s v="CUST_558"/>
    <d v="2024-08-13T00:00:00"/>
    <n v="3074"/>
    <n v="5"/>
    <n v="75"/>
    <n v="3"/>
    <n v="5"/>
    <n v="4"/>
    <s v="354"/>
    <s v="Loyal Customers"/>
    <x v="0"/>
  </r>
  <r>
    <s v="CUST_559"/>
    <d v="2024-09-04T00:00:00"/>
    <n v="3025"/>
    <n v="3"/>
    <n v="53"/>
    <n v="4"/>
    <n v="4"/>
    <n v="4"/>
    <s v="444"/>
    <s v="Champions"/>
    <x v="0"/>
  </r>
  <r>
    <s v="CUST_56"/>
    <d v="2024-09-10T00:00:00"/>
    <n v="712"/>
    <n v="1"/>
    <n v="47"/>
    <n v="4"/>
    <n v="2"/>
    <n v="1"/>
    <s v="421"/>
    <s v="Recent Customers"/>
    <x v="0"/>
  </r>
  <r>
    <s v="CUST_560"/>
    <d v="2024-06-24T00:00:00"/>
    <n v="2591"/>
    <n v="4"/>
    <n v="125"/>
    <n v="2"/>
    <n v="5"/>
    <n v="4"/>
    <s v="254"/>
    <s v="At Risk"/>
    <x v="1"/>
  </r>
  <r>
    <s v="CUST_561"/>
    <d v="2024-09-03T00:00:00"/>
    <n v="2469"/>
    <n v="2"/>
    <n v="54"/>
    <n v="3"/>
    <n v="3"/>
    <n v="3"/>
    <s v="333"/>
    <s v="Loyal Customers"/>
    <x v="0"/>
  </r>
  <r>
    <s v="CUST_562"/>
    <d v="2024-10-02T00:00:00"/>
    <n v="657"/>
    <n v="2"/>
    <n v="25"/>
    <n v="5"/>
    <n v="3"/>
    <n v="1"/>
    <s v="531"/>
    <s v="Recent Customers"/>
    <x v="0"/>
  </r>
  <r>
    <s v="CUST_563"/>
    <d v="2024-09-12T00:00:00"/>
    <n v="6130"/>
    <n v="5"/>
    <n v="45"/>
    <n v="4"/>
    <n v="5"/>
    <n v="5"/>
    <s v="455"/>
    <s v="Champions"/>
    <x v="0"/>
  </r>
  <r>
    <s v="CUST_564"/>
    <d v="2024-08-05T00:00:00"/>
    <n v="2871"/>
    <n v="4"/>
    <n v="83"/>
    <n v="3"/>
    <n v="5"/>
    <n v="4"/>
    <s v="354"/>
    <s v="Loyal Customers"/>
    <x v="0"/>
  </r>
  <r>
    <s v="CUST_565"/>
    <d v="2024-03-20T00:00:00"/>
    <n v="2101"/>
    <n v="2"/>
    <n v="221"/>
    <n v="1"/>
    <n v="3"/>
    <n v="3"/>
    <s v="133"/>
    <s v="At Risk"/>
    <x v="1"/>
  </r>
  <r>
    <s v="CUST_566"/>
    <d v="2024-08-16T00:00:00"/>
    <n v="5803"/>
    <n v="5"/>
    <n v="72"/>
    <n v="3"/>
    <n v="5"/>
    <n v="5"/>
    <s v="355"/>
    <s v="Loyal Customers"/>
    <x v="0"/>
  </r>
  <r>
    <s v="CUST_567"/>
    <d v="2024-08-19T00:00:00"/>
    <n v="2522"/>
    <n v="5"/>
    <n v="69"/>
    <n v="3"/>
    <n v="5"/>
    <n v="3"/>
    <s v="353"/>
    <s v="Loyal Customers"/>
    <x v="0"/>
  </r>
  <r>
    <s v="CUST_568"/>
    <d v="2024-10-17T00:00:00"/>
    <n v="1558"/>
    <n v="2"/>
    <n v="10"/>
    <n v="5"/>
    <n v="3"/>
    <n v="2"/>
    <s v="532"/>
    <s v="Recent Customers"/>
    <x v="0"/>
  </r>
  <r>
    <s v="CUST_569"/>
    <d v="2024-10-23T00:00:00"/>
    <n v="1882"/>
    <n v="4"/>
    <n v="4"/>
    <n v="5"/>
    <n v="5"/>
    <n v="3"/>
    <s v="553"/>
    <s v="Loyal Customers"/>
    <x v="0"/>
  </r>
  <r>
    <s v="CUST_57"/>
    <d v="2024-03-21T00:00:00"/>
    <n v="481"/>
    <n v="1"/>
    <n v="220"/>
    <n v="1"/>
    <n v="2"/>
    <n v="1"/>
    <s v="121"/>
    <s v="At Risk"/>
    <x v="1"/>
  </r>
  <r>
    <s v="CUST_570"/>
    <d v="2024-09-12T00:00:00"/>
    <n v="3025"/>
    <n v="3"/>
    <n v="45"/>
    <n v="4"/>
    <n v="4"/>
    <n v="4"/>
    <s v="444"/>
    <s v="Champions"/>
    <x v="0"/>
  </r>
  <r>
    <s v="CUST_571"/>
    <d v="2024-10-26T00:00:00"/>
    <n v="3866"/>
    <n v="5"/>
    <n v="1"/>
    <n v="5"/>
    <n v="5"/>
    <n v="5"/>
    <s v="555"/>
    <s v="Champions"/>
    <x v="0"/>
  </r>
  <r>
    <s v="CUST_572"/>
    <d v="2024-06-27T00:00:00"/>
    <n v="1851"/>
    <n v="3"/>
    <n v="122"/>
    <n v="2"/>
    <n v="4"/>
    <n v="3"/>
    <s v="243"/>
    <s v="At Risk"/>
    <x v="1"/>
  </r>
  <r>
    <s v="CUST_573"/>
    <d v="2024-08-29T00:00:00"/>
    <n v="3286"/>
    <n v="3"/>
    <n v="59"/>
    <n v="3"/>
    <n v="4"/>
    <n v="4"/>
    <s v="344"/>
    <s v="Loyal Customers"/>
    <x v="0"/>
  </r>
  <r>
    <s v="CUST_574"/>
    <d v="2024-09-22T00:00:00"/>
    <n v="3744"/>
    <n v="3"/>
    <n v="35"/>
    <n v="4"/>
    <n v="4"/>
    <n v="5"/>
    <s v="445"/>
    <s v="Champions"/>
    <x v="0"/>
  </r>
  <r>
    <s v="CUST_575"/>
    <d v="2024-07-21T00:00:00"/>
    <n v="3256"/>
    <n v="4"/>
    <n v="98"/>
    <n v="2"/>
    <n v="5"/>
    <n v="4"/>
    <s v="254"/>
    <s v="At Risk"/>
    <x v="1"/>
  </r>
  <r>
    <s v="CUST_576"/>
    <d v="2024-10-12T00:00:00"/>
    <n v="4939"/>
    <n v="5"/>
    <n v="15"/>
    <n v="5"/>
    <n v="5"/>
    <n v="5"/>
    <s v="555"/>
    <s v="Champions"/>
    <x v="0"/>
  </r>
  <r>
    <s v="CUST_577"/>
    <d v="2024-05-14T00:00:00"/>
    <n v="3085"/>
    <n v="4"/>
    <n v="166"/>
    <n v="1"/>
    <n v="5"/>
    <n v="4"/>
    <s v="154"/>
    <s v="At Risk"/>
    <x v="1"/>
  </r>
  <r>
    <s v="CUST_578"/>
    <d v="2024-10-03T00:00:00"/>
    <n v="1483"/>
    <n v="3"/>
    <n v="24"/>
    <n v="5"/>
    <n v="4"/>
    <n v="2"/>
    <s v="542"/>
    <s v="Recent Customers"/>
    <x v="0"/>
  </r>
  <r>
    <s v="CUST_579"/>
    <d v="2024-10-11T00:00:00"/>
    <n v="3074"/>
    <n v="5"/>
    <n v="16"/>
    <n v="5"/>
    <n v="5"/>
    <n v="4"/>
    <s v="554"/>
    <s v="Champions"/>
    <x v="0"/>
  </r>
  <r>
    <s v="CUST_58"/>
    <d v="2024-07-17T00:00:00"/>
    <n v="600"/>
    <n v="1"/>
    <n v="102"/>
    <n v="2"/>
    <n v="2"/>
    <n v="1"/>
    <s v="221"/>
    <s v="At Risk"/>
    <x v="1"/>
  </r>
  <r>
    <s v="CUST_580"/>
    <d v="2024-07-22T00:00:00"/>
    <n v="4368"/>
    <n v="5"/>
    <n v="97"/>
    <n v="2"/>
    <n v="5"/>
    <n v="5"/>
    <s v="255"/>
    <s v="At Risk"/>
    <x v="1"/>
  </r>
  <r>
    <s v="CUST_581"/>
    <d v="2024-07-08T00:00:00"/>
    <n v="1248"/>
    <n v="2"/>
    <n v="111"/>
    <n v="2"/>
    <n v="3"/>
    <n v="2"/>
    <s v="232"/>
    <s v="At Risk"/>
    <x v="1"/>
  </r>
  <r>
    <s v="CUST_582"/>
    <d v="2024-07-22T00:00:00"/>
    <n v="3284"/>
    <n v="5"/>
    <n v="97"/>
    <n v="2"/>
    <n v="5"/>
    <n v="4"/>
    <s v="254"/>
    <s v="At Risk"/>
    <x v="1"/>
  </r>
  <r>
    <s v="CUST_583"/>
    <d v="2024-05-05T00:00:00"/>
    <n v="3128"/>
    <n v="2"/>
    <n v="175"/>
    <n v="1"/>
    <n v="3"/>
    <n v="4"/>
    <s v="134"/>
    <s v="At Risk"/>
    <x v="1"/>
  </r>
  <r>
    <s v="CUST_584"/>
    <d v="2024-08-19T00:00:00"/>
    <n v="3744"/>
    <n v="3"/>
    <n v="69"/>
    <n v="3"/>
    <n v="4"/>
    <n v="5"/>
    <s v="345"/>
    <s v="Loyal Customers"/>
    <x v="0"/>
  </r>
  <r>
    <s v="CUST_585"/>
    <d v="2024-09-23T00:00:00"/>
    <n v="4072"/>
    <n v="5"/>
    <n v="34"/>
    <n v="4"/>
    <n v="5"/>
    <n v="5"/>
    <s v="455"/>
    <s v="Champions"/>
    <x v="0"/>
  </r>
  <r>
    <s v="CUST_586"/>
    <d v="2024-08-13T00:00:00"/>
    <n v="4123"/>
    <n v="4"/>
    <n v="75"/>
    <n v="3"/>
    <n v="5"/>
    <n v="5"/>
    <s v="355"/>
    <s v="Loyal Customers"/>
    <x v="0"/>
  </r>
  <r>
    <s v="CUST_587"/>
    <d v="2024-09-04T00:00:00"/>
    <n v="2595"/>
    <n v="3"/>
    <n v="53"/>
    <n v="4"/>
    <n v="4"/>
    <n v="4"/>
    <s v="444"/>
    <s v="Champions"/>
    <x v="0"/>
  </r>
  <r>
    <s v="CUST_588"/>
    <d v="2024-03-02T00:00:00"/>
    <n v="1106"/>
    <n v="2"/>
    <n v="239"/>
    <n v="1"/>
    <n v="3"/>
    <n v="2"/>
    <s v="132"/>
    <s v="At Risk"/>
    <x v="1"/>
  </r>
  <r>
    <s v="CUST_59"/>
    <d v="2024-10-22T00:00:00"/>
    <n v="882"/>
    <n v="1"/>
    <n v="5"/>
    <n v="5"/>
    <n v="2"/>
    <n v="2"/>
    <s v="522"/>
    <s v="Recent Customers"/>
    <x v="0"/>
  </r>
  <r>
    <s v="CUST_6"/>
    <d v="2024-09-03T00:00:00"/>
    <n v="431"/>
    <n v="1"/>
    <n v="54"/>
    <n v="3"/>
    <n v="2"/>
    <n v="1"/>
    <s v="321"/>
    <s v="Potential Loyalist"/>
    <x v="0"/>
  </r>
  <r>
    <s v="CUST_60"/>
    <d v="2024-10-02T00:00:00"/>
    <n v="1764"/>
    <n v="1"/>
    <n v="25"/>
    <n v="5"/>
    <n v="2"/>
    <n v="3"/>
    <s v="523"/>
    <s v="Recent Customers"/>
    <x v="0"/>
  </r>
  <r>
    <s v="CUST_61"/>
    <d v="2024-05-25T00:00:00"/>
    <n v="753"/>
    <n v="1"/>
    <n v="155"/>
    <n v="1"/>
    <n v="2"/>
    <n v="1"/>
    <s v="121"/>
    <s v="At Risk"/>
    <x v="1"/>
  </r>
  <r>
    <s v="CUST_62"/>
    <d v="2024-04-07T00:00:00"/>
    <n v="360"/>
    <n v="1"/>
    <n v="203"/>
    <n v="1"/>
    <n v="2"/>
    <n v="1"/>
    <s v="121"/>
    <s v="At Risk"/>
    <x v="1"/>
  </r>
  <r>
    <s v="CUST_63"/>
    <d v="2024-01-04T00:00:00"/>
    <n v="842"/>
    <n v="1"/>
    <n v="297"/>
    <n v="1"/>
    <n v="2"/>
    <n v="1"/>
    <s v="121"/>
    <s v="At Risk"/>
    <x v="1"/>
  </r>
  <r>
    <s v="CUST_64"/>
    <d v="2024-08-31T00:00:00"/>
    <n v="852"/>
    <n v="1"/>
    <n v="57"/>
    <n v="3"/>
    <n v="2"/>
    <n v="1"/>
    <s v="321"/>
    <s v="Potential Loyalist"/>
    <x v="0"/>
  </r>
  <r>
    <s v="CUST_65"/>
    <d v="2024-09-23T00:00:00"/>
    <n v="322"/>
    <n v="1"/>
    <n v="34"/>
    <n v="4"/>
    <n v="2"/>
    <n v="1"/>
    <s v="421"/>
    <s v="Recent Customers"/>
    <x v="0"/>
  </r>
  <r>
    <s v="CUST_66"/>
    <d v="2024-03-06T00:00:00"/>
    <n v="332"/>
    <n v="1"/>
    <n v="235"/>
    <n v="1"/>
    <n v="2"/>
    <n v="1"/>
    <s v="121"/>
    <s v="At Risk"/>
    <x v="1"/>
  </r>
  <r>
    <s v="CUST_67"/>
    <d v="2024-04-16T00:00:00"/>
    <n v="610"/>
    <n v="1"/>
    <n v="194"/>
    <n v="1"/>
    <n v="2"/>
    <n v="1"/>
    <s v="121"/>
    <s v="At Risk"/>
    <x v="1"/>
  </r>
  <r>
    <s v="CUST_68"/>
    <d v="2024-01-07T00:00:00"/>
    <n v="560"/>
    <n v="1"/>
    <n v="294"/>
    <n v="1"/>
    <n v="2"/>
    <n v="1"/>
    <s v="121"/>
    <s v="At Risk"/>
    <x v="1"/>
  </r>
  <r>
    <s v="CUST_69"/>
    <d v="2024-06-26T00:00:00"/>
    <n v="408"/>
    <n v="1"/>
    <n v="123"/>
    <n v="2"/>
    <n v="2"/>
    <n v="1"/>
    <s v="221"/>
    <s v="At Risk"/>
    <x v="1"/>
  </r>
  <r>
    <s v="CUST_7"/>
    <d v="2024-05-20T00:00:00"/>
    <n v="1980"/>
    <n v="1"/>
    <n v="160"/>
    <n v="1"/>
    <n v="2"/>
    <n v="3"/>
    <s v="123"/>
    <s v="At Risk"/>
    <x v="1"/>
  </r>
  <r>
    <s v="CUST_70"/>
    <d v="2024-08-10T00:00:00"/>
    <n v="812"/>
    <n v="1"/>
    <n v="78"/>
    <n v="3"/>
    <n v="2"/>
    <n v="1"/>
    <s v="321"/>
    <s v="Potential Loyalist"/>
    <x v="0"/>
  </r>
  <r>
    <s v="CUST_71"/>
    <d v="2024-04-14T00:00:00"/>
    <n v="2435"/>
    <n v="1"/>
    <n v="196"/>
    <n v="1"/>
    <n v="2"/>
    <n v="3"/>
    <s v="123"/>
    <s v="At Risk"/>
    <x v="1"/>
  </r>
  <r>
    <s v="CUST_72"/>
    <d v="2024-02-01T00:00:00"/>
    <n v="292"/>
    <n v="1"/>
    <n v="269"/>
    <n v="1"/>
    <n v="2"/>
    <n v="1"/>
    <s v="121"/>
    <s v="At Risk"/>
    <x v="1"/>
  </r>
  <r>
    <s v="CUST_73"/>
    <d v="2024-09-21T00:00:00"/>
    <n v="1203"/>
    <n v="1"/>
    <n v="36"/>
    <n v="4"/>
    <n v="2"/>
    <n v="2"/>
    <s v="422"/>
    <s v="Recent Customers"/>
    <x v="0"/>
  </r>
  <r>
    <s v="CUST_74"/>
    <d v="2024-05-15T00:00:00"/>
    <n v="1568"/>
    <n v="1"/>
    <n v="165"/>
    <n v="1"/>
    <n v="2"/>
    <n v="2"/>
    <s v="122"/>
    <s v="At Risk"/>
    <x v="1"/>
  </r>
  <r>
    <s v="CUST_75"/>
    <d v="2024-09-16T00:00:00"/>
    <n v="730"/>
    <n v="1"/>
    <n v="41"/>
    <n v="4"/>
    <n v="2"/>
    <n v="1"/>
    <s v="421"/>
    <s v="Recent Customers"/>
    <x v="0"/>
  </r>
  <r>
    <s v="CUST_76"/>
    <d v="2024-04-19T00:00:00"/>
    <n v="796"/>
    <n v="1"/>
    <n v="191"/>
    <n v="1"/>
    <n v="2"/>
    <n v="1"/>
    <s v="121"/>
    <s v="At Risk"/>
    <x v="1"/>
  </r>
  <r>
    <s v="CUST_77"/>
    <d v="2024-02-14T00:00:00"/>
    <n v="137"/>
    <n v="1"/>
    <n v="256"/>
    <n v="1"/>
    <n v="2"/>
    <n v="1"/>
    <s v="121"/>
    <s v="At Risk"/>
    <x v="1"/>
  </r>
  <r>
    <s v="CUST_78"/>
    <d v="2024-04-10T00:00:00"/>
    <n v="417"/>
    <n v="1"/>
    <n v="200"/>
    <n v="1"/>
    <n v="2"/>
    <n v="1"/>
    <s v="121"/>
    <s v="At Risk"/>
    <x v="1"/>
  </r>
  <r>
    <s v="CUST_79"/>
    <d v="2024-01-23T00:00:00"/>
    <n v="432"/>
    <n v="1"/>
    <n v="278"/>
    <n v="1"/>
    <n v="2"/>
    <n v="1"/>
    <s v="121"/>
    <s v="At Risk"/>
    <x v="1"/>
  </r>
  <r>
    <s v="CUST_8"/>
    <d v="2024-03-24T00:00:00"/>
    <n v="1272"/>
    <n v="1"/>
    <n v="217"/>
    <n v="1"/>
    <n v="2"/>
    <n v="2"/>
    <s v="122"/>
    <s v="At Risk"/>
    <x v="1"/>
  </r>
  <r>
    <s v="CUST_80"/>
    <d v="2024-08-08T00:00:00"/>
    <n v="1328"/>
    <n v="1"/>
    <n v="80"/>
    <n v="3"/>
    <n v="2"/>
    <n v="2"/>
    <s v="322"/>
    <s v="Potential Loyalist"/>
    <x v="0"/>
  </r>
  <r>
    <s v="CUST_81"/>
    <d v="2024-06-15T00:00:00"/>
    <n v="292"/>
    <n v="1"/>
    <n v="134"/>
    <n v="2"/>
    <n v="2"/>
    <n v="1"/>
    <s v="221"/>
    <s v="At Risk"/>
    <x v="1"/>
  </r>
  <r>
    <s v="CUST_82"/>
    <d v="2024-08-02T00:00:00"/>
    <n v="504"/>
    <n v="1"/>
    <n v="86"/>
    <n v="3"/>
    <n v="2"/>
    <n v="1"/>
    <s v="321"/>
    <s v="Potential Loyalist"/>
    <x v="0"/>
  </r>
  <r>
    <s v="CUST_83"/>
    <d v="2024-03-30T00:00:00"/>
    <n v="1015"/>
    <n v="1"/>
    <n v="211"/>
    <n v="1"/>
    <n v="2"/>
    <n v="2"/>
    <s v="122"/>
    <s v="At Risk"/>
    <x v="1"/>
  </r>
  <r>
    <s v="CUST_84"/>
    <d v="2024-04-08T00:00:00"/>
    <n v="476"/>
    <n v="1"/>
    <n v="202"/>
    <n v="1"/>
    <n v="2"/>
    <n v="1"/>
    <s v="121"/>
    <s v="At Risk"/>
    <x v="1"/>
  </r>
  <r>
    <s v="CUST_85"/>
    <d v="2024-08-19T00:00:00"/>
    <n v="698"/>
    <n v="1"/>
    <n v="69"/>
    <n v="3"/>
    <n v="2"/>
    <n v="1"/>
    <s v="321"/>
    <s v="Potential Loyalist"/>
    <x v="0"/>
  </r>
  <r>
    <s v="CUST_86"/>
    <d v="2024-07-24T00:00:00"/>
    <n v="962"/>
    <n v="1"/>
    <n v="95"/>
    <n v="2"/>
    <n v="2"/>
    <n v="2"/>
    <s v="222"/>
    <s v="At Risk"/>
    <x v="1"/>
  </r>
  <r>
    <s v="CUST_87"/>
    <d v="2024-08-19T00:00:00"/>
    <n v="1167"/>
    <n v="1"/>
    <n v="69"/>
    <n v="3"/>
    <n v="2"/>
    <n v="2"/>
    <s v="322"/>
    <s v="Potential Loyalist"/>
    <x v="0"/>
  </r>
  <r>
    <s v="CUST_88"/>
    <d v="2024-04-25T00:00:00"/>
    <n v="259"/>
    <n v="1"/>
    <n v="185"/>
    <n v="1"/>
    <n v="2"/>
    <n v="1"/>
    <s v="121"/>
    <s v="At Risk"/>
    <x v="1"/>
  </r>
  <r>
    <s v="CUST_89"/>
    <d v="2024-06-20T00:00:00"/>
    <n v="302"/>
    <n v="1"/>
    <n v="129"/>
    <n v="2"/>
    <n v="2"/>
    <n v="1"/>
    <s v="221"/>
    <s v="At Risk"/>
    <x v="1"/>
  </r>
  <r>
    <s v="CUST_9"/>
    <d v="2024-01-19T00:00:00"/>
    <n v="440"/>
    <n v="1"/>
    <n v="282"/>
    <n v="1"/>
    <n v="2"/>
    <n v="1"/>
    <s v="121"/>
    <s v="At Risk"/>
    <x v="1"/>
  </r>
  <r>
    <s v="CUST_90"/>
    <d v="2024-02-13T00:00:00"/>
    <n v="1221"/>
    <n v="1"/>
    <n v="257"/>
    <n v="1"/>
    <n v="2"/>
    <n v="2"/>
    <s v="122"/>
    <s v="At Risk"/>
    <x v="1"/>
  </r>
  <r>
    <s v="CUST_91"/>
    <d v="2024-06-16T00:00:00"/>
    <n v="663"/>
    <n v="1"/>
    <n v="133"/>
    <n v="2"/>
    <n v="2"/>
    <n v="1"/>
    <s v="221"/>
    <s v="At Risk"/>
    <x v="1"/>
  </r>
  <r>
    <s v="CUST_92"/>
    <d v="2024-10-23T00:00:00"/>
    <n v="1329"/>
    <n v="1"/>
    <n v="4"/>
    <n v="5"/>
    <n v="2"/>
    <n v="2"/>
    <s v="522"/>
    <s v="Recent Customers"/>
    <x v="0"/>
  </r>
  <r>
    <s v="CUST_93"/>
    <d v="2024-07-05T00:00:00"/>
    <n v="399"/>
    <n v="1"/>
    <n v="114"/>
    <n v="2"/>
    <n v="2"/>
    <n v="1"/>
    <s v="221"/>
    <s v="At Risk"/>
    <x v="1"/>
  </r>
  <r>
    <s v="CUST_94"/>
    <d v="2024-08-12T00:00:00"/>
    <n v="451"/>
    <n v="1"/>
    <n v="76"/>
    <n v="3"/>
    <n v="2"/>
    <n v="1"/>
    <s v="321"/>
    <s v="Potential Loyalist"/>
    <x v="0"/>
  </r>
  <r>
    <s v="CUST_95"/>
    <d v="2024-07-18T00:00:00"/>
    <n v="654"/>
    <n v="1"/>
    <n v="101"/>
    <n v="2"/>
    <n v="2"/>
    <n v="1"/>
    <s v="221"/>
    <s v="At Risk"/>
    <x v="1"/>
  </r>
  <r>
    <s v="CUST_96"/>
    <d v="2024-05-23T00:00:00"/>
    <n v="665"/>
    <n v="1"/>
    <n v="157"/>
    <n v="1"/>
    <n v="2"/>
    <n v="1"/>
    <s v="121"/>
    <s v="At Risk"/>
    <x v="1"/>
  </r>
  <r>
    <s v="CUST_97"/>
    <d v="2024-09-26T00:00:00"/>
    <n v="1371"/>
    <n v="1"/>
    <n v="31"/>
    <n v="4"/>
    <n v="2"/>
    <n v="2"/>
    <s v="422"/>
    <s v="Recent Customers"/>
    <x v="0"/>
  </r>
  <r>
    <s v="CUST_98"/>
    <d v="2024-03-28T00:00:00"/>
    <n v="597"/>
    <n v="1"/>
    <n v="213"/>
    <n v="1"/>
    <n v="2"/>
    <n v="1"/>
    <s v="121"/>
    <s v="At Risk"/>
    <x v="1"/>
  </r>
  <r>
    <s v="CUST_99"/>
    <d v="2024-06-12T00:00:00"/>
    <n v="966"/>
    <n v="1"/>
    <n v="137"/>
    <n v="2"/>
    <n v="2"/>
    <n v="2"/>
    <s v="222"/>
    <s v="At Risk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">
  <r>
    <s v="CUST_1"/>
    <d v="2024-10-14T00:00:00"/>
    <n v="461"/>
    <n v="1"/>
    <n v="13"/>
    <n v="5"/>
    <n v="2"/>
    <n v="1"/>
    <s v="521"/>
    <s v="Recent Customers"/>
    <s v="Active"/>
    <x v="0"/>
  </r>
  <r>
    <s v="CUST_10"/>
    <d v="2024-04-01T00:00:00"/>
    <n v="790"/>
    <n v="1"/>
    <n v="209"/>
    <n v="1"/>
    <n v="2"/>
    <n v="1"/>
    <s v="121"/>
    <s v="At Risk"/>
    <s v="Churned"/>
    <x v="1"/>
  </r>
  <r>
    <s v="CUST_100"/>
    <d v="2024-10-09T00:00:00"/>
    <n v="1392"/>
    <n v="1"/>
    <n v="18"/>
    <n v="5"/>
    <n v="2"/>
    <n v="2"/>
    <s v="522"/>
    <s v="Recent Customers"/>
    <s v="Active"/>
    <x v="2"/>
  </r>
  <r>
    <s v="CUST_101"/>
    <d v="2024-06-18T00:00:00"/>
    <n v="327"/>
    <n v="1"/>
    <n v="131"/>
    <n v="2"/>
    <n v="2"/>
    <n v="1"/>
    <s v="221"/>
    <s v="At Risk"/>
    <s v="Churned"/>
    <x v="3"/>
  </r>
  <r>
    <s v="CUST_102"/>
    <d v="2024-07-11T00:00:00"/>
    <n v="108"/>
    <n v="1"/>
    <n v="108"/>
    <n v="2"/>
    <n v="2"/>
    <n v="1"/>
    <s v="221"/>
    <s v="At Risk"/>
    <s v="Churned"/>
    <x v="3"/>
  </r>
  <r>
    <s v="CUST_103"/>
    <d v="2024-04-23T00:00:00"/>
    <n v="930"/>
    <n v="1"/>
    <n v="187"/>
    <n v="1"/>
    <n v="2"/>
    <n v="2"/>
    <s v="122"/>
    <s v="At Risk"/>
    <s v="Churned"/>
    <x v="1"/>
  </r>
  <r>
    <s v="CUST_104"/>
    <d v="2024-05-10T00:00:00"/>
    <n v="1140"/>
    <n v="1"/>
    <n v="170"/>
    <n v="1"/>
    <n v="2"/>
    <n v="2"/>
    <s v="122"/>
    <s v="At Risk"/>
    <s v="Churned"/>
    <x v="0"/>
  </r>
  <r>
    <s v="CUST_105"/>
    <d v="2024-09-06T00:00:00"/>
    <n v="852"/>
    <n v="1"/>
    <n v="51"/>
    <n v="4"/>
    <n v="2"/>
    <n v="1"/>
    <s v="421"/>
    <s v="Recent Customers"/>
    <s v="Active"/>
    <x v="2"/>
  </r>
  <r>
    <s v="CUST_106"/>
    <d v="2024-10-21T00:00:00"/>
    <n v="480"/>
    <n v="1"/>
    <n v="6"/>
    <n v="5"/>
    <n v="2"/>
    <n v="1"/>
    <s v="521"/>
    <s v="Recent Customers"/>
    <s v="Active"/>
    <x v="2"/>
  </r>
  <r>
    <s v="CUST_107"/>
    <d v="2024-08-22T00:00:00"/>
    <n v="1332"/>
    <n v="1"/>
    <n v="66"/>
    <n v="3"/>
    <n v="2"/>
    <n v="2"/>
    <s v="322"/>
    <s v="Potential Loyalist"/>
    <s v="Active"/>
    <x v="0"/>
  </r>
  <r>
    <s v="CUST_108"/>
    <d v="2024-07-31T00:00:00"/>
    <n v="1444"/>
    <n v="1"/>
    <n v="88"/>
    <n v="3"/>
    <n v="2"/>
    <n v="2"/>
    <s v="322"/>
    <s v="Potential Loyalist"/>
    <s v="Active"/>
    <x v="0"/>
  </r>
  <r>
    <s v="CUST_109"/>
    <d v="2024-09-30T00:00:00"/>
    <n v="158"/>
    <n v="1"/>
    <n v="27"/>
    <n v="5"/>
    <n v="2"/>
    <n v="1"/>
    <s v="521"/>
    <s v="Recent Customers"/>
    <s v="Active"/>
    <x v="2"/>
  </r>
  <r>
    <s v="CUST_11"/>
    <d v="2024-10-15T00:00:00"/>
    <n v="792"/>
    <n v="1"/>
    <n v="12"/>
    <n v="5"/>
    <n v="2"/>
    <n v="1"/>
    <s v="521"/>
    <s v="Recent Customers"/>
    <s v="Active"/>
    <x v="2"/>
  </r>
  <r>
    <s v="CUST_110"/>
    <d v="2024-07-01T00:00:00"/>
    <n v="232"/>
    <n v="1"/>
    <n v="118"/>
    <n v="2"/>
    <n v="2"/>
    <n v="1"/>
    <s v="221"/>
    <s v="At Risk"/>
    <s v="Churned"/>
    <x v="3"/>
  </r>
  <r>
    <s v="CUST_111"/>
    <d v="2024-05-17T00:00:00"/>
    <n v="990"/>
    <n v="1"/>
    <n v="163"/>
    <n v="1"/>
    <n v="2"/>
    <n v="2"/>
    <s v="122"/>
    <s v="At Risk"/>
    <s v="Churned"/>
    <x v="0"/>
  </r>
  <r>
    <s v="CUST_112"/>
    <d v="2024-08-19T00:00:00"/>
    <n v="495"/>
    <n v="1"/>
    <n v="69"/>
    <n v="3"/>
    <n v="2"/>
    <n v="1"/>
    <s v="321"/>
    <s v="Potential Loyalist"/>
    <s v="Active"/>
    <x v="4"/>
  </r>
  <r>
    <s v="CUST_113"/>
    <d v="2024-10-22T00:00:00"/>
    <n v="1845"/>
    <n v="1"/>
    <n v="5"/>
    <n v="5"/>
    <n v="2"/>
    <n v="3"/>
    <s v="523"/>
    <s v="Recent Customers"/>
    <s v="Active"/>
    <x v="2"/>
  </r>
  <r>
    <s v="CUST_114"/>
    <d v="2024-09-17T00:00:00"/>
    <n v="712"/>
    <n v="1"/>
    <n v="40"/>
    <n v="4"/>
    <n v="2"/>
    <n v="1"/>
    <s v="421"/>
    <s v="Recent Customers"/>
    <s v="Active"/>
    <x v="2"/>
  </r>
  <r>
    <s v="CUST_115"/>
    <d v="2024-06-23T00:00:00"/>
    <n v="786"/>
    <n v="1"/>
    <n v="126"/>
    <n v="2"/>
    <n v="2"/>
    <n v="1"/>
    <s v="221"/>
    <s v="At Risk"/>
    <s v="Churned"/>
    <x v="3"/>
  </r>
  <r>
    <s v="CUST_116"/>
    <d v="2024-09-19T00:00:00"/>
    <n v="1930"/>
    <n v="1"/>
    <n v="38"/>
    <n v="4"/>
    <n v="2"/>
    <n v="3"/>
    <s v="423"/>
    <s v="Recent Customers"/>
    <s v="Active"/>
    <x v="2"/>
  </r>
  <r>
    <s v="CUST_117"/>
    <d v="2024-01-07T00:00:00"/>
    <n v="1595"/>
    <n v="1"/>
    <n v="294"/>
    <n v="1"/>
    <n v="2"/>
    <n v="2"/>
    <s v="122"/>
    <s v="At Risk"/>
    <s v="Churned"/>
    <x v="1"/>
  </r>
  <r>
    <s v="CUST_118"/>
    <d v="2024-09-15T00:00:00"/>
    <n v="826"/>
    <n v="1"/>
    <n v="42"/>
    <n v="4"/>
    <n v="2"/>
    <n v="1"/>
    <s v="421"/>
    <s v="Recent Customers"/>
    <s v="Active"/>
    <x v="2"/>
  </r>
  <r>
    <s v="CUST_119"/>
    <d v="2024-08-28T00:00:00"/>
    <n v="666"/>
    <n v="1"/>
    <n v="60"/>
    <n v="3"/>
    <n v="2"/>
    <n v="1"/>
    <s v="321"/>
    <s v="Potential Loyalist"/>
    <s v="Active"/>
    <x v="2"/>
  </r>
  <r>
    <s v="CUST_12"/>
    <d v="2024-05-29T00:00:00"/>
    <n v="1548"/>
    <n v="1"/>
    <n v="151"/>
    <n v="1"/>
    <n v="2"/>
    <n v="2"/>
    <s v="122"/>
    <s v="At Risk"/>
    <s v="Churned"/>
    <x v="3"/>
  </r>
  <r>
    <s v="CUST_120"/>
    <d v="2024-04-15T00:00:00"/>
    <n v="1473"/>
    <n v="1"/>
    <n v="195"/>
    <n v="1"/>
    <n v="2"/>
    <n v="2"/>
    <s v="122"/>
    <s v="At Risk"/>
    <s v="Churned"/>
    <x v="1"/>
  </r>
  <r>
    <s v="CUST_121"/>
    <d v="2024-01-27T00:00:00"/>
    <n v="322"/>
    <n v="1"/>
    <n v="274"/>
    <n v="1"/>
    <n v="2"/>
    <n v="1"/>
    <s v="121"/>
    <s v="At Risk"/>
    <s v="Churned"/>
    <x v="1"/>
  </r>
  <r>
    <s v="CUST_122"/>
    <d v="2024-01-31T00:00:00"/>
    <n v="700"/>
    <n v="1"/>
    <n v="270"/>
    <n v="1"/>
    <n v="2"/>
    <n v="1"/>
    <s v="121"/>
    <s v="At Risk"/>
    <s v="Churned"/>
    <x v="1"/>
  </r>
  <r>
    <s v="CUST_123"/>
    <d v="2024-06-17T00:00:00"/>
    <n v="1392"/>
    <n v="1"/>
    <n v="132"/>
    <n v="2"/>
    <n v="2"/>
    <n v="2"/>
    <s v="222"/>
    <s v="At Risk"/>
    <s v="Churned"/>
    <x v="3"/>
  </r>
  <r>
    <s v="CUST_124"/>
    <d v="2024-01-26T00:00:00"/>
    <n v="1940"/>
    <n v="1"/>
    <n v="275"/>
    <n v="1"/>
    <n v="2"/>
    <n v="3"/>
    <s v="123"/>
    <s v="At Risk"/>
    <s v="Churned"/>
    <x v="1"/>
  </r>
  <r>
    <s v="CUST_125"/>
    <d v="2024-01-04T00:00:00"/>
    <n v="399"/>
    <n v="1"/>
    <n v="297"/>
    <n v="1"/>
    <n v="2"/>
    <n v="1"/>
    <s v="121"/>
    <s v="At Risk"/>
    <s v="Churned"/>
    <x v="0"/>
  </r>
  <r>
    <s v="CUST_126"/>
    <d v="2024-04-04T00:00:00"/>
    <n v="1458"/>
    <n v="1"/>
    <n v="206"/>
    <n v="1"/>
    <n v="2"/>
    <n v="2"/>
    <s v="122"/>
    <s v="At Risk"/>
    <s v="Churned"/>
    <x v="1"/>
  </r>
  <r>
    <s v="CUST_127"/>
    <d v="2024-09-29T00:00:00"/>
    <n v="660"/>
    <n v="1"/>
    <n v="28"/>
    <n v="4"/>
    <n v="2"/>
    <n v="1"/>
    <s v="421"/>
    <s v="Recent Customers"/>
    <s v="Active"/>
    <x v="2"/>
  </r>
  <r>
    <s v="CUST_128"/>
    <d v="2024-04-03T00:00:00"/>
    <n v="1816"/>
    <n v="1"/>
    <n v="207"/>
    <n v="1"/>
    <n v="2"/>
    <n v="3"/>
    <s v="123"/>
    <s v="At Risk"/>
    <s v="Churned"/>
    <x v="1"/>
  </r>
  <r>
    <s v="CUST_129"/>
    <d v="2024-07-19T00:00:00"/>
    <n v="522"/>
    <n v="1"/>
    <n v="100"/>
    <n v="2"/>
    <n v="2"/>
    <n v="1"/>
    <s v="221"/>
    <s v="At Risk"/>
    <s v="Churned"/>
    <x v="3"/>
  </r>
  <r>
    <s v="CUST_13"/>
    <d v="2024-04-30T00:00:00"/>
    <n v="313"/>
    <n v="1"/>
    <n v="180"/>
    <n v="1"/>
    <n v="2"/>
    <n v="1"/>
    <s v="121"/>
    <s v="At Risk"/>
    <s v="Churned"/>
    <x v="3"/>
  </r>
  <r>
    <s v="CUST_130"/>
    <d v="2024-07-18T00:00:00"/>
    <n v="1072"/>
    <n v="1"/>
    <n v="101"/>
    <n v="2"/>
    <n v="2"/>
    <n v="2"/>
    <s v="222"/>
    <s v="At Risk"/>
    <s v="Churned"/>
    <x v="3"/>
  </r>
  <r>
    <s v="CUST_131"/>
    <d v="2024-01-15T00:00:00"/>
    <n v="2000"/>
    <n v="1"/>
    <n v="286"/>
    <n v="1"/>
    <n v="2"/>
    <n v="3"/>
    <s v="123"/>
    <s v="At Risk"/>
    <s v="Churned"/>
    <x v="1"/>
  </r>
  <r>
    <s v="CUST_132"/>
    <d v="2024-03-19T00:00:00"/>
    <n v="185"/>
    <n v="1"/>
    <n v="222"/>
    <n v="1"/>
    <n v="2"/>
    <n v="1"/>
    <s v="121"/>
    <s v="At Risk"/>
    <s v="Churned"/>
    <x v="1"/>
  </r>
  <r>
    <s v="CUST_133"/>
    <d v="2024-05-14T00:00:00"/>
    <n v="1600"/>
    <n v="1"/>
    <n v="166"/>
    <n v="1"/>
    <n v="2"/>
    <n v="2"/>
    <s v="122"/>
    <s v="At Risk"/>
    <s v="Churned"/>
    <x v="3"/>
  </r>
  <r>
    <s v="CUST_134"/>
    <d v="2024-08-07T00:00:00"/>
    <n v="466"/>
    <n v="1"/>
    <n v="81"/>
    <n v="3"/>
    <n v="2"/>
    <n v="1"/>
    <s v="321"/>
    <s v="Potential Loyalist"/>
    <s v="Active"/>
    <x v="0"/>
  </r>
  <r>
    <s v="CUST_135"/>
    <d v="2024-01-04T00:00:00"/>
    <n v="447"/>
    <n v="1"/>
    <n v="297"/>
    <n v="1"/>
    <n v="2"/>
    <n v="1"/>
    <s v="121"/>
    <s v="At Risk"/>
    <s v="Churned"/>
    <x v="1"/>
  </r>
  <r>
    <s v="CUST_136"/>
    <d v="2024-10-25T00:00:00"/>
    <n v="936"/>
    <n v="1"/>
    <n v="2"/>
    <n v="5"/>
    <n v="2"/>
    <n v="2"/>
    <s v="522"/>
    <s v="Recent Customers"/>
    <s v="Active"/>
    <x v="2"/>
  </r>
  <r>
    <s v="CUST_137"/>
    <d v="2024-09-21T00:00:00"/>
    <n v="638"/>
    <n v="1"/>
    <n v="36"/>
    <n v="4"/>
    <n v="2"/>
    <n v="1"/>
    <s v="421"/>
    <s v="Recent Customers"/>
    <s v="Active"/>
    <x v="2"/>
  </r>
  <r>
    <s v="CUST_138"/>
    <d v="2024-08-13T00:00:00"/>
    <n v="525"/>
    <n v="1"/>
    <n v="75"/>
    <n v="3"/>
    <n v="2"/>
    <n v="1"/>
    <s v="321"/>
    <s v="Potential Loyalist"/>
    <s v="Active"/>
    <x v="4"/>
  </r>
  <r>
    <s v="CUST_139"/>
    <d v="2024-07-17T00:00:00"/>
    <n v="1203"/>
    <n v="1"/>
    <n v="102"/>
    <n v="2"/>
    <n v="2"/>
    <n v="2"/>
    <s v="222"/>
    <s v="At Risk"/>
    <s v="Churned"/>
    <x v="3"/>
  </r>
  <r>
    <s v="CUST_14"/>
    <d v="2024-06-19T00:00:00"/>
    <n v="241"/>
    <n v="1"/>
    <n v="130"/>
    <n v="2"/>
    <n v="2"/>
    <n v="1"/>
    <s v="221"/>
    <s v="At Risk"/>
    <s v="Churned"/>
    <x v="3"/>
  </r>
  <r>
    <s v="CUST_140"/>
    <d v="2024-06-21T00:00:00"/>
    <n v="208"/>
    <n v="1"/>
    <n v="128"/>
    <n v="2"/>
    <n v="2"/>
    <n v="1"/>
    <s v="221"/>
    <s v="At Risk"/>
    <s v="Churned"/>
    <x v="3"/>
  </r>
  <r>
    <s v="CUST_141"/>
    <d v="2024-03-02T00:00:00"/>
    <n v="147"/>
    <n v="1"/>
    <n v="239"/>
    <n v="1"/>
    <n v="2"/>
    <n v="1"/>
    <s v="121"/>
    <s v="At Risk"/>
    <s v="Churned"/>
    <x v="1"/>
  </r>
  <r>
    <s v="CUST_142"/>
    <d v="2024-05-29T00:00:00"/>
    <n v="454"/>
    <n v="1"/>
    <n v="151"/>
    <n v="1"/>
    <n v="2"/>
    <n v="1"/>
    <s v="121"/>
    <s v="At Risk"/>
    <s v="Churned"/>
    <x v="3"/>
  </r>
  <r>
    <s v="CUST_143"/>
    <d v="2024-09-18T00:00:00"/>
    <n v="1350"/>
    <n v="1"/>
    <n v="39"/>
    <n v="4"/>
    <n v="2"/>
    <n v="2"/>
    <s v="422"/>
    <s v="Recent Customers"/>
    <s v="Active"/>
    <x v="2"/>
  </r>
  <r>
    <s v="CUST_144"/>
    <d v="2024-04-10T00:00:00"/>
    <n v="234"/>
    <n v="1"/>
    <n v="200"/>
    <n v="1"/>
    <n v="2"/>
    <n v="1"/>
    <s v="121"/>
    <s v="At Risk"/>
    <s v="Churned"/>
    <x v="1"/>
  </r>
  <r>
    <s v="CUST_145"/>
    <d v="2024-09-02T00:00:00"/>
    <n v="1524"/>
    <n v="1"/>
    <n v="55"/>
    <n v="3"/>
    <n v="2"/>
    <n v="2"/>
    <s v="322"/>
    <s v="Potential Loyalist"/>
    <s v="Active"/>
    <x v="2"/>
  </r>
  <r>
    <s v="CUST_146"/>
    <d v="2024-03-12T00:00:00"/>
    <n v="1840"/>
    <n v="1"/>
    <n v="229"/>
    <n v="1"/>
    <n v="2"/>
    <n v="3"/>
    <s v="123"/>
    <s v="At Risk"/>
    <s v="Churned"/>
    <x v="1"/>
  </r>
  <r>
    <s v="CUST_147"/>
    <d v="2024-09-01T00:00:00"/>
    <n v="266"/>
    <n v="1"/>
    <n v="56"/>
    <n v="3"/>
    <n v="2"/>
    <n v="1"/>
    <s v="321"/>
    <s v="Potential Loyalist"/>
    <s v="Active"/>
    <x v="2"/>
  </r>
  <r>
    <s v="CUST_148"/>
    <d v="2024-07-17T00:00:00"/>
    <n v="497"/>
    <n v="1"/>
    <n v="102"/>
    <n v="2"/>
    <n v="2"/>
    <n v="1"/>
    <s v="221"/>
    <s v="At Risk"/>
    <s v="Churned"/>
    <x v="3"/>
  </r>
  <r>
    <s v="CUST_149"/>
    <d v="2024-07-29T00:00:00"/>
    <n v="238"/>
    <n v="1"/>
    <n v="90"/>
    <n v="2"/>
    <n v="2"/>
    <n v="1"/>
    <s v="221"/>
    <s v="At Risk"/>
    <s v="Active"/>
    <x v="4"/>
  </r>
  <r>
    <s v="CUST_15"/>
    <d v="2024-02-23T00:00:00"/>
    <n v="398"/>
    <n v="1"/>
    <n v="247"/>
    <n v="1"/>
    <n v="2"/>
    <n v="1"/>
    <s v="121"/>
    <s v="At Risk"/>
    <s v="Churned"/>
    <x v="1"/>
  </r>
  <r>
    <s v="CUST_150"/>
    <d v="2024-06-23T00:00:00"/>
    <n v="792"/>
    <n v="1"/>
    <n v="126"/>
    <n v="2"/>
    <n v="2"/>
    <n v="1"/>
    <s v="221"/>
    <s v="At Risk"/>
    <s v="Churned"/>
    <x v="3"/>
  </r>
  <r>
    <s v="CUST_151"/>
    <d v="2024-08-15T00:00:00"/>
    <n v="495"/>
    <n v="1"/>
    <n v="73"/>
    <n v="3"/>
    <n v="2"/>
    <n v="1"/>
    <s v="321"/>
    <s v="Potential Loyalist"/>
    <s v="Active"/>
    <x v="4"/>
  </r>
  <r>
    <s v="CUST_152"/>
    <d v="2024-09-14T00:00:00"/>
    <n v="876"/>
    <n v="1"/>
    <n v="43"/>
    <n v="4"/>
    <n v="2"/>
    <n v="2"/>
    <s v="422"/>
    <s v="Recent Customers"/>
    <s v="Active"/>
    <x v="2"/>
  </r>
  <r>
    <s v="CUST_153"/>
    <d v="2024-05-26T00:00:00"/>
    <n v="484"/>
    <n v="1"/>
    <n v="154"/>
    <n v="1"/>
    <n v="2"/>
    <n v="1"/>
    <s v="121"/>
    <s v="At Risk"/>
    <s v="Churned"/>
    <x v="3"/>
  </r>
  <r>
    <s v="CUST_154"/>
    <d v="2024-02-21T00:00:00"/>
    <n v="260"/>
    <n v="1"/>
    <n v="249"/>
    <n v="1"/>
    <n v="2"/>
    <n v="1"/>
    <s v="121"/>
    <s v="At Risk"/>
    <s v="Churned"/>
    <x v="1"/>
  </r>
  <r>
    <s v="CUST_155"/>
    <d v="2024-04-06T00:00:00"/>
    <n v="218"/>
    <n v="1"/>
    <n v="204"/>
    <n v="1"/>
    <n v="2"/>
    <n v="1"/>
    <s v="121"/>
    <s v="At Risk"/>
    <s v="Churned"/>
    <x v="1"/>
  </r>
  <r>
    <s v="CUST_156"/>
    <d v="2024-07-03T00:00:00"/>
    <n v="572"/>
    <n v="1"/>
    <n v="116"/>
    <n v="2"/>
    <n v="2"/>
    <n v="1"/>
    <s v="221"/>
    <s v="At Risk"/>
    <s v="Churned"/>
    <x v="3"/>
  </r>
  <r>
    <s v="CUST_157"/>
    <d v="2024-09-16T00:00:00"/>
    <n v="1555"/>
    <n v="1"/>
    <n v="41"/>
    <n v="4"/>
    <n v="2"/>
    <n v="2"/>
    <s v="422"/>
    <s v="Recent Customers"/>
    <s v="Active"/>
    <x v="2"/>
  </r>
  <r>
    <s v="CUST_158"/>
    <d v="2024-09-14T00:00:00"/>
    <n v="468"/>
    <n v="1"/>
    <n v="43"/>
    <n v="4"/>
    <n v="2"/>
    <n v="1"/>
    <s v="421"/>
    <s v="Recent Customers"/>
    <s v="Active"/>
    <x v="2"/>
  </r>
  <r>
    <s v="CUST_159"/>
    <d v="2024-03-25T00:00:00"/>
    <n v="1008"/>
    <n v="1"/>
    <n v="216"/>
    <n v="1"/>
    <n v="2"/>
    <n v="2"/>
    <s v="122"/>
    <s v="At Risk"/>
    <s v="Churned"/>
    <x v="1"/>
  </r>
  <r>
    <s v="CUST_16"/>
    <d v="2024-01-22T00:00:00"/>
    <n v="618"/>
    <n v="1"/>
    <n v="279"/>
    <n v="1"/>
    <n v="2"/>
    <n v="1"/>
    <s v="121"/>
    <s v="At Risk"/>
    <s v="Churned"/>
    <x v="1"/>
  </r>
  <r>
    <s v="CUST_160"/>
    <d v="2024-04-12T00:00:00"/>
    <n v="510"/>
    <n v="1"/>
    <n v="198"/>
    <n v="1"/>
    <n v="2"/>
    <n v="1"/>
    <s v="121"/>
    <s v="At Risk"/>
    <s v="Churned"/>
    <x v="1"/>
  </r>
  <r>
    <s v="CUST_161"/>
    <d v="2024-03-30T00:00:00"/>
    <n v="492"/>
    <n v="1"/>
    <n v="211"/>
    <n v="1"/>
    <n v="2"/>
    <n v="1"/>
    <s v="121"/>
    <s v="At Risk"/>
    <s v="Churned"/>
    <x v="1"/>
  </r>
  <r>
    <s v="CUST_162"/>
    <d v="2024-02-15T00:00:00"/>
    <n v="1383"/>
    <n v="1"/>
    <n v="255"/>
    <n v="1"/>
    <n v="2"/>
    <n v="2"/>
    <s v="122"/>
    <s v="At Risk"/>
    <s v="Churned"/>
    <x v="1"/>
  </r>
  <r>
    <s v="CUST_163"/>
    <d v="2024-04-22T00:00:00"/>
    <n v="888"/>
    <n v="1"/>
    <n v="188"/>
    <n v="1"/>
    <n v="2"/>
    <n v="2"/>
    <s v="122"/>
    <s v="At Risk"/>
    <s v="Churned"/>
    <x v="0"/>
  </r>
  <r>
    <s v="CUST_164"/>
    <d v="2024-04-22T00:00:00"/>
    <n v="998"/>
    <n v="1"/>
    <n v="188"/>
    <n v="1"/>
    <n v="2"/>
    <n v="2"/>
    <s v="122"/>
    <s v="At Risk"/>
    <s v="Churned"/>
    <x v="1"/>
  </r>
  <r>
    <s v="CUST_165"/>
    <d v="2024-10-22T00:00:00"/>
    <n v="302"/>
    <n v="1"/>
    <n v="5"/>
    <n v="5"/>
    <n v="2"/>
    <n v="1"/>
    <s v="521"/>
    <s v="Recent Customers"/>
    <s v="Active"/>
    <x v="2"/>
  </r>
  <r>
    <s v="CUST_166"/>
    <d v="2024-09-01T00:00:00"/>
    <n v="124"/>
    <n v="1"/>
    <n v="56"/>
    <n v="3"/>
    <n v="2"/>
    <n v="1"/>
    <s v="321"/>
    <s v="Potential Loyalist"/>
    <s v="Active"/>
    <x v="2"/>
  </r>
  <r>
    <s v="CUST_167"/>
    <d v="2024-08-05T00:00:00"/>
    <n v="2410"/>
    <n v="1"/>
    <n v="83"/>
    <n v="3"/>
    <n v="2"/>
    <n v="3"/>
    <s v="323"/>
    <s v="Potential Loyalist"/>
    <s v="Active"/>
    <x v="4"/>
  </r>
  <r>
    <s v="CUST_168"/>
    <d v="2024-09-25T00:00:00"/>
    <n v="203"/>
    <n v="1"/>
    <n v="32"/>
    <n v="4"/>
    <n v="2"/>
    <n v="1"/>
    <s v="421"/>
    <s v="Recent Customers"/>
    <s v="Active"/>
    <x v="2"/>
  </r>
  <r>
    <s v="CUST_169"/>
    <d v="2024-03-22T00:00:00"/>
    <n v="1365"/>
    <n v="1"/>
    <n v="219"/>
    <n v="1"/>
    <n v="2"/>
    <n v="2"/>
    <s v="122"/>
    <s v="At Risk"/>
    <s v="Churned"/>
    <x v="1"/>
  </r>
  <r>
    <s v="CUST_17"/>
    <d v="2024-05-16T00:00:00"/>
    <n v="555"/>
    <n v="1"/>
    <n v="164"/>
    <n v="1"/>
    <n v="2"/>
    <n v="1"/>
    <s v="121"/>
    <s v="At Risk"/>
    <s v="Churned"/>
    <x v="3"/>
  </r>
  <r>
    <s v="CUST_170"/>
    <d v="2024-09-16T00:00:00"/>
    <n v="506"/>
    <n v="1"/>
    <n v="41"/>
    <n v="4"/>
    <n v="2"/>
    <n v="1"/>
    <s v="421"/>
    <s v="Recent Customers"/>
    <s v="Active"/>
    <x v="2"/>
  </r>
  <r>
    <s v="CUST_171"/>
    <d v="2024-05-21T00:00:00"/>
    <n v="1780"/>
    <n v="1"/>
    <n v="159"/>
    <n v="1"/>
    <n v="2"/>
    <n v="3"/>
    <s v="123"/>
    <s v="At Risk"/>
    <s v="Churned"/>
    <x v="3"/>
  </r>
  <r>
    <s v="CUST_172"/>
    <d v="2024-03-14T00:00:00"/>
    <n v="418"/>
    <n v="1"/>
    <n v="227"/>
    <n v="1"/>
    <n v="2"/>
    <n v="1"/>
    <s v="121"/>
    <s v="At Risk"/>
    <s v="Churned"/>
    <x v="1"/>
  </r>
  <r>
    <s v="CUST_173"/>
    <d v="2024-09-14T00:00:00"/>
    <n v="816"/>
    <n v="1"/>
    <n v="43"/>
    <n v="4"/>
    <n v="2"/>
    <n v="1"/>
    <s v="421"/>
    <s v="Recent Customers"/>
    <s v="Active"/>
    <x v="0"/>
  </r>
  <r>
    <s v="CUST_174"/>
    <d v="2024-07-03T00:00:00"/>
    <n v="1500"/>
    <n v="1"/>
    <n v="116"/>
    <n v="2"/>
    <n v="2"/>
    <n v="2"/>
    <s v="222"/>
    <s v="At Risk"/>
    <s v="Churned"/>
    <x v="0"/>
  </r>
  <r>
    <s v="CUST_175"/>
    <d v="2024-10-21T00:00:00"/>
    <n v="468"/>
    <n v="1"/>
    <n v="6"/>
    <n v="5"/>
    <n v="2"/>
    <n v="1"/>
    <s v="521"/>
    <s v="Recent Customers"/>
    <s v="Active"/>
    <x v="2"/>
  </r>
  <r>
    <s v="CUST_176"/>
    <d v="2024-09-29T00:00:00"/>
    <n v="1221"/>
    <n v="1"/>
    <n v="28"/>
    <n v="4"/>
    <n v="2"/>
    <n v="2"/>
    <s v="422"/>
    <s v="Recent Customers"/>
    <s v="Active"/>
    <x v="2"/>
  </r>
  <r>
    <s v="CUST_177"/>
    <d v="2024-08-17T00:00:00"/>
    <n v="876"/>
    <n v="1"/>
    <n v="71"/>
    <n v="3"/>
    <n v="2"/>
    <n v="2"/>
    <s v="322"/>
    <s v="Potential Loyalist"/>
    <s v="Active"/>
    <x v="4"/>
  </r>
  <r>
    <s v="CUST_178"/>
    <d v="2024-09-11T00:00:00"/>
    <n v="825"/>
    <n v="1"/>
    <n v="46"/>
    <n v="4"/>
    <n v="2"/>
    <n v="1"/>
    <s v="421"/>
    <s v="Recent Customers"/>
    <s v="Active"/>
    <x v="2"/>
  </r>
  <r>
    <s v="CUST_179"/>
    <d v="2024-08-09T00:00:00"/>
    <n v="536"/>
    <n v="1"/>
    <n v="79"/>
    <n v="3"/>
    <n v="2"/>
    <n v="1"/>
    <s v="321"/>
    <s v="Potential Loyalist"/>
    <s v="Active"/>
    <x v="4"/>
  </r>
  <r>
    <s v="CUST_18"/>
    <d v="2024-08-29T00:00:00"/>
    <n v="1115"/>
    <n v="1"/>
    <n v="59"/>
    <n v="3"/>
    <n v="2"/>
    <n v="2"/>
    <s v="322"/>
    <s v="Potential Loyalist"/>
    <s v="Active"/>
    <x v="2"/>
  </r>
  <r>
    <s v="CUST_180"/>
    <d v="2024-08-07T00:00:00"/>
    <n v="1065"/>
    <n v="1"/>
    <n v="81"/>
    <n v="3"/>
    <n v="2"/>
    <n v="2"/>
    <s v="322"/>
    <s v="Potential Loyalist"/>
    <s v="Active"/>
    <x v="0"/>
  </r>
  <r>
    <s v="CUST_181"/>
    <d v="2024-06-27T00:00:00"/>
    <n v="2365"/>
    <n v="3"/>
    <n v="122"/>
    <n v="2"/>
    <n v="4"/>
    <n v="3"/>
    <s v="243"/>
    <s v="At Risk"/>
    <s v="Churned"/>
    <x v="3"/>
  </r>
  <r>
    <s v="CUST_182"/>
    <d v="2024-10-05T00:00:00"/>
    <n v="3615"/>
    <n v="2"/>
    <n v="22"/>
    <n v="5"/>
    <n v="3"/>
    <n v="4"/>
    <s v="534"/>
    <s v="Loyal Customers"/>
    <s v="Active"/>
    <x v="2"/>
  </r>
  <r>
    <s v="CUST_183"/>
    <d v="2024-09-08T00:00:00"/>
    <n v="2338"/>
    <n v="2"/>
    <n v="49"/>
    <n v="4"/>
    <n v="3"/>
    <n v="3"/>
    <s v="433"/>
    <s v="Loyal Customers"/>
    <s v="Active"/>
    <x v="0"/>
  </r>
  <r>
    <s v="CUST_184"/>
    <d v="2024-09-04T00:00:00"/>
    <n v="5108"/>
    <n v="5"/>
    <n v="53"/>
    <n v="4"/>
    <n v="5"/>
    <n v="5"/>
    <s v="455"/>
    <s v="Champions"/>
    <s v="Active"/>
    <x v="0"/>
  </r>
  <r>
    <s v="CUST_185"/>
    <d v="2024-10-17T00:00:00"/>
    <n v="1356"/>
    <n v="3"/>
    <n v="10"/>
    <n v="5"/>
    <n v="4"/>
    <n v="2"/>
    <s v="542"/>
    <s v="Recent Customers"/>
    <s v="Active"/>
    <x v="2"/>
  </r>
  <r>
    <s v="CUST_186"/>
    <d v="2024-10-27T00:00:00"/>
    <n v="2517"/>
    <n v="5"/>
    <n v="0"/>
    <n v="5"/>
    <n v="5"/>
    <n v="3"/>
    <s v="553"/>
    <s v="Loyal Customers"/>
    <s v="Active"/>
    <x v="2"/>
  </r>
  <r>
    <s v="CUST_187"/>
    <d v="2024-09-15T00:00:00"/>
    <n v="1394"/>
    <n v="3"/>
    <n v="42"/>
    <n v="4"/>
    <n v="4"/>
    <n v="2"/>
    <s v="442"/>
    <s v="Recent Customers"/>
    <s v="Active"/>
    <x v="2"/>
  </r>
  <r>
    <s v="CUST_188"/>
    <d v="2024-07-02T00:00:00"/>
    <n v="3959"/>
    <n v="4"/>
    <n v="117"/>
    <n v="2"/>
    <n v="5"/>
    <n v="5"/>
    <s v="255"/>
    <s v="At Risk"/>
    <s v="Churned"/>
    <x v="3"/>
  </r>
  <r>
    <s v="CUST_189"/>
    <d v="2024-08-25T00:00:00"/>
    <n v="1643"/>
    <n v="2"/>
    <n v="63"/>
    <n v="3"/>
    <n v="3"/>
    <n v="3"/>
    <s v="333"/>
    <s v="Loyal Customers"/>
    <s v="Active"/>
    <x v="4"/>
  </r>
  <r>
    <s v="CUST_19"/>
    <d v="2024-03-06T00:00:00"/>
    <n v="306"/>
    <n v="1"/>
    <n v="235"/>
    <n v="1"/>
    <n v="2"/>
    <n v="1"/>
    <s v="121"/>
    <s v="At Risk"/>
    <s v="Churned"/>
    <x v="1"/>
  </r>
  <r>
    <s v="CUST_190"/>
    <d v="2024-09-12T00:00:00"/>
    <n v="4819"/>
    <n v="4"/>
    <n v="45"/>
    <n v="4"/>
    <n v="5"/>
    <n v="5"/>
    <s v="455"/>
    <s v="Champions"/>
    <s v="Active"/>
    <x v="2"/>
  </r>
  <r>
    <s v="CUST_191"/>
    <d v="2024-09-09T00:00:00"/>
    <n v="2683"/>
    <n v="4"/>
    <n v="48"/>
    <n v="4"/>
    <n v="5"/>
    <n v="4"/>
    <s v="454"/>
    <s v="Champions"/>
    <s v="Active"/>
    <x v="2"/>
  </r>
  <r>
    <s v="CUST_192"/>
    <d v="2024-08-03T00:00:00"/>
    <n v="6376"/>
    <n v="3"/>
    <n v="85"/>
    <n v="3"/>
    <n v="4"/>
    <n v="5"/>
    <s v="345"/>
    <s v="Loyal Customers"/>
    <s v="Active"/>
    <x v="4"/>
  </r>
  <r>
    <s v="CUST_193"/>
    <d v="2024-08-27T00:00:00"/>
    <n v="3783"/>
    <n v="5"/>
    <n v="61"/>
    <n v="3"/>
    <n v="5"/>
    <n v="5"/>
    <s v="355"/>
    <s v="Loyal Customers"/>
    <s v="Active"/>
    <x v="4"/>
  </r>
  <r>
    <s v="CUST_194"/>
    <d v="2024-09-13T00:00:00"/>
    <n v="5048"/>
    <n v="5"/>
    <n v="44"/>
    <n v="4"/>
    <n v="5"/>
    <n v="5"/>
    <s v="455"/>
    <s v="Champions"/>
    <s v="Active"/>
    <x v="2"/>
  </r>
  <r>
    <s v="CUST_195"/>
    <d v="2024-06-25T00:00:00"/>
    <n v="1471"/>
    <n v="2"/>
    <n v="124"/>
    <n v="2"/>
    <n v="3"/>
    <n v="2"/>
    <s v="232"/>
    <s v="At Risk"/>
    <s v="Churned"/>
    <x v="3"/>
  </r>
  <r>
    <s v="CUST_196"/>
    <d v="2024-07-17T00:00:00"/>
    <n v="1614"/>
    <n v="3"/>
    <n v="102"/>
    <n v="2"/>
    <n v="4"/>
    <n v="3"/>
    <s v="243"/>
    <s v="At Risk"/>
    <s v="Churned"/>
    <x v="0"/>
  </r>
  <r>
    <s v="CUST_197"/>
    <d v="2024-08-26T00:00:00"/>
    <n v="3419"/>
    <n v="4"/>
    <n v="62"/>
    <n v="3"/>
    <n v="5"/>
    <n v="4"/>
    <s v="354"/>
    <s v="Loyal Customers"/>
    <s v="Active"/>
    <x v="4"/>
  </r>
  <r>
    <s v="CUST_198"/>
    <d v="2024-09-30T00:00:00"/>
    <n v="2605"/>
    <n v="4"/>
    <n v="27"/>
    <n v="5"/>
    <n v="5"/>
    <n v="4"/>
    <s v="554"/>
    <s v="Champions"/>
    <s v="Active"/>
    <x v="2"/>
  </r>
  <r>
    <s v="CUST_199"/>
    <d v="2024-08-02T00:00:00"/>
    <n v="3704"/>
    <n v="3"/>
    <n v="86"/>
    <n v="3"/>
    <n v="4"/>
    <n v="5"/>
    <s v="345"/>
    <s v="Loyal Customers"/>
    <s v="Active"/>
    <x v="4"/>
  </r>
  <r>
    <s v="CUST_2"/>
    <d v="2024-07-15T00:00:00"/>
    <n v="1371"/>
    <n v="1"/>
    <n v="104"/>
    <n v="2"/>
    <n v="2"/>
    <n v="2"/>
    <s v="222"/>
    <s v="At Risk"/>
    <s v="Churned"/>
    <x v="3"/>
  </r>
  <r>
    <s v="CUST_20"/>
    <d v="2024-09-24T00:00:00"/>
    <n v="582"/>
    <n v="1"/>
    <n v="33"/>
    <n v="4"/>
    <n v="2"/>
    <n v="1"/>
    <s v="421"/>
    <s v="Recent Customers"/>
    <s v="Active"/>
    <x v="0"/>
  </r>
  <r>
    <s v="CUST_200"/>
    <d v="2024-04-18T00:00:00"/>
    <n v="1664"/>
    <n v="2"/>
    <n v="192"/>
    <n v="1"/>
    <n v="3"/>
    <n v="3"/>
    <s v="133"/>
    <s v="At Risk"/>
    <s v="Churned"/>
    <x v="1"/>
  </r>
  <r>
    <s v="CUST_201"/>
    <d v="2024-09-27T00:00:00"/>
    <n v="3192"/>
    <n v="4"/>
    <n v="30"/>
    <n v="4"/>
    <n v="5"/>
    <n v="4"/>
    <s v="454"/>
    <s v="Champions"/>
    <s v="Active"/>
    <x v="2"/>
  </r>
  <r>
    <s v="CUST_202"/>
    <d v="2024-09-09T00:00:00"/>
    <n v="2577"/>
    <n v="5"/>
    <n v="48"/>
    <n v="4"/>
    <n v="5"/>
    <n v="3"/>
    <s v="453"/>
    <s v="Loyal Customers"/>
    <s v="Active"/>
    <x v="0"/>
  </r>
  <r>
    <s v="CUST_203"/>
    <d v="2024-07-05T00:00:00"/>
    <n v="5435"/>
    <n v="3"/>
    <n v="114"/>
    <n v="2"/>
    <n v="4"/>
    <n v="5"/>
    <s v="245"/>
    <s v="At Risk"/>
    <s v="Churned"/>
    <x v="0"/>
  </r>
  <r>
    <s v="CUST_204"/>
    <d v="2024-10-14T00:00:00"/>
    <n v="3159"/>
    <n v="5"/>
    <n v="13"/>
    <n v="5"/>
    <n v="5"/>
    <n v="4"/>
    <s v="554"/>
    <s v="Champions"/>
    <s v="Active"/>
    <x v="0"/>
  </r>
  <r>
    <s v="CUST_205"/>
    <d v="2024-10-18T00:00:00"/>
    <n v="3258"/>
    <n v="4"/>
    <n v="9"/>
    <n v="5"/>
    <n v="5"/>
    <n v="4"/>
    <s v="554"/>
    <s v="Champions"/>
    <s v="Active"/>
    <x v="2"/>
  </r>
  <r>
    <s v="CUST_206"/>
    <d v="2024-10-03T00:00:00"/>
    <n v="5805"/>
    <n v="5"/>
    <n v="24"/>
    <n v="5"/>
    <n v="5"/>
    <n v="5"/>
    <s v="555"/>
    <s v="Champions"/>
    <s v="Active"/>
    <x v="2"/>
  </r>
  <r>
    <s v="CUST_207"/>
    <d v="2024-08-20T00:00:00"/>
    <n v="3065"/>
    <n v="4"/>
    <n v="68"/>
    <n v="3"/>
    <n v="5"/>
    <n v="4"/>
    <s v="354"/>
    <s v="Loyal Customers"/>
    <s v="Active"/>
    <x v="4"/>
  </r>
  <r>
    <s v="CUST_208"/>
    <d v="2024-08-31T00:00:00"/>
    <n v="3060"/>
    <n v="2"/>
    <n v="57"/>
    <n v="3"/>
    <n v="3"/>
    <n v="4"/>
    <s v="334"/>
    <s v="Loyal Customers"/>
    <s v="Active"/>
    <x v="2"/>
  </r>
  <r>
    <s v="CUST_209"/>
    <d v="2024-09-25T00:00:00"/>
    <n v="2111"/>
    <n v="3"/>
    <n v="32"/>
    <n v="4"/>
    <n v="4"/>
    <n v="3"/>
    <s v="443"/>
    <s v="Loyal Customers"/>
    <s v="Active"/>
    <x v="2"/>
  </r>
  <r>
    <s v="CUST_21"/>
    <d v="2024-07-07T00:00:00"/>
    <n v="276"/>
    <n v="1"/>
    <n v="112"/>
    <n v="2"/>
    <n v="2"/>
    <n v="1"/>
    <s v="221"/>
    <s v="At Risk"/>
    <s v="Churned"/>
    <x v="0"/>
  </r>
  <r>
    <s v="CUST_210"/>
    <d v="2024-08-25T00:00:00"/>
    <n v="3911"/>
    <n v="4"/>
    <n v="63"/>
    <n v="3"/>
    <n v="5"/>
    <n v="5"/>
    <s v="355"/>
    <s v="Loyal Customers"/>
    <s v="Active"/>
    <x v="4"/>
  </r>
  <r>
    <s v="CUST_211"/>
    <d v="2024-10-19T00:00:00"/>
    <n v="2516"/>
    <n v="4"/>
    <n v="8"/>
    <n v="5"/>
    <n v="5"/>
    <n v="3"/>
    <s v="553"/>
    <s v="Loyal Customers"/>
    <s v="Active"/>
    <x v="2"/>
  </r>
  <r>
    <s v="CUST_212"/>
    <d v="2024-08-09T00:00:00"/>
    <n v="973"/>
    <n v="2"/>
    <n v="79"/>
    <n v="3"/>
    <n v="3"/>
    <n v="2"/>
    <s v="332"/>
    <s v="Potential Loyalist"/>
    <s v="Active"/>
    <x v="4"/>
  </r>
  <r>
    <s v="CUST_213"/>
    <d v="2024-05-28T00:00:00"/>
    <n v="1445"/>
    <n v="3"/>
    <n v="152"/>
    <n v="1"/>
    <n v="4"/>
    <n v="2"/>
    <s v="142"/>
    <s v="At Risk"/>
    <s v="Churned"/>
    <x v="0"/>
  </r>
  <r>
    <s v="CUST_214"/>
    <d v="2024-05-31T00:00:00"/>
    <n v="1190"/>
    <n v="2"/>
    <n v="149"/>
    <n v="2"/>
    <n v="3"/>
    <n v="2"/>
    <s v="232"/>
    <s v="At Risk"/>
    <s v="Churned"/>
    <x v="3"/>
  </r>
  <r>
    <s v="CUST_215"/>
    <d v="2024-10-17T00:00:00"/>
    <n v="2258"/>
    <n v="4"/>
    <n v="10"/>
    <n v="5"/>
    <n v="5"/>
    <n v="3"/>
    <s v="553"/>
    <s v="Loyal Customers"/>
    <s v="Active"/>
    <x v="0"/>
  </r>
  <r>
    <s v="CUST_216"/>
    <d v="2024-08-09T00:00:00"/>
    <n v="5003"/>
    <n v="5"/>
    <n v="79"/>
    <n v="3"/>
    <n v="5"/>
    <n v="5"/>
    <s v="355"/>
    <s v="Loyal Customers"/>
    <s v="Active"/>
    <x v="4"/>
  </r>
  <r>
    <s v="CUST_217"/>
    <d v="2024-10-15T00:00:00"/>
    <n v="3621"/>
    <n v="3"/>
    <n v="12"/>
    <n v="5"/>
    <n v="4"/>
    <n v="4"/>
    <s v="544"/>
    <s v="Champions"/>
    <s v="Active"/>
    <x v="0"/>
  </r>
  <r>
    <s v="CUST_218"/>
    <d v="2024-09-04T00:00:00"/>
    <n v="1485"/>
    <n v="2"/>
    <n v="53"/>
    <n v="4"/>
    <n v="3"/>
    <n v="2"/>
    <s v="432"/>
    <s v="Recent Customers"/>
    <s v="Active"/>
    <x v="0"/>
  </r>
  <r>
    <s v="CUST_219"/>
    <d v="2024-10-19T00:00:00"/>
    <n v="4877"/>
    <n v="5"/>
    <n v="8"/>
    <n v="5"/>
    <n v="5"/>
    <n v="5"/>
    <s v="555"/>
    <s v="Champions"/>
    <s v="Active"/>
    <x v="2"/>
  </r>
  <r>
    <s v="CUST_22"/>
    <d v="2024-09-30T00:00:00"/>
    <n v="1167"/>
    <n v="1"/>
    <n v="27"/>
    <n v="5"/>
    <n v="2"/>
    <n v="2"/>
    <s v="522"/>
    <s v="Recent Customers"/>
    <s v="Active"/>
    <x v="2"/>
  </r>
  <r>
    <s v="CUST_220"/>
    <d v="2024-07-16T00:00:00"/>
    <n v="2460"/>
    <n v="3"/>
    <n v="103"/>
    <n v="2"/>
    <n v="4"/>
    <n v="3"/>
    <s v="243"/>
    <s v="At Risk"/>
    <s v="Churned"/>
    <x v="3"/>
  </r>
  <r>
    <s v="CUST_221"/>
    <d v="2024-04-09T00:00:00"/>
    <n v="2411"/>
    <n v="2"/>
    <n v="201"/>
    <n v="1"/>
    <n v="3"/>
    <n v="3"/>
    <s v="133"/>
    <s v="At Risk"/>
    <s v="Churned"/>
    <x v="1"/>
  </r>
  <r>
    <s v="CUST_222"/>
    <d v="2024-08-26T00:00:00"/>
    <n v="3302"/>
    <n v="4"/>
    <n v="62"/>
    <n v="3"/>
    <n v="5"/>
    <n v="4"/>
    <s v="354"/>
    <s v="Loyal Customers"/>
    <s v="Active"/>
    <x v="4"/>
  </r>
  <r>
    <s v="CUST_223"/>
    <d v="2024-08-25T00:00:00"/>
    <n v="5377"/>
    <n v="5"/>
    <n v="63"/>
    <n v="3"/>
    <n v="5"/>
    <n v="5"/>
    <s v="355"/>
    <s v="Loyal Customers"/>
    <s v="Active"/>
    <x v="4"/>
  </r>
  <r>
    <s v="CUST_224"/>
    <d v="2024-08-22T00:00:00"/>
    <n v="1471"/>
    <n v="2"/>
    <n v="66"/>
    <n v="3"/>
    <n v="3"/>
    <n v="2"/>
    <s v="332"/>
    <s v="Potential Loyalist"/>
    <s v="Active"/>
    <x v="4"/>
  </r>
  <r>
    <s v="CUST_225"/>
    <d v="2024-08-22T00:00:00"/>
    <n v="2123"/>
    <n v="3"/>
    <n v="66"/>
    <n v="3"/>
    <n v="4"/>
    <n v="3"/>
    <s v="343"/>
    <s v="Loyal Customers"/>
    <s v="Active"/>
    <x v="4"/>
  </r>
  <r>
    <s v="CUST_226"/>
    <d v="2024-09-07T00:00:00"/>
    <n v="4587"/>
    <n v="5"/>
    <n v="50"/>
    <n v="4"/>
    <n v="5"/>
    <n v="5"/>
    <s v="455"/>
    <s v="Champions"/>
    <s v="Active"/>
    <x v="2"/>
  </r>
  <r>
    <s v="CUST_227"/>
    <d v="2024-08-05T00:00:00"/>
    <n v="3203"/>
    <n v="5"/>
    <n v="83"/>
    <n v="3"/>
    <n v="5"/>
    <n v="4"/>
    <s v="354"/>
    <s v="Loyal Customers"/>
    <s v="Active"/>
    <x v="4"/>
  </r>
  <r>
    <s v="CUST_228"/>
    <d v="2024-06-10T00:00:00"/>
    <n v="4487"/>
    <n v="5"/>
    <n v="139"/>
    <n v="2"/>
    <n v="5"/>
    <n v="5"/>
    <s v="255"/>
    <s v="At Risk"/>
    <s v="Churned"/>
    <x v="3"/>
  </r>
  <r>
    <s v="CUST_229"/>
    <d v="2024-09-18T00:00:00"/>
    <n v="2948"/>
    <n v="5"/>
    <n v="39"/>
    <n v="4"/>
    <n v="5"/>
    <n v="4"/>
    <s v="454"/>
    <s v="Champions"/>
    <s v="Active"/>
    <x v="0"/>
  </r>
  <r>
    <s v="CUST_23"/>
    <d v="2024-04-30T00:00:00"/>
    <n v="426"/>
    <n v="1"/>
    <n v="180"/>
    <n v="1"/>
    <n v="2"/>
    <n v="1"/>
    <s v="121"/>
    <s v="At Risk"/>
    <s v="Churned"/>
    <x v="3"/>
  </r>
  <r>
    <s v="CUST_230"/>
    <d v="2024-10-12T00:00:00"/>
    <n v="1154"/>
    <n v="2"/>
    <n v="15"/>
    <n v="5"/>
    <n v="3"/>
    <n v="2"/>
    <s v="532"/>
    <s v="Recent Customers"/>
    <s v="Active"/>
    <x v="2"/>
  </r>
  <r>
    <s v="CUST_231"/>
    <d v="2024-08-29T00:00:00"/>
    <n v="2720"/>
    <n v="4"/>
    <n v="59"/>
    <n v="3"/>
    <n v="5"/>
    <n v="4"/>
    <s v="354"/>
    <s v="Loyal Customers"/>
    <s v="Active"/>
    <x v="2"/>
  </r>
  <r>
    <s v="CUST_232"/>
    <d v="2024-07-25T00:00:00"/>
    <n v="2320"/>
    <n v="3"/>
    <n v="94"/>
    <n v="2"/>
    <n v="4"/>
    <n v="3"/>
    <s v="243"/>
    <s v="At Risk"/>
    <s v="Churned"/>
    <x v="3"/>
  </r>
  <r>
    <s v="CUST_233"/>
    <d v="2024-06-30T00:00:00"/>
    <n v="4236"/>
    <n v="5"/>
    <n v="119"/>
    <n v="2"/>
    <n v="5"/>
    <n v="5"/>
    <s v="255"/>
    <s v="At Risk"/>
    <s v="Churned"/>
    <x v="3"/>
  </r>
  <r>
    <s v="CUST_234"/>
    <d v="2024-06-26T00:00:00"/>
    <n v="2937"/>
    <n v="4"/>
    <n v="123"/>
    <n v="2"/>
    <n v="5"/>
    <n v="4"/>
    <s v="254"/>
    <s v="At Risk"/>
    <s v="Churned"/>
    <x v="0"/>
  </r>
  <r>
    <s v="CUST_235"/>
    <d v="2024-08-18T00:00:00"/>
    <n v="4364"/>
    <n v="4"/>
    <n v="70"/>
    <n v="3"/>
    <n v="5"/>
    <n v="5"/>
    <s v="355"/>
    <s v="Loyal Customers"/>
    <s v="Active"/>
    <x v="0"/>
  </r>
  <r>
    <s v="CUST_236"/>
    <d v="2024-10-09T00:00:00"/>
    <n v="2855"/>
    <n v="5"/>
    <n v="18"/>
    <n v="5"/>
    <n v="5"/>
    <n v="4"/>
    <s v="554"/>
    <s v="Champions"/>
    <s v="Active"/>
    <x v="2"/>
  </r>
  <r>
    <s v="CUST_237"/>
    <d v="2024-10-25T00:00:00"/>
    <n v="6784"/>
    <n v="5"/>
    <n v="2"/>
    <n v="5"/>
    <n v="5"/>
    <n v="5"/>
    <s v="555"/>
    <s v="Champions"/>
    <s v="Active"/>
    <x v="0"/>
  </r>
  <r>
    <s v="CUST_238"/>
    <d v="2024-07-16T00:00:00"/>
    <n v="3192"/>
    <n v="3"/>
    <n v="103"/>
    <n v="2"/>
    <n v="4"/>
    <n v="4"/>
    <s v="244"/>
    <s v="At Risk"/>
    <s v="Churned"/>
    <x v="3"/>
  </r>
  <r>
    <s v="CUST_239"/>
    <d v="2024-10-12T00:00:00"/>
    <n v="5912"/>
    <n v="5"/>
    <n v="15"/>
    <n v="5"/>
    <n v="5"/>
    <n v="5"/>
    <s v="555"/>
    <s v="Champions"/>
    <s v="Active"/>
    <x v="2"/>
  </r>
  <r>
    <s v="CUST_24"/>
    <d v="2024-04-27T00:00:00"/>
    <n v="1792"/>
    <n v="1"/>
    <n v="183"/>
    <n v="1"/>
    <n v="2"/>
    <n v="3"/>
    <s v="123"/>
    <s v="At Risk"/>
    <s v="Churned"/>
    <x v="1"/>
  </r>
  <r>
    <s v="CUST_240"/>
    <d v="2024-08-13T00:00:00"/>
    <n v="6100"/>
    <n v="5"/>
    <n v="75"/>
    <n v="3"/>
    <n v="5"/>
    <n v="5"/>
    <s v="355"/>
    <s v="Loyal Customers"/>
    <s v="Active"/>
    <x v="4"/>
  </r>
  <r>
    <s v="CUST_241"/>
    <d v="2024-09-04T00:00:00"/>
    <n v="2764"/>
    <n v="2"/>
    <n v="53"/>
    <n v="4"/>
    <n v="3"/>
    <n v="4"/>
    <s v="434"/>
    <s v="Loyal Customers"/>
    <s v="Active"/>
    <x v="2"/>
  </r>
  <r>
    <s v="CUST_242"/>
    <d v="2024-06-24T00:00:00"/>
    <n v="1896"/>
    <n v="4"/>
    <n v="125"/>
    <n v="2"/>
    <n v="5"/>
    <n v="3"/>
    <s v="253"/>
    <s v="At Risk"/>
    <s v="Churned"/>
    <x v="0"/>
  </r>
  <r>
    <s v="CUST_243"/>
    <d v="2024-09-03T00:00:00"/>
    <n v="3711"/>
    <n v="4"/>
    <n v="54"/>
    <n v="3"/>
    <n v="5"/>
    <n v="5"/>
    <s v="355"/>
    <s v="Loyal Customers"/>
    <s v="Active"/>
    <x v="2"/>
  </r>
  <r>
    <s v="CUST_244"/>
    <d v="2024-10-02T00:00:00"/>
    <n v="1860"/>
    <n v="3"/>
    <n v="25"/>
    <n v="5"/>
    <n v="4"/>
    <n v="3"/>
    <s v="543"/>
    <s v="Loyal Customers"/>
    <s v="Active"/>
    <x v="2"/>
  </r>
  <r>
    <s v="CUST_245"/>
    <d v="2024-09-12T00:00:00"/>
    <n v="4502"/>
    <n v="5"/>
    <n v="45"/>
    <n v="4"/>
    <n v="5"/>
    <n v="5"/>
    <s v="455"/>
    <s v="Champions"/>
    <s v="Active"/>
    <x v="2"/>
  </r>
  <r>
    <s v="CUST_246"/>
    <d v="2024-08-05T00:00:00"/>
    <n v="2597"/>
    <n v="3"/>
    <n v="83"/>
    <n v="3"/>
    <n v="4"/>
    <n v="4"/>
    <s v="344"/>
    <s v="Loyal Customers"/>
    <s v="Active"/>
    <x v="4"/>
  </r>
  <r>
    <s v="CUST_247"/>
    <d v="2024-08-16T00:00:00"/>
    <n v="5839"/>
    <n v="5"/>
    <n v="72"/>
    <n v="3"/>
    <n v="5"/>
    <n v="5"/>
    <s v="355"/>
    <s v="Loyal Customers"/>
    <s v="Active"/>
    <x v="4"/>
  </r>
  <r>
    <s v="CUST_248"/>
    <d v="2024-08-19T00:00:00"/>
    <n v="2758"/>
    <n v="4"/>
    <n v="69"/>
    <n v="3"/>
    <n v="5"/>
    <n v="4"/>
    <s v="354"/>
    <s v="Loyal Customers"/>
    <s v="Active"/>
    <x v="4"/>
  </r>
  <r>
    <s v="CUST_249"/>
    <d v="2024-06-01T00:00:00"/>
    <n v="1224"/>
    <n v="2"/>
    <n v="148"/>
    <n v="2"/>
    <n v="3"/>
    <n v="2"/>
    <s v="232"/>
    <s v="At Risk"/>
    <s v="Churned"/>
    <x v="0"/>
  </r>
  <r>
    <s v="CUST_25"/>
    <d v="2024-06-08T00:00:00"/>
    <n v="740"/>
    <n v="1"/>
    <n v="141"/>
    <n v="2"/>
    <n v="2"/>
    <n v="1"/>
    <s v="221"/>
    <s v="At Risk"/>
    <s v="Churned"/>
    <x v="3"/>
  </r>
  <r>
    <s v="CUST_250"/>
    <d v="2024-10-23T00:00:00"/>
    <n v="544"/>
    <n v="3"/>
    <n v="4"/>
    <n v="5"/>
    <n v="4"/>
    <n v="1"/>
    <s v="541"/>
    <s v="Recent Customers"/>
    <s v="Active"/>
    <x v="2"/>
  </r>
  <r>
    <s v="CUST_251"/>
    <d v="2024-07-18T00:00:00"/>
    <n v="1987"/>
    <n v="3"/>
    <n v="101"/>
    <n v="2"/>
    <n v="4"/>
    <n v="3"/>
    <s v="243"/>
    <s v="At Risk"/>
    <s v="Churned"/>
    <x v="0"/>
  </r>
  <r>
    <s v="CUST_252"/>
    <d v="2024-02-19T00:00:00"/>
    <n v="1291"/>
    <n v="2"/>
    <n v="251"/>
    <n v="1"/>
    <n v="3"/>
    <n v="2"/>
    <s v="132"/>
    <s v="At Risk"/>
    <s v="Churned"/>
    <x v="1"/>
  </r>
  <r>
    <s v="CUST_253"/>
    <d v="2024-10-26T00:00:00"/>
    <n v="2768"/>
    <n v="4"/>
    <n v="1"/>
    <n v="5"/>
    <n v="5"/>
    <n v="4"/>
    <s v="554"/>
    <s v="Champions"/>
    <s v="Active"/>
    <x v="2"/>
  </r>
  <r>
    <s v="CUST_254"/>
    <d v="2024-09-19T00:00:00"/>
    <n v="2544"/>
    <n v="4"/>
    <n v="38"/>
    <n v="4"/>
    <n v="5"/>
    <n v="3"/>
    <s v="453"/>
    <s v="Loyal Customers"/>
    <s v="Active"/>
    <x v="2"/>
  </r>
  <r>
    <s v="CUST_255"/>
    <d v="2024-09-22T00:00:00"/>
    <n v="4267"/>
    <n v="5"/>
    <n v="35"/>
    <n v="4"/>
    <n v="5"/>
    <n v="5"/>
    <s v="455"/>
    <s v="Champions"/>
    <s v="Active"/>
    <x v="0"/>
  </r>
  <r>
    <s v="CUST_256"/>
    <d v="2024-07-31T00:00:00"/>
    <n v="2293"/>
    <n v="2"/>
    <n v="88"/>
    <n v="3"/>
    <n v="3"/>
    <n v="3"/>
    <s v="333"/>
    <s v="Loyal Customers"/>
    <s v="Active"/>
    <x v="4"/>
  </r>
  <r>
    <s v="CUST_257"/>
    <d v="2024-10-12T00:00:00"/>
    <n v="2648"/>
    <n v="5"/>
    <n v="15"/>
    <n v="5"/>
    <n v="5"/>
    <n v="4"/>
    <s v="554"/>
    <s v="Champions"/>
    <s v="Active"/>
    <x v="0"/>
  </r>
  <r>
    <s v="CUST_258"/>
    <d v="2024-06-13T00:00:00"/>
    <n v="748"/>
    <n v="2"/>
    <n v="136"/>
    <n v="2"/>
    <n v="3"/>
    <n v="1"/>
    <s v="231"/>
    <s v="At Risk"/>
    <s v="Churned"/>
    <x v="3"/>
  </r>
  <r>
    <s v="CUST_259"/>
    <d v="2024-10-04T00:00:00"/>
    <n v="4137"/>
    <n v="5"/>
    <n v="23"/>
    <n v="5"/>
    <n v="5"/>
    <n v="5"/>
    <s v="555"/>
    <s v="Champions"/>
    <s v="Active"/>
    <x v="0"/>
  </r>
  <r>
    <s v="CUST_26"/>
    <d v="2024-06-21T00:00:00"/>
    <n v="1345"/>
    <n v="1"/>
    <n v="128"/>
    <n v="2"/>
    <n v="2"/>
    <n v="2"/>
    <s v="222"/>
    <s v="At Risk"/>
    <s v="Churned"/>
    <x v="3"/>
  </r>
  <r>
    <s v="CUST_260"/>
    <d v="2024-10-03T00:00:00"/>
    <n v="2591"/>
    <n v="4"/>
    <n v="24"/>
    <n v="5"/>
    <n v="5"/>
    <n v="4"/>
    <s v="554"/>
    <s v="Champions"/>
    <s v="Active"/>
    <x v="0"/>
  </r>
  <r>
    <s v="CUST_261"/>
    <d v="2024-09-25T00:00:00"/>
    <n v="2469"/>
    <n v="2"/>
    <n v="32"/>
    <n v="4"/>
    <n v="3"/>
    <n v="3"/>
    <s v="433"/>
    <s v="Loyal Customers"/>
    <s v="Active"/>
    <x v="2"/>
  </r>
  <r>
    <s v="CUST_262"/>
    <d v="2024-10-11T00:00:00"/>
    <n v="1951"/>
    <n v="4"/>
    <n v="16"/>
    <n v="5"/>
    <n v="5"/>
    <n v="3"/>
    <s v="553"/>
    <s v="Loyal Customers"/>
    <s v="Active"/>
    <x v="2"/>
  </r>
  <r>
    <s v="CUST_263"/>
    <d v="2024-07-22T00:00:00"/>
    <n v="5736"/>
    <n v="4"/>
    <n v="97"/>
    <n v="2"/>
    <n v="5"/>
    <n v="5"/>
    <s v="255"/>
    <s v="At Risk"/>
    <s v="Churned"/>
    <x v="3"/>
  </r>
  <r>
    <s v="CUST_264"/>
    <d v="2024-07-08T00:00:00"/>
    <n v="1095"/>
    <n v="2"/>
    <n v="111"/>
    <n v="2"/>
    <n v="3"/>
    <n v="2"/>
    <s v="232"/>
    <s v="At Risk"/>
    <s v="Churned"/>
    <x v="3"/>
  </r>
  <r>
    <s v="CUST_265"/>
    <d v="2024-07-22T00:00:00"/>
    <n v="2977"/>
    <n v="3"/>
    <n v="97"/>
    <n v="2"/>
    <n v="4"/>
    <n v="4"/>
    <s v="244"/>
    <s v="At Risk"/>
    <s v="Churned"/>
    <x v="3"/>
  </r>
  <r>
    <s v="CUST_266"/>
    <d v="2024-06-03T00:00:00"/>
    <n v="3591"/>
    <n v="3"/>
    <n v="146"/>
    <n v="2"/>
    <n v="4"/>
    <n v="4"/>
    <s v="244"/>
    <s v="At Risk"/>
    <s v="Churned"/>
    <x v="3"/>
  </r>
  <r>
    <s v="CUST_267"/>
    <d v="2024-08-19T00:00:00"/>
    <n v="3127"/>
    <n v="4"/>
    <n v="69"/>
    <n v="3"/>
    <n v="5"/>
    <n v="4"/>
    <s v="354"/>
    <s v="Loyal Customers"/>
    <s v="Active"/>
    <x v="4"/>
  </r>
  <r>
    <s v="CUST_268"/>
    <d v="2024-04-17T00:00:00"/>
    <n v="1106"/>
    <n v="2"/>
    <n v="193"/>
    <n v="1"/>
    <n v="3"/>
    <n v="2"/>
    <s v="132"/>
    <s v="At Risk"/>
    <s v="Churned"/>
    <x v="1"/>
  </r>
  <r>
    <s v="CUST_269"/>
    <d v="2024-09-23T00:00:00"/>
    <n v="867"/>
    <n v="2"/>
    <n v="34"/>
    <n v="4"/>
    <n v="3"/>
    <n v="2"/>
    <s v="432"/>
    <s v="Recent Customers"/>
    <s v="Active"/>
    <x v="2"/>
  </r>
  <r>
    <s v="CUST_27"/>
    <d v="2024-01-28T00:00:00"/>
    <n v="471"/>
    <n v="1"/>
    <n v="273"/>
    <n v="1"/>
    <n v="2"/>
    <n v="1"/>
    <s v="121"/>
    <s v="At Risk"/>
    <s v="Churned"/>
    <x v="0"/>
  </r>
  <r>
    <s v="CUST_270"/>
    <d v="2024-05-02T00:00:00"/>
    <n v="1650"/>
    <n v="2"/>
    <n v="178"/>
    <n v="1"/>
    <n v="3"/>
    <n v="3"/>
    <s v="133"/>
    <s v="At Risk"/>
    <s v="Churned"/>
    <x v="3"/>
  </r>
  <r>
    <s v="CUST_271"/>
    <d v="2024-10-14T00:00:00"/>
    <n v="4223"/>
    <n v="4"/>
    <n v="13"/>
    <n v="5"/>
    <n v="5"/>
    <n v="5"/>
    <s v="555"/>
    <s v="Champions"/>
    <s v="Active"/>
    <x v="0"/>
  </r>
  <r>
    <s v="CUST_272"/>
    <d v="2024-09-03T00:00:00"/>
    <n v="5688"/>
    <n v="5"/>
    <n v="54"/>
    <n v="3"/>
    <n v="5"/>
    <n v="5"/>
    <s v="355"/>
    <s v="Loyal Customers"/>
    <s v="Active"/>
    <x v="2"/>
  </r>
  <r>
    <s v="CUST_273"/>
    <d v="2024-10-15T00:00:00"/>
    <n v="3443"/>
    <n v="4"/>
    <n v="12"/>
    <n v="5"/>
    <n v="5"/>
    <n v="4"/>
    <s v="554"/>
    <s v="Champions"/>
    <s v="Active"/>
    <x v="2"/>
  </r>
  <r>
    <s v="CUST_274"/>
    <d v="2024-06-19T00:00:00"/>
    <n v="639"/>
    <n v="2"/>
    <n v="130"/>
    <n v="2"/>
    <n v="3"/>
    <n v="1"/>
    <s v="231"/>
    <s v="At Risk"/>
    <s v="Churned"/>
    <x v="0"/>
  </r>
  <r>
    <s v="CUST_275"/>
    <d v="2024-08-29T00:00:00"/>
    <n v="2288"/>
    <n v="3"/>
    <n v="59"/>
    <n v="3"/>
    <n v="4"/>
    <n v="3"/>
    <s v="343"/>
    <s v="Loyal Customers"/>
    <s v="Active"/>
    <x v="2"/>
  </r>
  <r>
    <s v="CUST_276"/>
    <d v="2024-09-30T00:00:00"/>
    <n v="2757"/>
    <n v="5"/>
    <n v="27"/>
    <n v="5"/>
    <n v="5"/>
    <n v="4"/>
    <s v="554"/>
    <s v="Champions"/>
    <s v="Active"/>
    <x v="2"/>
  </r>
  <r>
    <s v="CUST_277"/>
    <d v="2024-06-08T00:00:00"/>
    <n v="2532"/>
    <n v="2"/>
    <n v="141"/>
    <n v="2"/>
    <n v="3"/>
    <n v="3"/>
    <s v="233"/>
    <s v="At Risk"/>
    <s v="Churned"/>
    <x v="3"/>
  </r>
  <r>
    <s v="CUST_278"/>
    <d v="2024-09-18T00:00:00"/>
    <n v="2236"/>
    <n v="3"/>
    <n v="39"/>
    <n v="4"/>
    <n v="4"/>
    <n v="3"/>
    <s v="443"/>
    <s v="Loyal Customers"/>
    <s v="Active"/>
    <x v="2"/>
  </r>
  <r>
    <s v="CUST_279"/>
    <d v="2024-09-23T00:00:00"/>
    <n v="4390"/>
    <n v="4"/>
    <n v="34"/>
    <n v="4"/>
    <n v="5"/>
    <n v="5"/>
    <s v="455"/>
    <s v="Champions"/>
    <s v="Active"/>
    <x v="0"/>
  </r>
  <r>
    <s v="CUST_28"/>
    <d v="2024-09-18T00:00:00"/>
    <n v="420"/>
    <n v="1"/>
    <n v="39"/>
    <n v="4"/>
    <n v="2"/>
    <n v="1"/>
    <s v="421"/>
    <s v="Recent Customers"/>
    <s v="Active"/>
    <x v="2"/>
  </r>
  <r>
    <s v="CUST_280"/>
    <d v="2024-10-12T00:00:00"/>
    <n v="2415"/>
    <n v="2"/>
    <n v="15"/>
    <n v="5"/>
    <n v="3"/>
    <n v="3"/>
    <s v="533"/>
    <s v="Loyal Customers"/>
    <s v="Active"/>
    <x v="0"/>
  </r>
  <r>
    <s v="CUST_281"/>
    <d v="2024-06-25T00:00:00"/>
    <n v="2695"/>
    <n v="3"/>
    <n v="124"/>
    <n v="2"/>
    <n v="4"/>
    <n v="4"/>
    <s v="244"/>
    <s v="At Risk"/>
    <s v="Churned"/>
    <x v="0"/>
  </r>
  <r>
    <s v="CUST_282"/>
    <d v="2024-10-01T00:00:00"/>
    <n v="3859"/>
    <n v="5"/>
    <n v="26"/>
    <n v="5"/>
    <n v="5"/>
    <n v="5"/>
    <s v="555"/>
    <s v="Champions"/>
    <s v="Active"/>
    <x v="2"/>
  </r>
  <r>
    <s v="CUST_283"/>
    <d v="2024-10-16T00:00:00"/>
    <n v="4999"/>
    <n v="4"/>
    <n v="11"/>
    <n v="5"/>
    <n v="5"/>
    <n v="5"/>
    <s v="555"/>
    <s v="Champions"/>
    <s v="Active"/>
    <x v="0"/>
  </r>
  <r>
    <s v="CUST_284"/>
    <d v="2024-07-16T00:00:00"/>
    <n v="3387"/>
    <n v="5"/>
    <n v="103"/>
    <n v="2"/>
    <n v="5"/>
    <n v="4"/>
    <s v="254"/>
    <s v="At Risk"/>
    <s v="Churned"/>
    <x v="3"/>
  </r>
  <r>
    <s v="CUST_285"/>
    <d v="2024-10-16T00:00:00"/>
    <n v="4378"/>
    <n v="4"/>
    <n v="11"/>
    <n v="5"/>
    <n v="5"/>
    <n v="5"/>
    <s v="555"/>
    <s v="Champions"/>
    <s v="Active"/>
    <x v="0"/>
  </r>
  <r>
    <s v="CUST_286"/>
    <d v="2024-09-10T00:00:00"/>
    <n v="1193"/>
    <n v="2"/>
    <n v="47"/>
    <n v="4"/>
    <n v="3"/>
    <n v="2"/>
    <s v="432"/>
    <s v="Recent Customers"/>
    <s v="Active"/>
    <x v="2"/>
  </r>
  <r>
    <s v="CUST_287"/>
    <d v="2024-10-22T00:00:00"/>
    <n v="4359"/>
    <n v="5"/>
    <n v="5"/>
    <n v="5"/>
    <n v="5"/>
    <n v="5"/>
    <s v="555"/>
    <s v="Champions"/>
    <s v="Active"/>
    <x v="2"/>
  </r>
  <r>
    <s v="CUST_288"/>
    <d v="2024-09-23T00:00:00"/>
    <n v="2958"/>
    <n v="5"/>
    <n v="34"/>
    <n v="4"/>
    <n v="5"/>
    <n v="4"/>
    <s v="454"/>
    <s v="Champions"/>
    <s v="Active"/>
    <x v="2"/>
  </r>
  <r>
    <s v="CUST_289"/>
    <d v="2024-08-10T00:00:00"/>
    <n v="4215"/>
    <n v="4"/>
    <n v="78"/>
    <n v="3"/>
    <n v="5"/>
    <n v="5"/>
    <s v="355"/>
    <s v="Loyal Customers"/>
    <s v="Active"/>
    <x v="4"/>
  </r>
  <r>
    <s v="CUST_29"/>
    <d v="2024-03-16T00:00:00"/>
    <n v="1002"/>
    <n v="1"/>
    <n v="225"/>
    <n v="1"/>
    <n v="2"/>
    <n v="2"/>
    <s v="122"/>
    <s v="At Risk"/>
    <s v="Churned"/>
    <x v="1"/>
  </r>
  <r>
    <s v="CUST_290"/>
    <d v="2024-09-21T00:00:00"/>
    <n v="3063"/>
    <n v="3"/>
    <n v="36"/>
    <n v="4"/>
    <n v="4"/>
    <n v="4"/>
    <s v="444"/>
    <s v="Champions"/>
    <s v="Active"/>
    <x v="2"/>
  </r>
  <r>
    <s v="CUST_291"/>
    <d v="2024-09-16T00:00:00"/>
    <n v="1526"/>
    <n v="2"/>
    <n v="41"/>
    <n v="4"/>
    <n v="3"/>
    <n v="2"/>
    <s v="432"/>
    <s v="Recent Customers"/>
    <s v="Active"/>
    <x v="2"/>
  </r>
  <r>
    <s v="CUST_292"/>
    <d v="2024-08-08T00:00:00"/>
    <n v="2606"/>
    <n v="5"/>
    <n v="80"/>
    <n v="3"/>
    <n v="5"/>
    <n v="4"/>
    <s v="354"/>
    <s v="Loyal Customers"/>
    <s v="Active"/>
    <x v="4"/>
  </r>
  <r>
    <s v="CUST_293"/>
    <d v="2024-08-19T00:00:00"/>
    <n v="2693"/>
    <n v="4"/>
    <n v="69"/>
    <n v="3"/>
    <n v="5"/>
    <n v="4"/>
    <s v="354"/>
    <s v="Loyal Customers"/>
    <s v="Active"/>
    <x v="0"/>
  </r>
  <r>
    <s v="CUST_294"/>
    <d v="2024-08-19T00:00:00"/>
    <n v="2690"/>
    <n v="4"/>
    <n v="69"/>
    <n v="3"/>
    <n v="5"/>
    <n v="4"/>
    <s v="354"/>
    <s v="Loyal Customers"/>
    <s v="Active"/>
    <x v="4"/>
  </r>
  <r>
    <s v="CUST_295"/>
    <d v="2024-10-23T00:00:00"/>
    <n v="3612"/>
    <n v="4"/>
    <n v="4"/>
    <n v="5"/>
    <n v="5"/>
    <n v="4"/>
    <s v="554"/>
    <s v="Champions"/>
    <s v="Active"/>
    <x v="0"/>
  </r>
  <r>
    <s v="CUST_296"/>
    <d v="2024-08-12T00:00:00"/>
    <n v="1770"/>
    <n v="3"/>
    <n v="76"/>
    <n v="3"/>
    <n v="4"/>
    <n v="3"/>
    <s v="343"/>
    <s v="Loyal Customers"/>
    <s v="Active"/>
    <x v="0"/>
  </r>
  <r>
    <s v="CUST_297"/>
    <d v="2024-10-09T00:00:00"/>
    <n v="4653"/>
    <n v="5"/>
    <n v="18"/>
    <n v="5"/>
    <n v="5"/>
    <n v="5"/>
    <s v="555"/>
    <s v="Champions"/>
    <s v="Active"/>
    <x v="0"/>
  </r>
  <r>
    <s v="CUST_298"/>
    <d v="2024-10-21T00:00:00"/>
    <n v="3510"/>
    <n v="5"/>
    <n v="6"/>
    <n v="5"/>
    <n v="5"/>
    <n v="4"/>
    <s v="554"/>
    <s v="Champions"/>
    <s v="Active"/>
    <x v="2"/>
  </r>
  <r>
    <s v="CUST_299"/>
    <d v="2024-09-30T00:00:00"/>
    <n v="3166"/>
    <n v="4"/>
    <n v="27"/>
    <n v="5"/>
    <n v="5"/>
    <n v="4"/>
    <s v="554"/>
    <s v="Champions"/>
    <s v="Active"/>
    <x v="2"/>
  </r>
  <r>
    <s v="CUST_3"/>
    <d v="2024-04-30T00:00:00"/>
    <n v="1119"/>
    <n v="1"/>
    <n v="180"/>
    <n v="1"/>
    <n v="2"/>
    <n v="2"/>
    <s v="122"/>
    <s v="At Risk"/>
    <s v="Churned"/>
    <x v="3"/>
  </r>
  <r>
    <s v="CUST_30"/>
    <d v="2024-08-08T00:00:00"/>
    <n v="948"/>
    <n v="1"/>
    <n v="80"/>
    <n v="3"/>
    <n v="2"/>
    <n v="2"/>
    <s v="322"/>
    <s v="Potential Loyalist"/>
    <s v="Active"/>
    <x v="0"/>
  </r>
  <r>
    <s v="CUST_300"/>
    <d v="2024-08-19T00:00:00"/>
    <n v="1485"/>
    <n v="2"/>
    <n v="69"/>
    <n v="3"/>
    <n v="3"/>
    <n v="2"/>
    <s v="332"/>
    <s v="Potential Loyalist"/>
    <s v="Active"/>
    <x v="4"/>
  </r>
  <r>
    <s v="CUST_301"/>
    <d v="2024-10-22T00:00:00"/>
    <n v="5273"/>
    <n v="4"/>
    <n v="5"/>
    <n v="5"/>
    <n v="5"/>
    <n v="5"/>
    <s v="555"/>
    <s v="Champions"/>
    <s v="Active"/>
    <x v="2"/>
  </r>
  <r>
    <s v="CUST_302"/>
    <d v="2024-09-15T00:00:00"/>
    <n v="2421"/>
    <n v="2"/>
    <n v="42"/>
    <n v="4"/>
    <n v="3"/>
    <n v="3"/>
    <s v="433"/>
    <s v="Loyal Customers"/>
    <s v="Active"/>
    <x v="2"/>
  </r>
  <r>
    <s v="CUST_303"/>
    <d v="2024-08-28T00:00:00"/>
    <n v="4553"/>
    <n v="5"/>
    <n v="60"/>
    <n v="3"/>
    <n v="5"/>
    <n v="5"/>
    <s v="355"/>
    <s v="Loyal Customers"/>
    <s v="Active"/>
    <x v="0"/>
  </r>
  <r>
    <s v="CUST_304"/>
    <d v="2024-01-26T00:00:00"/>
    <n v="2339"/>
    <n v="2"/>
    <n v="275"/>
    <n v="1"/>
    <n v="3"/>
    <n v="3"/>
    <s v="133"/>
    <s v="At Risk"/>
    <s v="Churned"/>
    <x v="1"/>
  </r>
  <r>
    <s v="CUST_305"/>
    <d v="2024-09-29T00:00:00"/>
    <n v="5528"/>
    <n v="5"/>
    <n v="28"/>
    <n v="4"/>
    <n v="5"/>
    <n v="5"/>
    <s v="455"/>
    <s v="Champions"/>
    <s v="Active"/>
    <x v="0"/>
  </r>
  <r>
    <s v="CUST_306"/>
    <d v="2024-08-07T00:00:00"/>
    <n v="4251"/>
    <n v="4"/>
    <n v="81"/>
    <n v="3"/>
    <n v="5"/>
    <n v="5"/>
    <s v="355"/>
    <s v="Loyal Customers"/>
    <s v="Active"/>
    <x v="4"/>
  </r>
  <r>
    <s v="CUST_307"/>
    <d v="2024-10-25T00:00:00"/>
    <n v="3749"/>
    <n v="5"/>
    <n v="2"/>
    <n v="5"/>
    <n v="5"/>
    <n v="5"/>
    <s v="555"/>
    <s v="Champions"/>
    <s v="Active"/>
    <x v="2"/>
  </r>
  <r>
    <s v="CUST_308"/>
    <d v="2024-06-21T00:00:00"/>
    <n v="355"/>
    <n v="2"/>
    <n v="128"/>
    <n v="2"/>
    <n v="3"/>
    <n v="1"/>
    <s v="231"/>
    <s v="At Risk"/>
    <s v="Churned"/>
    <x v="3"/>
  </r>
  <r>
    <s v="CUST_309"/>
    <d v="2024-09-18T00:00:00"/>
    <n v="5402"/>
    <n v="5"/>
    <n v="39"/>
    <n v="4"/>
    <n v="5"/>
    <n v="5"/>
    <s v="455"/>
    <s v="Champions"/>
    <s v="Active"/>
    <x v="2"/>
  </r>
  <r>
    <s v="CUST_31"/>
    <d v="2024-04-08T00:00:00"/>
    <n v="1745"/>
    <n v="1"/>
    <n v="202"/>
    <n v="1"/>
    <n v="2"/>
    <n v="3"/>
    <s v="123"/>
    <s v="At Risk"/>
    <s v="Churned"/>
    <x v="1"/>
  </r>
  <r>
    <s v="CUST_310"/>
    <d v="2024-09-01T00:00:00"/>
    <n v="763"/>
    <n v="2"/>
    <n v="56"/>
    <n v="3"/>
    <n v="3"/>
    <n v="1"/>
    <s v="331"/>
    <s v="Potential Loyalist"/>
    <s v="Active"/>
    <x v="2"/>
  </r>
  <r>
    <s v="CUST_311"/>
    <d v="2024-09-14T00:00:00"/>
    <n v="2885"/>
    <n v="5"/>
    <n v="43"/>
    <n v="4"/>
    <n v="5"/>
    <n v="4"/>
    <s v="454"/>
    <s v="Champions"/>
    <s v="Active"/>
    <x v="2"/>
  </r>
  <r>
    <s v="CUST_312"/>
    <d v="2024-09-16T00:00:00"/>
    <n v="3073"/>
    <n v="5"/>
    <n v="41"/>
    <n v="4"/>
    <n v="5"/>
    <n v="4"/>
    <s v="454"/>
    <s v="Champions"/>
    <s v="Active"/>
    <x v="0"/>
  </r>
  <r>
    <s v="CUST_313"/>
    <d v="2024-04-22T00:00:00"/>
    <n v="4281"/>
    <n v="5"/>
    <n v="188"/>
    <n v="1"/>
    <n v="5"/>
    <n v="5"/>
    <s v="155"/>
    <s v="At Risk"/>
    <s v="Churned"/>
    <x v="1"/>
  </r>
  <r>
    <s v="CUST_314"/>
    <d v="2024-10-22T00:00:00"/>
    <n v="1300"/>
    <n v="2"/>
    <n v="5"/>
    <n v="5"/>
    <n v="3"/>
    <n v="2"/>
    <s v="532"/>
    <s v="Recent Customers"/>
    <s v="Active"/>
    <x v="2"/>
  </r>
  <r>
    <s v="CUST_315"/>
    <d v="2024-09-01T00:00:00"/>
    <n v="2534"/>
    <n v="2"/>
    <n v="56"/>
    <n v="3"/>
    <n v="3"/>
    <n v="3"/>
    <s v="333"/>
    <s v="Loyal Customers"/>
    <s v="Active"/>
    <x v="2"/>
  </r>
  <r>
    <s v="CUST_316"/>
    <d v="2024-09-25T00:00:00"/>
    <n v="2074"/>
    <n v="3"/>
    <n v="32"/>
    <n v="4"/>
    <n v="4"/>
    <n v="3"/>
    <s v="443"/>
    <s v="Loyal Customers"/>
    <s v="Active"/>
    <x v="0"/>
  </r>
  <r>
    <s v="CUST_317"/>
    <d v="2024-09-14T00:00:00"/>
    <n v="3014"/>
    <n v="3"/>
    <n v="43"/>
    <n v="4"/>
    <n v="4"/>
    <n v="4"/>
    <s v="444"/>
    <s v="Champions"/>
    <s v="Active"/>
    <x v="2"/>
  </r>
  <r>
    <s v="CUST_318"/>
    <d v="2024-10-21T00:00:00"/>
    <n v="3189"/>
    <n v="3"/>
    <n v="6"/>
    <n v="5"/>
    <n v="4"/>
    <n v="4"/>
    <s v="544"/>
    <s v="Champions"/>
    <s v="Active"/>
    <x v="2"/>
  </r>
  <r>
    <s v="CUST_319"/>
    <d v="2024-09-11T00:00:00"/>
    <n v="3302"/>
    <n v="4"/>
    <n v="46"/>
    <n v="4"/>
    <n v="5"/>
    <n v="4"/>
    <s v="454"/>
    <s v="Champions"/>
    <s v="Active"/>
    <x v="0"/>
  </r>
  <r>
    <s v="CUST_32"/>
    <d v="2024-09-23T00:00:00"/>
    <n v="695"/>
    <n v="1"/>
    <n v="34"/>
    <n v="4"/>
    <n v="2"/>
    <n v="1"/>
    <s v="421"/>
    <s v="Recent Customers"/>
    <s v="Active"/>
    <x v="2"/>
  </r>
  <r>
    <s v="CUST_320"/>
    <d v="2024-10-05T00:00:00"/>
    <n v="5980"/>
    <n v="5"/>
    <n v="22"/>
    <n v="5"/>
    <n v="5"/>
    <n v="5"/>
    <s v="555"/>
    <s v="Champions"/>
    <s v="Active"/>
    <x v="2"/>
  </r>
  <r>
    <s v="CUST_321"/>
    <d v="2024-09-08T00:00:00"/>
    <n v="2338"/>
    <n v="2"/>
    <n v="49"/>
    <n v="4"/>
    <n v="3"/>
    <n v="3"/>
    <s v="433"/>
    <s v="Loyal Customers"/>
    <s v="Active"/>
    <x v="0"/>
  </r>
  <r>
    <s v="CUST_322"/>
    <d v="2024-09-04T00:00:00"/>
    <n v="5108"/>
    <n v="5"/>
    <n v="53"/>
    <n v="4"/>
    <n v="5"/>
    <n v="5"/>
    <s v="455"/>
    <s v="Champions"/>
    <s v="Active"/>
    <x v="0"/>
  </r>
  <r>
    <s v="CUST_323"/>
    <d v="2024-10-17T00:00:00"/>
    <n v="1356"/>
    <n v="3"/>
    <n v="10"/>
    <n v="5"/>
    <n v="4"/>
    <n v="2"/>
    <s v="542"/>
    <s v="Recent Customers"/>
    <s v="Active"/>
    <x v="2"/>
  </r>
  <r>
    <s v="CUST_324"/>
    <d v="2024-10-27T00:00:00"/>
    <n v="1087"/>
    <n v="2"/>
    <n v="0"/>
    <n v="5"/>
    <n v="3"/>
    <n v="2"/>
    <s v="532"/>
    <s v="Recent Customers"/>
    <s v="Active"/>
    <x v="2"/>
  </r>
  <r>
    <s v="CUST_325"/>
    <d v="2024-07-31T00:00:00"/>
    <n v="1050"/>
    <n v="2"/>
    <n v="88"/>
    <n v="3"/>
    <n v="3"/>
    <n v="2"/>
    <s v="332"/>
    <s v="Potential Loyalist"/>
    <s v="Active"/>
    <x v="4"/>
  </r>
  <r>
    <s v="CUST_326"/>
    <d v="2024-09-15T00:00:00"/>
    <n v="1774"/>
    <n v="4"/>
    <n v="42"/>
    <n v="4"/>
    <n v="5"/>
    <n v="3"/>
    <s v="453"/>
    <s v="Loyal Customers"/>
    <s v="Active"/>
    <x v="2"/>
  </r>
  <r>
    <s v="CUST_327"/>
    <d v="2024-07-02T00:00:00"/>
    <n v="3959"/>
    <n v="4"/>
    <n v="117"/>
    <n v="2"/>
    <n v="5"/>
    <n v="5"/>
    <s v="255"/>
    <s v="At Risk"/>
    <s v="Churned"/>
    <x v="3"/>
  </r>
  <r>
    <s v="CUST_328"/>
    <d v="2024-09-12T00:00:00"/>
    <n v="5590"/>
    <n v="5"/>
    <n v="45"/>
    <n v="4"/>
    <n v="5"/>
    <n v="5"/>
    <s v="455"/>
    <s v="Champions"/>
    <s v="Active"/>
    <x v="0"/>
  </r>
  <r>
    <s v="CUST_329"/>
    <d v="2024-09-09T00:00:00"/>
    <n v="2775"/>
    <n v="4"/>
    <n v="48"/>
    <n v="4"/>
    <n v="5"/>
    <n v="4"/>
    <s v="454"/>
    <s v="Champions"/>
    <s v="Active"/>
    <x v="2"/>
  </r>
  <r>
    <s v="CUST_33"/>
    <d v="2024-10-12T00:00:00"/>
    <n v="491"/>
    <n v="1"/>
    <n v="15"/>
    <n v="5"/>
    <n v="2"/>
    <n v="1"/>
    <s v="521"/>
    <s v="Recent Customers"/>
    <s v="Active"/>
    <x v="2"/>
  </r>
  <r>
    <s v="CUST_330"/>
    <d v="2024-03-12T00:00:00"/>
    <n v="2716"/>
    <n v="2"/>
    <n v="229"/>
    <n v="1"/>
    <n v="3"/>
    <n v="4"/>
    <s v="134"/>
    <s v="At Risk"/>
    <s v="Churned"/>
    <x v="1"/>
  </r>
  <r>
    <s v="CUST_331"/>
    <d v="2024-08-03T00:00:00"/>
    <n v="5474"/>
    <n v="5"/>
    <n v="85"/>
    <n v="3"/>
    <n v="5"/>
    <n v="5"/>
    <s v="355"/>
    <s v="Loyal Customers"/>
    <s v="Active"/>
    <x v="4"/>
  </r>
  <r>
    <s v="CUST_332"/>
    <d v="2024-08-27T00:00:00"/>
    <n v="2749"/>
    <n v="2"/>
    <n v="61"/>
    <n v="3"/>
    <n v="3"/>
    <n v="4"/>
    <s v="334"/>
    <s v="Loyal Customers"/>
    <s v="Active"/>
    <x v="4"/>
  </r>
  <r>
    <s v="CUST_333"/>
    <d v="2024-09-13T00:00:00"/>
    <n v="2070"/>
    <n v="3"/>
    <n v="44"/>
    <n v="4"/>
    <n v="4"/>
    <n v="3"/>
    <s v="443"/>
    <s v="Loyal Customers"/>
    <s v="Active"/>
    <x v="2"/>
  </r>
  <r>
    <s v="CUST_334"/>
    <d v="2024-06-25T00:00:00"/>
    <n v="4795"/>
    <n v="5"/>
    <n v="124"/>
    <n v="2"/>
    <n v="5"/>
    <n v="5"/>
    <s v="255"/>
    <s v="At Risk"/>
    <s v="Churned"/>
    <x v="3"/>
  </r>
  <r>
    <s v="CUST_335"/>
    <d v="2024-07-17T00:00:00"/>
    <n v="1268"/>
    <n v="2"/>
    <n v="102"/>
    <n v="2"/>
    <n v="3"/>
    <n v="2"/>
    <s v="232"/>
    <s v="At Risk"/>
    <s v="Churned"/>
    <x v="3"/>
  </r>
  <r>
    <s v="CUST_336"/>
    <d v="2024-08-26T00:00:00"/>
    <n v="2858"/>
    <n v="3"/>
    <n v="62"/>
    <n v="3"/>
    <n v="4"/>
    <n v="4"/>
    <s v="344"/>
    <s v="Loyal Customers"/>
    <s v="Active"/>
    <x v="0"/>
  </r>
  <r>
    <s v="CUST_337"/>
    <d v="2024-04-30T00:00:00"/>
    <n v="1069"/>
    <n v="2"/>
    <n v="180"/>
    <n v="1"/>
    <n v="3"/>
    <n v="2"/>
    <s v="132"/>
    <s v="At Risk"/>
    <s v="Churned"/>
    <x v="0"/>
  </r>
  <r>
    <s v="CUST_338"/>
    <d v="2024-09-30T00:00:00"/>
    <n v="1026"/>
    <n v="2"/>
    <n v="27"/>
    <n v="5"/>
    <n v="3"/>
    <n v="2"/>
    <s v="532"/>
    <s v="Recent Customers"/>
    <s v="Active"/>
    <x v="2"/>
  </r>
  <r>
    <s v="CUST_339"/>
    <d v="2024-09-29T00:00:00"/>
    <n v="4775"/>
    <n v="4"/>
    <n v="28"/>
    <n v="4"/>
    <n v="5"/>
    <n v="5"/>
    <s v="455"/>
    <s v="Champions"/>
    <s v="Active"/>
    <x v="2"/>
  </r>
  <r>
    <s v="CUST_34"/>
    <d v="2024-07-04T00:00:00"/>
    <n v="1924"/>
    <n v="1"/>
    <n v="115"/>
    <n v="2"/>
    <n v="2"/>
    <n v="3"/>
    <s v="223"/>
    <s v="At Risk"/>
    <s v="Churned"/>
    <x v="0"/>
  </r>
  <r>
    <s v="CUST_340"/>
    <d v="2024-04-18T00:00:00"/>
    <n v="1664"/>
    <n v="2"/>
    <n v="192"/>
    <n v="1"/>
    <n v="3"/>
    <n v="3"/>
    <s v="133"/>
    <s v="At Risk"/>
    <s v="Churned"/>
    <x v="1"/>
  </r>
  <r>
    <s v="CUST_341"/>
    <d v="2024-09-27T00:00:00"/>
    <n v="2076"/>
    <n v="2"/>
    <n v="30"/>
    <n v="4"/>
    <n v="3"/>
    <n v="3"/>
    <s v="433"/>
    <s v="Loyal Customers"/>
    <s v="Active"/>
    <x v="2"/>
  </r>
  <r>
    <s v="CUST_342"/>
    <d v="2024-07-11T00:00:00"/>
    <n v="1859"/>
    <n v="4"/>
    <n v="108"/>
    <n v="2"/>
    <n v="5"/>
    <n v="3"/>
    <s v="253"/>
    <s v="At Risk"/>
    <s v="Churned"/>
    <x v="3"/>
  </r>
  <r>
    <s v="CUST_343"/>
    <d v="2024-09-09T00:00:00"/>
    <n v="6309"/>
    <n v="5"/>
    <n v="48"/>
    <n v="4"/>
    <n v="5"/>
    <n v="5"/>
    <s v="455"/>
    <s v="Champions"/>
    <s v="Active"/>
    <x v="0"/>
  </r>
  <r>
    <s v="CUST_344"/>
    <d v="2024-07-03T00:00:00"/>
    <n v="2502"/>
    <n v="3"/>
    <n v="116"/>
    <n v="2"/>
    <n v="4"/>
    <n v="3"/>
    <s v="243"/>
    <s v="At Risk"/>
    <s v="Churned"/>
    <x v="0"/>
  </r>
  <r>
    <s v="CUST_345"/>
    <d v="2024-10-14T00:00:00"/>
    <n v="3439"/>
    <n v="5"/>
    <n v="13"/>
    <n v="5"/>
    <n v="5"/>
    <n v="4"/>
    <s v="554"/>
    <s v="Champions"/>
    <s v="Active"/>
    <x v="0"/>
  </r>
  <r>
    <s v="CUST_346"/>
    <d v="2024-10-18T00:00:00"/>
    <n v="6153"/>
    <n v="5"/>
    <n v="9"/>
    <n v="5"/>
    <n v="5"/>
    <n v="5"/>
    <s v="555"/>
    <s v="Champions"/>
    <s v="Active"/>
    <x v="2"/>
  </r>
  <r>
    <s v="CUST_347"/>
    <d v="2024-10-03T00:00:00"/>
    <n v="3124"/>
    <n v="4"/>
    <n v="24"/>
    <n v="5"/>
    <n v="5"/>
    <n v="4"/>
    <s v="554"/>
    <s v="Champions"/>
    <s v="Active"/>
    <x v="2"/>
  </r>
  <r>
    <s v="CUST_348"/>
    <d v="2024-07-24T00:00:00"/>
    <n v="1029"/>
    <n v="2"/>
    <n v="95"/>
    <n v="2"/>
    <n v="3"/>
    <n v="2"/>
    <s v="232"/>
    <s v="At Risk"/>
    <s v="Churned"/>
    <x v="3"/>
  </r>
  <r>
    <s v="CUST_349"/>
    <d v="2024-08-31T00:00:00"/>
    <n v="4796"/>
    <n v="4"/>
    <n v="57"/>
    <n v="3"/>
    <n v="5"/>
    <n v="5"/>
    <s v="355"/>
    <s v="Loyal Customers"/>
    <s v="Active"/>
    <x v="2"/>
  </r>
  <r>
    <s v="CUST_35"/>
    <d v="2024-04-17T00:00:00"/>
    <n v="1608"/>
    <n v="1"/>
    <n v="193"/>
    <n v="1"/>
    <n v="2"/>
    <n v="3"/>
    <s v="123"/>
    <s v="At Risk"/>
    <s v="Churned"/>
    <x v="1"/>
  </r>
  <r>
    <s v="CUST_350"/>
    <d v="2024-09-25T00:00:00"/>
    <n v="2750"/>
    <n v="3"/>
    <n v="32"/>
    <n v="4"/>
    <n v="4"/>
    <n v="4"/>
    <s v="444"/>
    <s v="Champions"/>
    <s v="Active"/>
    <x v="0"/>
  </r>
  <r>
    <s v="CUST_351"/>
    <d v="2024-04-19T00:00:00"/>
    <n v="1536"/>
    <n v="2"/>
    <n v="191"/>
    <n v="1"/>
    <n v="3"/>
    <n v="2"/>
    <s v="132"/>
    <s v="At Risk"/>
    <s v="Churned"/>
    <x v="1"/>
  </r>
  <r>
    <s v="CUST_352"/>
    <d v="2024-10-19T00:00:00"/>
    <n v="2117"/>
    <n v="3"/>
    <n v="8"/>
    <n v="5"/>
    <n v="4"/>
    <n v="3"/>
    <s v="543"/>
    <s v="Loyal Customers"/>
    <s v="Active"/>
    <x v="2"/>
  </r>
  <r>
    <s v="CUST_353"/>
    <d v="2024-04-29T00:00:00"/>
    <n v="1206"/>
    <n v="2"/>
    <n v="181"/>
    <n v="1"/>
    <n v="3"/>
    <n v="2"/>
    <s v="132"/>
    <s v="At Risk"/>
    <s v="Churned"/>
    <x v="1"/>
  </r>
  <r>
    <s v="CUST_354"/>
    <d v="2024-08-09T00:00:00"/>
    <n v="1611"/>
    <n v="4"/>
    <n v="79"/>
    <n v="3"/>
    <n v="5"/>
    <n v="3"/>
    <s v="353"/>
    <s v="Loyal Customers"/>
    <s v="Active"/>
    <x v="0"/>
  </r>
  <r>
    <s v="CUST_355"/>
    <d v="2024-05-31T00:00:00"/>
    <n v="1890"/>
    <n v="4"/>
    <n v="149"/>
    <n v="2"/>
    <n v="5"/>
    <n v="3"/>
    <s v="253"/>
    <s v="At Risk"/>
    <s v="Churned"/>
    <x v="3"/>
  </r>
  <r>
    <s v="CUST_356"/>
    <d v="2024-10-17T00:00:00"/>
    <n v="4562"/>
    <n v="5"/>
    <n v="10"/>
    <n v="5"/>
    <n v="5"/>
    <n v="5"/>
    <s v="555"/>
    <s v="Champions"/>
    <s v="Active"/>
    <x v="0"/>
  </r>
  <r>
    <s v="CUST_357"/>
    <d v="2024-05-28T00:00:00"/>
    <n v="3303"/>
    <n v="3"/>
    <n v="152"/>
    <n v="1"/>
    <n v="4"/>
    <n v="4"/>
    <s v="144"/>
    <s v="At Risk"/>
    <s v="Churned"/>
    <x v="3"/>
  </r>
  <r>
    <s v="CUST_358"/>
    <d v="2024-10-19T00:00:00"/>
    <n v="3963"/>
    <n v="5"/>
    <n v="8"/>
    <n v="5"/>
    <n v="5"/>
    <n v="5"/>
    <s v="555"/>
    <s v="Champions"/>
    <s v="Active"/>
    <x v="2"/>
  </r>
  <r>
    <s v="CUST_359"/>
    <d v="2024-07-17T00:00:00"/>
    <n v="4716"/>
    <n v="4"/>
    <n v="102"/>
    <n v="2"/>
    <n v="5"/>
    <n v="5"/>
    <s v="255"/>
    <s v="At Risk"/>
    <s v="Churned"/>
    <x v="3"/>
  </r>
  <r>
    <s v="CUST_36"/>
    <d v="2024-06-25T00:00:00"/>
    <n v="532"/>
    <n v="1"/>
    <n v="124"/>
    <n v="2"/>
    <n v="2"/>
    <n v="1"/>
    <s v="221"/>
    <s v="At Risk"/>
    <s v="Churned"/>
    <x v="3"/>
  </r>
  <r>
    <s v="CUST_360"/>
    <d v="2024-07-16T00:00:00"/>
    <n v="400"/>
    <n v="2"/>
    <n v="103"/>
    <n v="2"/>
    <n v="3"/>
    <n v="1"/>
    <s v="231"/>
    <s v="At Risk"/>
    <s v="Churned"/>
    <x v="3"/>
  </r>
  <r>
    <s v="CUST_361"/>
    <d v="2024-04-09T00:00:00"/>
    <n v="5261"/>
    <n v="4"/>
    <n v="201"/>
    <n v="1"/>
    <n v="5"/>
    <n v="5"/>
    <s v="155"/>
    <s v="At Risk"/>
    <s v="Churned"/>
    <x v="1"/>
  </r>
  <r>
    <s v="CUST_362"/>
    <d v="2024-08-26T00:00:00"/>
    <n v="1732"/>
    <n v="2"/>
    <n v="62"/>
    <n v="3"/>
    <n v="3"/>
    <n v="3"/>
    <s v="333"/>
    <s v="Loyal Customers"/>
    <s v="Active"/>
    <x v="4"/>
  </r>
  <r>
    <s v="CUST_363"/>
    <d v="2024-08-25T00:00:00"/>
    <n v="4921"/>
    <n v="5"/>
    <n v="63"/>
    <n v="3"/>
    <n v="5"/>
    <n v="5"/>
    <s v="355"/>
    <s v="Loyal Customers"/>
    <s v="Active"/>
    <x v="4"/>
  </r>
  <r>
    <s v="CUST_364"/>
    <d v="2024-08-22T00:00:00"/>
    <n v="3016"/>
    <n v="4"/>
    <n v="66"/>
    <n v="3"/>
    <n v="5"/>
    <n v="4"/>
    <s v="354"/>
    <s v="Loyal Customers"/>
    <s v="Active"/>
    <x v="4"/>
  </r>
  <r>
    <s v="CUST_365"/>
    <d v="2024-09-07T00:00:00"/>
    <n v="3050"/>
    <n v="4"/>
    <n v="50"/>
    <n v="4"/>
    <n v="5"/>
    <n v="4"/>
    <s v="454"/>
    <s v="Champions"/>
    <s v="Active"/>
    <x v="2"/>
  </r>
  <r>
    <s v="CUST_366"/>
    <d v="2024-07-24T00:00:00"/>
    <n v="3351"/>
    <n v="3"/>
    <n v="95"/>
    <n v="2"/>
    <n v="4"/>
    <n v="4"/>
    <s v="244"/>
    <s v="At Risk"/>
    <s v="Churned"/>
    <x v="3"/>
  </r>
  <r>
    <s v="CUST_367"/>
    <d v="2024-07-01T00:00:00"/>
    <n v="1679"/>
    <n v="3"/>
    <n v="118"/>
    <n v="2"/>
    <n v="4"/>
    <n v="3"/>
    <s v="243"/>
    <s v="At Risk"/>
    <s v="Churned"/>
    <x v="3"/>
  </r>
  <r>
    <s v="CUST_368"/>
    <d v="2024-08-05T00:00:00"/>
    <n v="3619"/>
    <n v="4"/>
    <n v="83"/>
    <n v="3"/>
    <n v="5"/>
    <n v="4"/>
    <s v="354"/>
    <s v="Loyal Customers"/>
    <s v="Active"/>
    <x v="4"/>
  </r>
  <r>
    <s v="CUST_369"/>
    <d v="2024-06-10T00:00:00"/>
    <n v="1537"/>
    <n v="2"/>
    <n v="139"/>
    <n v="2"/>
    <n v="3"/>
    <n v="2"/>
    <s v="232"/>
    <s v="At Risk"/>
    <s v="Churned"/>
    <x v="3"/>
  </r>
  <r>
    <s v="CUST_37"/>
    <d v="2024-05-30T00:00:00"/>
    <n v="555"/>
    <n v="1"/>
    <n v="150"/>
    <n v="1"/>
    <n v="2"/>
    <n v="1"/>
    <s v="121"/>
    <s v="At Risk"/>
    <s v="Churned"/>
    <x v="3"/>
  </r>
  <r>
    <s v="CUST_370"/>
    <d v="2024-09-18T00:00:00"/>
    <n v="2351"/>
    <n v="4"/>
    <n v="39"/>
    <n v="4"/>
    <n v="5"/>
    <n v="3"/>
    <s v="453"/>
    <s v="Loyal Customers"/>
    <s v="Active"/>
    <x v="0"/>
  </r>
  <r>
    <s v="CUST_371"/>
    <d v="2024-08-29T00:00:00"/>
    <n v="1452"/>
    <n v="2"/>
    <n v="59"/>
    <n v="3"/>
    <n v="3"/>
    <n v="2"/>
    <s v="332"/>
    <s v="Potential Loyalist"/>
    <s v="Active"/>
    <x v="2"/>
  </r>
  <r>
    <s v="CUST_372"/>
    <d v="2024-10-12T00:00:00"/>
    <n v="3120"/>
    <n v="5"/>
    <n v="15"/>
    <n v="5"/>
    <n v="5"/>
    <n v="4"/>
    <s v="554"/>
    <s v="Champions"/>
    <s v="Active"/>
    <x v="2"/>
  </r>
  <r>
    <s v="CUST_373"/>
    <d v="2024-07-21T00:00:00"/>
    <n v="2578"/>
    <n v="3"/>
    <n v="98"/>
    <n v="2"/>
    <n v="4"/>
    <n v="4"/>
    <s v="244"/>
    <s v="At Risk"/>
    <s v="Churned"/>
    <x v="3"/>
  </r>
  <r>
    <s v="CUST_374"/>
    <d v="2024-07-25T00:00:00"/>
    <n v="2440"/>
    <n v="3"/>
    <n v="94"/>
    <n v="2"/>
    <n v="4"/>
    <n v="3"/>
    <s v="243"/>
    <s v="At Risk"/>
    <s v="Churned"/>
    <x v="3"/>
  </r>
  <r>
    <s v="CUST_375"/>
    <d v="2024-06-30T00:00:00"/>
    <n v="2292"/>
    <n v="3"/>
    <n v="119"/>
    <n v="2"/>
    <n v="4"/>
    <n v="3"/>
    <s v="243"/>
    <s v="At Risk"/>
    <s v="Churned"/>
    <x v="3"/>
  </r>
  <r>
    <s v="CUST_376"/>
    <d v="2024-06-26T00:00:00"/>
    <n v="2937"/>
    <n v="4"/>
    <n v="123"/>
    <n v="2"/>
    <n v="5"/>
    <n v="4"/>
    <s v="254"/>
    <s v="At Risk"/>
    <s v="Churned"/>
    <x v="0"/>
  </r>
  <r>
    <s v="CUST_377"/>
    <d v="2024-08-18T00:00:00"/>
    <n v="3732"/>
    <n v="3"/>
    <n v="70"/>
    <n v="3"/>
    <n v="4"/>
    <n v="5"/>
    <s v="345"/>
    <s v="Loyal Customers"/>
    <s v="Active"/>
    <x v="0"/>
  </r>
  <r>
    <s v="CUST_378"/>
    <d v="2024-10-09T00:00:00"/>
    <n v="2747"/>
    <n v="4"/>
    <n v="18"/>
    <n v="5"/>
    <n v="5"/>
    <n v="4"/>
    <s v="554"/>
    <s v="Champions"/>
    <s v="Active"/>
    <x v="0"/>
  </r>
  <r>
    <s v="CUST_379"/>
    <d v="2024-10-25T00:00:00"/>
    <n v="3140"/>
    <n v="4"/>
    <n v="2"/>
    <n v="5"/>
    <n v="5"/>
    <n v="4"/>
    <s v="554"/>
    <s v="Champions"/>
    <s v="Active"/>
    <x v="2"/>
  </r>
  <r>
    <s v="CUST_38"/>
    <d v="2024-10-01T00:00:00"/>
    <n v="987"/>
    <n v="1"/>
    <n v="26"/>
    <n v="5"/>
    <n v="2"/>
    <n v="2"/>
    <s v="522"/>
    <s v="Recent Customers"/>
    <s v="Active"/>
    <x v="2"/>
  </r>
  <r>
    <s v="CUST_380"/>
    <d v="2024-09-18T00:00:00"/>
    <n v="6164"/>
    <n v="4"/>
    <n v="39"/>
    <n v="4"/>
    <n v="5"/>
    <n v="5"/>
    <s v="455"/>
    <s v="Champions"/>
    <s v="Active"/>
    <x v="0"/>
  </r>
  <r>
    <s v="CUST_381"/>
    <d v="2024-08-04T00:00:00"/>
    <n v="1936"/>
    <n v="3"/>
    <n v="84"/>
    <n v="3"/>
    <n v="4"/>
    <n v="3"/>
    <s v="343"/>
    <s v="Loyal Customers"/>
    <s v="Active"/>
    <x v="4"/>
  </r>
  <r>
    <s v="CUST_382"/>
    <d v="2024-10-12T00:00:00"/>
    <n v="4444"/>
    <n v="3"/>
    <n v="15"/>
    <n v="5"/>
    <n v="4"/>
    <n v="5"/>
    <s v="545"/>
    <s v="Champions"/>
    <s v="Active"/>
    <x v="2"/>
  </r>
  <r>
    <s v="CUST_383"/>
    <d v="2024-08-06T00:00:00"/>
    <n v="3631"/>
    <n v="3"/>
    <n v="82"/>
    <n v="3"/>
    <n v="4"/>
    <n v="4"/>
    <s v="344"/>
    <s v="Loyal Customers"/>
    <s v="Active"/>
    <x v="4"/>
  </r>
  <r>
    <s v="CUST_384"/>
    <d v="2024-08-13T00:00:00"/>
    <n v="3413"/>
    <n v="3"/>
    <n v="75"/>
    <n v="3"/>
    <n v="4"/>
    <n v="4"/>
    <s v="344"/>
    <s v="Loyal Customers"/>
    <s v="Active"/>
    <x v="4"/>
  </r>
  <r>
    <s v="CUST_385"/>
    <d v="2024-09-04T00:00:00"/>
    <n v="3228"/>
    <n v="3"/>
    <n v="53"/>
    <n v="4"/>
    <n v="4"/>
    <n v="4"/>
    <s v="444"/>
    <s v="Champions"/>
    <s v="Active"/>
    <x v="0"/>
  </r>
  <r>
    <s v="CUST_386"/>
    <d v="2024-06-24T00:00:00"/>
    <n v="1980"/>
    <n v="4"/>
    <n v="125"/>
    <n v="2"/>
    <n v="5"/>
    <n v="3"/>
    <s v="253"/>
    <s v="At Risk"/>
    <s v="Churned"/>
    <x v="3"/>
  </r>
  <r>
    <s v="CUST_387"/>
    <d v="2024-10-02T00:00:00"/>
    <n v="4271"/>
    <n v="5"/>
    <n v="25"/>
    <n v="5"/>
    <n v="5"/>
    <n v="5"/>
    <s v="555"/>
    <s v="Champions"/>
    <s v="Active"/>
    <x v="2"/>
  </r>
  <r>
    <s v="CUST_388"/>
    <d v="2024-09-12T00:00:00"/>
    <n v="3873"/>
    <n v="4"/>
    <n v="45"/>
    <n v="4"/>
    <n v="5"/>
    <n v="5"/>
    <s v="455"/>
    <s v="Champions"/>
    <s v="Active"/>
    <x v="2"/>
  </r>
  <r>
    <s v="CUST_389"/>
    <d v="2024-08-05T00:00:00"/>
    <n v="3978"/>
    <n v="5"/>
    <n v="83"/>
    <n v="3"/>
    <n v="5"/>
    <n v="5"/>
    <s v="355"/>
    <s v="Loyal Customers"/>
    <s v="Active"/>
    <x v="4"/>
  </r>
  <r>
    <s v="CUST_39"/>
    <d v="2024-01-17T00:00:00"/>
    <n v="298"/>
    <n v="1"/>
    <n v="284"/>
    <n v="1"/>
    <n v="2"/>
    <n v="1"/>
    <s v="121"/>
    <s v="At Risk"/>
    <s v="Churned"/>
    <x v="1"/>
  </r>
  <r>
    <s v="CUST_390"/>
    <d v="2024-08-16T00:00:00"/>
    <n v="5839"/>
    <n v="5"/>
    <n v="72"/>
    <n v="3"/>
    <n v="5"/>
    <n v="5"/>
    <s v="355"/>
    <s v="Loyal Customers"/>
    <s v="Active"/>
    <x v="4"/>
  </r>
  <r>
    <s v="CUST_391"/>
    <d v="2024-08-19T00:00:00"/>
    <n v="1969"/>
    <n v="3"/>
    <n v="69"/>
    <n v="3"/>
    <n v="4"/>
    <n v="3"/>
    <s v="343"/>
    <s v="Loyal Customers"/>
    <s v="Active"/>
    <x v="0"/>
  </r>
  <r>
    <s v="CUST_392"/>
    <d v="2024-07-24T00:00:00"/>
    <n v="2116"/>
    <n v="4"/>
    <n v="95"/>
    <n v="2"/>
    <n v="5"/>
    <n v="3"/>
    <s v="253"/>
    <s v="At Risk"/>
    <s v="Churned"/>
    <x v="3"/>
  </r>
  <r>
    <s v="CUST_393"/>
    <d v="2024-10-23T00:00:00"/>
    <n v="2428"/>
    <n v="5"/>
    <n v="4"/>
    <n v="5"/>
    <n v="5"/>
    <n v="3"/>
    <s v="553"/>
    <s v="Loyal Customers"/>
    <s v="Active"/>
    <x v="0"/>
  </r>
  <r>
    <s v="CUST_394"/>
    <d v="2024-02-19T00:00:00"/>
    <n v="1291"/>
    <n v="2"/>
    <n v="251"/>
    <n v="1"/>
    <n v="3"/>
    <n v="2"/>
    <s v="132"/>
    <s v="At Risk"/>
    <s v="Churned"/>
    <x v="1"/>
  </r>
  <r>
    <s v="CUST_395"/>
    <d v="2024-10-26T00:00:00"/>
    <n v="1590"/>
    <n v="2"/>
    <n v="1"/>
    <n v="5"/>
    <n v="3"/>
    <n v="2"/>
    <s v="532"/>
    <s v="Recent Customers"/>
    <s v="Active"/>
    <x v="2"/>
  </r>
  <r>
    <s v="CUST_396"/>
    <d v="2024-09-19T00:00:00"/>
    <n v="2023"/>
    <n v="3"/>
    <n v="38"/>
    <n v="4"/>
    <n v="4"/>
    <n v="3"/>
    <s v="443"/>
    <s v="Loyal Customers"/>
    <s v="Active"/>
    <x v="2"/>
  </r>
  <r>
    <s v="CUST_397"/>
    <d v="2024-08-29T00:00:00"/>
    <n v="3692"/>
    <n v="5"/>
    <n v="59"/>
    <n v="3"/>
    <n v="5"/>
    <n v="5"/>
    <s v="355"/>
    <s v="Loyal Customers"/>
    <s v="Active"/>
    <x v="2"/>
  </r>
  <r>
    <s v="CUST_398"/>
    <d v="2024-09-22T00:00:00"/>
    <n v="4099"/>
    <n v="4"/>
    <n v="35"/>
    <n v="4"/>
    <n v="5"/>
    <n v="5"/>
    <s v="455"/>
    <s v="Champions"/>
    <s v="Active"/>
    <x v="2"/>
  </r>
  <r>
    <s v="CUST_399"/>
    <d v="2024-07-31T00:00:00"/>
    <n v="1256"/>
    <n v="2"/>
    <n v="88"/>
    <n v="3"/>
    <n v="3"/>
    <n v="2"/>
    <s v="332"/>
    <s v="Potential Loyalist"/>
    <s v="Active"/>
    <x v="4"/>
  </r>
  <r>
    <s v="CUST_4"/>
    <d v="2024-09-20T00:00:00"/>
    <n v="1272"/>
    <n v="1"/>
    <n v="37"/>
    <n v="4"/>
    <n v="2"/>
    <n v="2"/>
    <s v="422"/>
    <s v="Recent Customers"/>
    <s v="Active"/>
    <x v="0"/>
  </r>
  <r>
    <s v="CUST_40"/>
    <d v="2024-05-31T00:00:00"/>
    <n v="915"/>
    <n v="1"/>
    <n v="149"/>
    <n v="2"/>
    <n v="2"/>
    <n v="2"/>
    <s v="222"/>
    <s v="At Risk"/>
    <s v="Churned"/>
    <x v="0"/>
  </r>
  <r>
    <s v="CUST_400"/>
    <d v="2024-10-12T00:00:00"/>
    <n v="2296"/>
    <n v="5"/>
    <n v="15"/>
    <n v="5"/>
    <n v="5"/>
    <n v="3"/>
    <s v="553"/>
    <s v="Loyal Customers"/>
    <s v="Active"/>
    <x v="0"/>
  </r>
  <r>
    <s v="CUST_401"/>
    <d v="2024-10-04T00:00:00"/>
    <n v="4105"/>
    <n v="5"/>
    <n v="23"/>
    <n v="5"/>
    <n v="5"/>
    <n v="5"/>
    <s v="555"/>
    <s v="Champions"/>
    <s v="Active"/>
    <x v="0"/>
  </r>
  <r>
    <s v="CUST_402"/>
    <d v="2024-10-03T00:00:00"/>
    <n v="2935"/>
    <n v="5"/>
    <n v="24"/>
    <n v="5"/>
    <n v="5"/>
    <n v="4"/>
    <s v="554"/>
    <s v="Champions"/>
    <s v="Active"/>
    <x v="2"/>
  </r>
  <r>
    <s v="CUST_403"/>
    <d v="2024-10-11T00:00:00"/>
    <n v="3284"/>
    <n v="5"/>
    <n v="16"/>
    <n v="5"/>
    <n v="5"/>
    <n v="4"/>
    <s v="554"/>
    <s v="Champions"/>
    <s v="Active"/>
    <x v="2"/>
  </r>
  <r>
    <s v="CUST_404"/>
    <d v="2024-04-16T00:00:00"/>
    <n v="3128"/>
    <n v="2"/>
    <n v="194"/>
    <n v="1"/>
    <n v="3"/>
    <n v="4"/>
    <s v="134"/>
    <s v="At Risk"/>
    <s v="Churned"/>
    <x v="1"/>
  </r>
  <r>
    <s v="CUST_405"/>
    <d v="2024-07-22T00:00:00"/>
    <n v="4839"/>
    <n v="5"/>
    <n v="97"/>
    <n v="2"/>
    <n v="5"/>
    <n v="5"/>
    <s v="255"/>
    <s v="At Risk"/>
    <s v="Churned"/>
    <x v="3"/>
  </r>
  <r>
    <s v="CUST_406"/>
    <d v="2024-07-22T00:00:00"/>
    <n v="3475"/>
    <n v="4"/>
    <n v="97"/>
    <n v="2"/>
    <n v="5"/>
    <n v="4"/>
    <s v="254"/>
    <s v="At Risk"/>
    <s v="Churned"/>
    <x v="3"/>
  </r>
  <r>
    <s v="CUST_407"/>
    <d v="2024-05-05T00:00:00"/>
    <n v="3625"/>
    <n v="3"/>
    <n v="175"/>
    <n v="1"/>
    <n v="4"/>
    <n v="4"/>
    <s v="144"/>
    <s v="At Risk"/>
    <s v="Churned"/>
    <x v="3"/>
  </r>
  <r>
    <s v="CUST_408"/>
    <d v="2024-06-23T00:00:00"/>
    <n v="1819"/>
    <n v="2"/>
    <n v="126"/>
    <n v="2"/>
    <n v="3"/>
    <n v="3"/>
    <s v="233"/>
    <s v="At Risk"/>
    <s v="Churned"/>
    <x v="3"/>
  </r>
  <r>
    <s v="CUST_409"/>
    <d v="2024-09-23T00:00:00"/>
    <n v="2749"/>
    <n v="5"/>
    <n v="34"/>
    <n v="4"/>
    <n v="5"/>
    <n v="4"/>
    <s v="454"/>
    <s v="Champions"/>
    <s v="Active"/>
    <x v="2"/>
  </r>
  <r>
    <s v="CUST_41"/>
    <d v="2024-07-12T00:00:00"/>
    <n v="1135"/>
    <n v="1"/>
    <n v="107"/>
    <n v="2"/>
    <n v="2"/>
    <n v="2"/>
    <s v="222"/>
    <s v="At Risk"/>
    <s v="Churned"/>
    <x v="3"/>
  </r>
  <r>
    <s v="CUST_410"/>
    <d v="2024-08-13T00:00:00"/>
    <n v="3482"/>
    <n v="4"/>
    <n v="75"/>
    <n v="3"/>
    <n v="5"/>
    <n v="4"/>
    <s v="354"/>
    <s v="Loyal Customers"/>
    <s v="Active"/>
    <x v="4"/>
  </r>
  <r>
    <s v="CUST_411"/>
    <d v="2024-09-04T00:00:00"/>
    <n v="6367"/>
    <n v="5"/>
    <n v="53"/>
    <n v="4"/>
    <n v="5"/>
    <n v="5"/>
    <s v="455"/>
    <s v="Champions"/>
    <s v="Active"/>
    <x v="2"/>
  </r>
  <r>
    <s v="CUST_412"/>
    <d v="2024-06-24T00:00:00"/>
    <n v="1712"/>
    <n v="2"/>
    <n v="125"/>
    <n v="2"/>
    <n v="3"/>
    <n v="3"/>
    <s v="233"/>
    <s v="At Risk"/>
    <s v="Churned"/>
    <x v="0"/>
  </r>
  <r>
    <s v="CUST_413"/>
    <d v="2024-09-03T00:00:00"/>
    <n v="3130"/>
    <n v="3"/>
    <n v="54"/>
    <n v="3"/>
    <n v="4"/>
    <n v="4"/>
    <s v="344"/>
    <s v="Loyal Customers"/>
    <s v="Active"/>
    <x v="2"/>
  </r>
  <r>
    <s v="CUST_414"/>
    <d v="2024-10-02T00:00:00"/>
    <n v="952"/>
    <n v="3"/>
    <n v="25"/>
    <n v="5"/>
    <n v="4"/>
    <n v="2"/>
    <s v="542"/>
    <s v="Recent Customers"/>
    <s v="Active"/>
    <x v="2"/>
  </r>
  <r>
    <s v="CUST_415"/>
    <d v="2024-09-12T00:00:00"/>
    <n v="2594"/>
    <n v="4"/>
    <n v="45"/>
    <n v="4"/>
    <n v="5"/>
    <n v="4"/>
    <s v="454"/>
    <s v="Champions"/>
    <s v="Active"/>
    <x v="2"/>
  </r>
  <r>
    <s v="CUST_416"/>
    <d v="2024-08-05T00:00:00"/>
    <n v="4243"/>
    <n v="5"/>
    <n v="83"/>
    <n v="3"/>
    <n v="5"/>
    <n v="5"/>
    <s v="355"/>
    <s v="Loyal Customers"/>
    <s v="Active"/>
    <x v="4"/>
  </r>
  <r>
    <s v="CUST_417"/>
    <d v="2024-08-16T00:00:00"/>
    <n v="2976"/>
    <n v="4"/>
    <n v="72"/>
    <n v="3"/>
    <n v="5"/>
    <n v="4"/>
    <s v="354"/>
    <s v="Loyal Customers"/>
    <s v="Active"/>
    <x v="0"/>
  </r>
  <r>
    <s v="CUST_418"/>
    <d v="2024-08-19T00:00:00"/>
    <n v="4390"/>
    <n v="4"/>
    <n v="69"/>
    <n v="3"/>
    <n v="5"/>
    <n v="5"/>
    <s v="355"/>
    <s v="Loyal Customers"/>
    <s v="Active"/>
    <x v="4"/>
  </r>
  <r>
    <s v="CUST_419"/>
    <d v="2024-10-17T00:00:00"/>
    <n v="5110"/>
    <n v="5"/>
    <n v="10"/>
    <n v="5"/>
    <n v="5"/>
    <n v="5"/>
    <s v="555"/>
    <s v="Champions"/>
    <s v="Active"/>
    <x v="0"/>
  </r>
  <r>
    <s v="CUST_42"/>
    <d v="2024-01-11T00:00:00"/>
    <n v="524"/>
    <n v="1"/>
    <n v="290"/>
    <n v="1"/>
    <n v="2"/>
    <n v="1"/>
    <s v="121"/>
    <s v="At Risk"/>
    <s v="Churned"/>
    <x v="1"/>
  </r>
  <r>
    <s v="CUST_420"/>
    <d v="2024-10-23T00:00:00"/>
    <n v="3859"/>
    <n v="5"/>
    <n v="4"/>
    <n v="5"/>
    <n v="5"/>
    <n v="5"/>
    <s v="555"/>
    <s v="Champions"/>
    <s v="Active"/>
    <x v="0"/>
  </r>
  <r>
    <s v="CUST_421"/>
    <d v="2024-09-12T00:00:00"/>
    <n v="1908"/>
    <n v="2"/>
    <n v="45"/>
    <n v="4"/>
    <n v="3"/>
    <n v="3"/>
    <s v="433"/>
    <s v="Loyal Customers"/>
    <s v="Active"/>
    <x v="2"/>
  </r>
  <r>
    <s v="CUST_422"/>
    <d v="2024-10-26T00:00:00"/>
    <n v="3091"/>
    <n v="2"/>
    <n v="1"/>
    <n v="5"/>
    <n v="3"/>
    <n v="4"/>
    <s v="534"/>
    <s v="Loyal Customers"/>
    <s v="Active"/>
    <x v="2"/>
  </r>
  <r>
    <s v="CUST_423"/>
    <d v="2024-09-19T00:00:00"/>
    <n v="1600"/>
    <n v="3"/>
    <n v="38"/>
    <n v="4"/>
    <n v="4"/>
    <n v="2"/>
    <s v="442"/>
    <s v="Recent Customers"/>
    <s v="Active"/>
    <x v="2"/>
  </r>
  <r>
    <s v="CUST_424"/>
    <d v="2024-08-29T00:00:00"/>
    <n v="5397"/>
    <n v="5"/>
    <n v="59"/>
    <n v="3"/>
    <n v="5"/>
    <n v="5"/>
    <s v="355"/>
    <s v="Loyal Customers"/>
    <s v="Active"/>
    <x v="2"/>
  </r>
  <r>
    <s v="CUST_425"/>
    <d v="2024-09-22T00:00:00"/>
    <n v="1480"/>
    <n v="2"/>
    <n v="35"/>
    <n v="4"/>
    <n v="3"/>
    <n v="2"/>
    <s v="432"/>
    <s v="Recent Customers"/>
    <s v="Active"/>
    <x v="0"/>
  </r>
  <r>
    <s v="CUST_426"/>
    <d v="2024-07-31T00:00:00"/>
    <n v="1963"/>
    <n v="3"/>
    <n v="88"/>
    <n v="3"/>
    <n v="4"/>
    <n v="3"/>
    <s v="343"/>
    <s v="Loyal Customers"/>
    <s v="Active"/>
    <x v="0"/>
  </r>
  <r>
    <s v="CUST_427"/>
    <d v="2024-10-12T00:00:00"/>
    <n v="3719"/>
    <n v="4"/>
    <n v="15"/>
    <n v="5"/>
    <n v="5"/>
    <n v="5"/>
    <s v="555"/>
    <s v="Champions"/>
    <s v="Active"/>
    <x v="2"/>
  </r>
  <r>
    <s v="CUST_428"/>
    <d v="2024-10-04T00:00:00"/>
    <n v="1506"/>
    <n v="3"/>
    <n v="23"/>
    <n v="5"/>
    <n v="4"/>
    <n v="2"/>
    <s v="542"/>
    <s v="Recent Customers"/>
    <s v="Active"/>
    <x v="2"/>
  </r>
  <r>
    <s v="CUST_429"/>
    <d v="2024-03-06T00:00:00"/>
    <n v="1170"/>
    <n v="2"/>
    <n v="235"/>
    <n v="1"/>
    <n v="3"/>
    <n v="2"/>
    <s v="132"/>
    <s v="At Risk"/>
    <s v="Churned"/>
    <x v="1"/>
  </r>
  <r>
    <s v="CUST_43"/>
    <d v="2024-04-04T00:00:00"/>
    <n v="816"/>
    <n v="1"/>
    <n v="206"/>
    <n v="1"/>
    <n v="2"/>
    <n v="1"/>
    <s v="121"/>
    <s v="At Risk"/>
    <s v="Churned"/>
    <x v="0"/>
  </r>
  <r>
    <s v="CUST_430"/>
    <d v="2024-05-14T00:00:00"/>
    <n v="1220"/>
    <n v="2"/>
    <n v="166"/>
    <n v="1"/>
    <n v="3"/>
    <n v="2"/>
    <s v="132"/>
    <s v="At Risk"/>
    <s v="Churned"/>
    <x v="0"/>
  </r>
  <r>
    <s v="CUST_431"/>
    <d v="2024-10-03T00:00:00"/>
    <n v="5498"/>
    <n v="4"/>
    <n v="24"/>
    <n v="5"/>
    <n v="5"/>
    <n v="5"/>
    <s v="555"/>
    <s v="Champions"/>
    <s v="Active"/>
    <x v="2"/>
  </r>
  <r>
    <s v="CUST_432"/>
    <d v="2024-10-11T00:00:00"/>
    <n v="2512"/>
    <n v="5"/>
    <n v="16"/>
    <n v="5"/>
    <n v="5"/>
    <n v="3"/>
    <s v="553"/>
    <s v="Loyal Customers"/>
    <s v="Active"/>
    <x v="2"/>
  </r>
  <r>
    <s v="CUST_433"/>
    <d v="2024-04-16T00:00:00"/>
    <n v="3139"/>
    <n v="4"/>
    <n v="194"/>
    <n v="1"/>
    <n v="5"/>
    <n v="4"/>
    <s v="154"/>
    <s v="At Risk"/>
    <s v="Churned"/>
    <x v="1"/>
  </r>
  <r>
    <s v="CUST_434"/>
    <d v="2024-07-22T00:00:00"/>
    <n v="3303"/>
    <n v="4"/>
    <n v="97"/>
    <n v="2"/>
    <n v="5"/>
    <n v="4"/>
    <s v="254"/>
    <s v="At Risk"/>
    <s v="Churned"/>
    <x v="3"/>
  </r>
  <r>
    <s v="CUST_435"/>
    <d v="2024-07-22T00:00:00"/>
    <n v="1782"/>
    <n v="3"/>
    <n v="97"/>
    <n v="2"/>
    <n v="4"/>
    <n v="3"/>
    <s v="243"/>
    <s v="At Risk"/>
    <s v="Churned"/>
    <x v="3"/>
  </r>
  <r>
    <s v="CUST_436"/>
    <d v="2024-06-23T00:00:00"/>
    <n v="3496"/>
    <n v="5"/>
    <n v="126"/>
    <n v="2"/>
    <n v="5"/>
    <n v="4"/>
    <s v="254"/>
    <s v="At Risk"/>
    <s v="Churned"/>
    <x v="0"/>
  </r>
  <r>
    <s v="CUST_437"/>
    <d v="2024-09-23T00:00:00"/>
    <n v="3599"/>
    <n v="4"/>
    <n v="34"/>
    <n v="4"/>
    <n v="5"/>
    <n v="4"/>
    <s v="454"/>
    <s v="Champions"/>
    <s v="Active"/>
    <x v="2"/>
  </r>
  <r>
    <s v="CUST_438"/>
    <d v="2024-10-14T00:00:00"/>
    <n v="3897"/>
    <n v="5"/>
    <n v="13"/>
    <n v="5"/>
    <n v="5"/>
    <n v="5"/>
    <s v="555"/>
    <s v="Champions"/>
    <s v="Active"/>
    <x v="2"/>
  </r>
  <r>
    <s v="CUST_439"/>
    <d v="2024-09-20T00:00:00"/>
    <n v="2664"/>
    <n v="3"/>
    <n v="37"/>
    <n v="4"/>
    <n v="4"/>
    <n v="4"/>
    <s v="444"/>
    <s v="Champions"/>
    <s v="Active"/>
    <x v="2"/>
  </r>
  <r>
    <s v="CUST_44"/>
    <d v="2024-07-21T00:00:00"/>
    <n v="1092"/>
    <n v="1"/>
    <n v="98"/>
    <n v="2"/>
    <n v="2"/>
    <n v="2"/>
    <s v="222"/>
    <s v="At Risk"/>
    <s v="Churned"/>
    <x v="0"/>
  </r>
  <r>
    <s v="CUST_440"/>
    <d v="2024-09-03T00:00:00"/>
    <n v="3319"/>
    <n v="5"/>
    <n v="54"/>
    <n v="3"/>
    <n v="5"/>
    <n v="4"/>
    <s v="354"/>
    <s v="Loyal Customers"/>
    <s v="Active"/>
    <x v="2"/>
  </r>
  <r>
    <s v="CUST_441"/>
    <d v="2024-10-15T00:00:00"/>
    <n v="2557"/>
    <n v="2"/>
    <n v="12"/>
    <n v="5"/>
    <n v="3"/>
    <n v="3"/>
    <s v="533"/>
    <s v="Loyal Customers"/>
    <s v="Active"/>
    <x v="2"/>
  </r>
  <r>
    <s v="CUST_442"/>
    <d v="2024-06-19T00:00:00"/>
    <n v="5137"/>
    <n v="4"/>
    <n v="130"/>
    <n v="2"/>
    <n v="5"/>
    <n v="5"/>
    <s v="255"/>
    <s v="At Risk"/>
    <s v="Churned"/>
    <x v="0"/>
  </r>
  <r>
    <s v="CUST_443"/>
    <d v="2024-08-29T00:00:00"/>
    <n v="2461"/>
    <n v="3"/>
    <n v="59"/>
    <n v="3"/>
    <n v="4"/>
    <n v="3"/>
    <s v="343"/>
    <s v="Loyal Customers"/>
    <s v="Active"/>
    <x v="2"/>
  </r>
  <r>
    <s v="CUST_444"/>
    <d v="2024-09-30T00:00:00"/>
    <n v="4431"/>
    <n v="4"/>
    <n v="27"/>
    <n v="5"/>
    <n v="5"/>
    <n v="5"/>
    <s v="555"/>
    <s v="Champions"/>
    <s v="Active"/>
    <x v="2"/>
  </r>
  <r>
    <s v="CUST_445"/>
    <d v="2024-06-21T00:00:00"/>
    <n v="3934"/>
    <n v="3"/>
    <n v="128"/>
    <n v="2"/>
    <n v="4"/>
    <n v="5"/>
    <s v="245"/>
    <s v="At Risk"/>
    <s v="Churned"/>
    <x v="3"/>
  </r>
  <r>
    <s v="CUST_446"/>
    <d v="2024-09-18T00:00:00"/>
    <n v="1594"/>
    <n v="2"/>
    <n v="39"/>
    <n v="4"/>
    <n v="3"/>
    <n v="2"/>
    <s v="432"/>
    <s v="Recent Customers"/>
    <s v="Active"/>
    <x v="0"/>
  </r>
  <r>
    <s v="CUST_447"/>
    <d v="2024-09-23T00:00:00"/>
    <n v="4251"/>
    <n v="4"/>
    <n v="34"/>
    <n v="4"/>
    <n v="5"/>
    <n v="5"/>
    <s v="455"/>
    <s v="Champions"/>
    <s v="Active"/>
    <x v="0"/>
  </r>
  <r>
    <s v="CUST_448"/>
    <d v="2024-10-12T00:00:00"/>
    <n v="2021"/>
    <n v="3"/>
    <n v="15"/>
    <n v="5"/>
    <n v="4"/>
    <n v="3"/>
    <s v="543"/>
    <s v="Loyal Customers"/>
    <s v="Active"/>
    <x v="0"/>
  </r>
  <r>
    <s v="CUST_449"/>
    <d v="2024-10-01T00:00:00"/>
    <n v="2537"/>
    <n v="5"/>
    <n v="26"/>
    <n v="5"/>
    <n v="5"/>
    <n v="3"/>
    <s v="553"/>
    <s v="Loyal Customers"/>
    <s v="Active"/>
    <x v="2"/>
  </r>
  <r>
    <s v="CUST_45"/>
    <d v="2024-10-16T00:00:00"/>
    <n v="866"/>
    <n v="1"/>
    <n v="11"/>
    <n v="5"/>
    <n v="2"/>
    <n v="2"/>
    <s v="522"/>
    <s v="Recent Customers"/>
    <s v="Active"/>
    <x v="0"/>
  </r>
  <r>
    <s v="CUST_450"/>
    <d v="2024-07-12T00:00:00"/>
    <n v="1584"/>
    <n v="2"/>
    <n v="107"/>
    <n v="2"/>
    <n v="3"/>
    <n v="2"/>
    <s v="232"/>
    <s v="At Risk"/>
    <s v="Churned"/>
    <x v="3"/>
  </r>
  <r>
    <s v="CUST_451"/>
    <d v="2024-10-16T00:00:00"/>
    <n v="4127"/>
    <n v="4"/>
    <n v="11"/>
    <n v="5"/>
    <n v="5"/>
    <n v="5"/>
    <s v="555"/>
    <s v="Champions"/>
    <s v="Active"/>
    <x v="0"/>
  </r>
  <r>
    <s v="CUST_452"/>
    <d v="2024-07-09T00:00:00"/>
    <n v="1525"/>
    <n v="3"/>
    <n v="110"/>
    <n v="2"/>
    <n v="4"/>
    <n v="2"/>
    <s v="242"/>
    <s v="At Risk"/>
    <s v="Churned"/>
    <x v="3"/>
  </r>
  <r>
    <s v="CUST_453"/>
    <d v="2024-10-16T00:00:00"/>
    <n v="2410"/>
    <n v="5"/>
    <n v="11"/>
    <n v="5"/>
    <n v="5"/>
    <n v="3"/>
    <s v="553"/>
    <s v="Loyal Customers"/>
    <s v="Active"/>
    <x v="0"/>
  </r>
  <r>
    <s v="CUST_454"/>
    <d v="2024-09-10T00:00:00"/>
    <n v="2023"/>
    <n v="2"/>
    <n v="47"/>
    <n v="4"/>
    <n v="3"/>
    <n v="3"/>
    <s v="433"/>
    <s v="Loyal Customers"/>
    <s v="Active"/>
    <x v="0"/>
  </r>
  <r>
    <s v="CUST_455"/>
    <d v="2024-10-22T00:00:00"/>
    <n v="2010"/>
    <n v="3"/>
    <n v="5"/>
    <n v="5"/>
    <n v="4"/>
    <n v="3"/>
    <s v="543"/>
    <s v="Loyal Customers"/>
    <s v="Active"/>
    <x v="2"/>
  </r>
  <r>
    <s v="CUST_456"/>
    <d v="2024-10-02T00:00:00"/>
    <n v="3571"/>
    <n v="4"/>
    <n v="25"/>
    <n v="5"/>
    <n v="5"/>
    <n v="4"/>
    <s v="554"/>
    <s v="Champions"/>
    <s v="Active"/>
    <x v="2"/>
  </r>
  <r>
    <s v="CUST_457"/>
    <d v="2024-09-23T00:00:00"/>
    <n v="2737"/>
    <n v="3"/>
    <n v="34"/>
    <n v="4"/>
    <n v="4"/>
    <n v="4"/>
    <s v="444"/>
    <s v="Champions"/>
    <s v="Active"/>
    <x v="2"/>
  </r>
  <r>
    <s v="CUST_458"/>
    <d v="2024-06-26T00:00:00"/>
    <n v="3651"/>
    <n v="3"/>
    <n v="123"/>
    <n v="2"/>
    <n v="4"/>
    <n v="4"/>
    <s v="244"/>
    <s v="At Risk"/>
    <s v="Churned"/>
    <x v="3"/>
  </r>
  <r>
    <s v="CUST_459"/>
    <d v="2024-08-10T00:00:00"/>
    <n v="1234"/>
    <n v="2"/>
    <n v="78"/>
    <n v="3"/>
    <n v="3"/>
    <n v="2"/>
    <s v="332"/>
    <s v="Potential Loyalist"/>
    <s v="Active"/>
    <x v="4"/>
  </r>
  <r>
    <s v="CUST_46"/>
    <d v="2024-09-11T00:00:00"/>
    <n v="2225"/>
    <n v="1"/>
    <n v="46"/>
    <n v="4"/>
    <n v="2"/>
    <n v="3"/>
    <s v="423"/>
    <s v="Recent Customers"/>
    <s v="Active"/>
    <x v="2"/>
  </r>
  <r>
    <s v="CUST_460"/>
    <d v="2024-09-21T00:00:00"/>
    <n v="4065"/>
    <n v="4"/>
    <n v="36"/>
    <n v="4"/>
    <n v="5"/>
    <n v="5"/>
    <s v="455"/>
    <s v="Champions"/>
    <s v="Active"/>
    <x v="2"/>
  </r>
  <r>
    <s v="CUST_461"/>
    <d v="2024-04-19T00:00:00"/>
    <n v="3016"/>
    <n v="4"/>
    <n v="191"/>
    <n v="1"/>
    <n v="5"/>
    <n v="4"/>
    <s v="154"/>
    <s v="At Risk"/>
    <s v="Churned"/>
    <x v="1"/>
  </r>
  <r>
    <s v="CUST_462"/>
    <d v="2024-08-08T00:00:00"/>
    <n v="3470"/>
    <n v="3"/>
    <n v="80"/>
    <n v="3"/>
    <n v="4"/>
    <n v="4"/>
    <s v="344"/>
    <s v="Loyal Customers"/>
    <s v="Active"/>
    <x v="4"/>
  </r>
  <r>
    <s v="CUST_463"/>
    <d v="2024-08-19T00:00:00"/>
    <n v="4258"/>
    <n v="3"/>
    <n v="69"/>
    <n v="3"/>
    <n v="4"/>
    <n v="5"/>
    <s v="345"/>
    <s v="Loyal Customers"/>
    <s v="Active"/>
    <x v="4"/>
  </r>
  <r>
    <s v="CUST_464"/>
    <d v="2024-08-19T00:00:00"/>
    <n v="2814"/>
    <n v="3"/>
    <n v="69"/>
    <n v="3"/>
    <n v="4"/>
    <n v="4"/>
    <s v="344"/>
    <s v="Loyal Customers"/>
    <s v="Active"/>
    <x v="0"/>
  </r>
  <r>
    <s v="CUST_465"/>
    <d v="2024-06-20T00:00:00"/>
    <n v="2294"/>
    <n v="2"/>
    <n v="129"/>
    <n v="2"/>
    <n v="3"/>
    <n v="3"/>
    <s v="233"/>
    <s v="At Risk"/>
    <s v="Churned"/>
    <x v="3"/>
  </r>
  <r>
    <s v="CUST_466"/>
    <d v="2024-10-23T00:00:00"/>
    <n v="1807"/>
    <n v="4"/>
    <n v="4"/>
    <n v="5"/>
    <n v="5"/>
    <n v="3"/>
    <s v="553"/>
    <s v="Loyal Customers"/>
    <s v="Active"/>
    <x v="0"/>
  </r>
  <r>
    <s v="CUST_467"/>
    <d v="2024-09-26T00:00:00"/>
    <n v="2636"/>
    <n v="5"/>
    <n v="31"/>
    <n v="4"/>
    <n v="5"/>
    <n v="4"/>
    <s v="454"/>
    <s v="Champions"/>
    <s v="Active"/>
    <x v="2"/>
  </r>
  <r>
    <s v="CUST_468"/>
    <d v="2024-10-09T00:00:00"/>
    <n v="824"/>
    <n v="2"/>
    <n v="18"/>
    <n v="5"/>
    <n v="3"/>
    <n v="1"/>
    <s v="531"/>
    <s v="Recent Customers"/>
    <s v="Active"/>
    <x v="2"/>
  </r>
  <r>
    <s v="CUST_469"/>
    <d v="2024-07-11T00:00:00"/>
    <n v="2052"/>
    <n v="2"/>
    <n v="108"/>
    <n v="2"/>
    <n v="3"/>
    <n v="3"/>
    <s v="233"/>
    <s v="At Risk"/>
    <s v="Churned"/>
    <x v="0"/>
  </r>
  <r>
    <s v="CUST_47"/>
    <d v="2024-04-07T00:00:00"/>
    <n v="836"/>
    <n v="1"/>
    <n v="203"/>
    <n v="1"/>
    <n v="2"/>
    <n v="1"/>
    <s v="121"/>
    <s v="At Risk"/>
    <s v="Churned"/>
    <x v="0"/>
  </r>
  <r>
    <s v="CUST_470"/>
    <d v="2024-10-21T00:00:00"/>
    <n v="5138"/>
    <n v="5"/>
    <n v="6"/>
    <n v="5"/>
    <n v="5"/>
    <n v="5"/>
    <s v="555"/>
    <s v="Champions"/>
    <s v="Active"/>
    <x v="0"/>
  </r>
  <r>
    <s v="CUST_471"/>
    <d v="2024-09-30T00:00:00"/>
    <n v="3231"/>
    <n v="3"/>
    <n v="27"/>
    <n v="5"/>
    <n v="4"/>
    <n v="4"/>
    <s v="544"/>
    <s v="Champions"/>
    <s v="Active"/>
    <x v="2"/>
  </r>
  <r>
    <s v="CUST_472"/>
    <d v="2024-10-22T00:00:00"/>
    <n v="2683"/>
    <n v="4"/>
    <n v="5"/>
    <n v="5"/>
    <n v="5"/>
    <n v="4"/>
    <s v="554"/>
    <s v="Champions"/>
    <s v="Active"/>
    <x v="2"/>
  </r>
  <r>
    <s v="CUST_473"/>
    <d v="2024-09-19T00:00:00"/>
    <n v="7022"/>
    <n v="5"/>
    <n v="38"/>
    <n v="4"/>
    <n v="5"/>
    <n v="5"/>
    <s v="455"/>
    <s v="Champions"/>
    <s v="Active"/>
    <x v="2"/>
  </r>
  <r>
    <s v="CUST_474"/>
    <d v="2024-06-17T00:00:00"/>
    <n v="3375"/>
    <n v="4"/>
    <n v="132"/>
    <n v="2"/>
    <n v="5"/>
    <n v="4"/>
    <s v="254"/>
    <s v="At Risk"/>
    <s v="Churned"/>
    <x v="0"/>
  </r>
  <r>
    <s v="CUST_475"/>
    <d v="2024-04-04T00:00:00"/>
    <n v="1832"/>
    <n v="2"/>
    <n v="206"/>
    <n v="1"/>
    <n v="3"/>
    <n v="3"/>
    <s v="133"/>
    <s v="At Risk"/>
    <s v="Churned"/>
    <x v="1"/>
  </r>
  <r>
    <s v="CUST_476"/>
    <d v="2024-09-29T00:00:00"/>
    <n v="2978"/>
    <n v="2"/>
    <n v="28"/>
    <n v="4"/>
    <n v="3"/>
    <n v="4"/>
    <s v="434"/>
    <s v="Loyal Customers"/>
    <s v="Active"/>
    <x v="2"/>
  </r>
  <r>
    <s v="CUST_477"/>
    <d v="2024-07-19T00:00:00"/>
    <n v="1817"/>
    <n v="3"/>
    <n v="100"/>
    <n v="2"/>
    <n v="4"/>
    <n v="3"/>
    <s v="243"/>
    <s v="At Risk"/>
    <s v="Churned"/>
    <x v="0"/>
  </r>
  <r>
    <s v="CUST_478"/>
    <d v="2024-05-14T00:00:00"/>
    <n v="1268"/>
    <n v="2"/>
    <n v="166"/>
    <n v="1"/>
    <n v="3"/>
    <n v="2"/>
    <s v="132"/>
    <s v="At Risk"/>
    <s v="Churned"/>
    <x v="3"/>
  </r>
  <r>
    <s v="CUST_479"/>
    <d v="2024-10-25T00:00:00"/>
    <n v="2858"/>
    <n v="3"/>
    <n v="2"/>
    <n v="5"/>
    <n v="4"/>
    <n v="4"/>
    <s v="544"/>
    <s v="Champions"/>
    <s v="Active"/>
    <x v="2"/>
  </r>
  <r>
    <s v="CUST_48"/>
    <d v="2024-07-09T00:00:00"/>
    <n v="428"/>
    <n v="1"/>
    <n v="110"/>
    <n v="2"/>
    <n v="2"/>
    <n v="1"/>
    <s v="221"/>
    <s v="At Risk"/>
    <s v="Churned"/>
    <x v="3"/>
  </r>
  <r>
    <s v="CUST_480"/>
    <d v="2024-09-21T00:00:00"/>
    <n v="3166"/>
    <n v="5"/>
    <n v="36"/>
    <n v="4"/>
    <n v="5"/>
    <n v="4"/>
    <s v="454"/>
    <s v="Champions"/>
    <s v="Active"/>
    <x v="2"/>
  </r>
  <r>
    <s v="CUST_481"/>
    <d v="2024-09-18T00:00:00"/>
    <n v="3704"/>
    <n v="3"/>
    <n v="39"/>
    <n v="4"/>
    <n v="4"/>
    <n v="5"/>
    <s v="445"/>
    <s v="Champions"/>
    <s v="Active"/>
    <x v="2"/>
  </r>
  <r>
    <s v="CUST_482"/>
    <d v="2024-09-02T00:00:00"/>
    <n v="1664"/>
    <n v="2"/>
    <n v="55"/>
    <n v="3"/>
    <n v="3"/>
    <n v="3"/>
    <s v="333"/>
    <s v="Loyal Customers"/>
    <s v="Active"/>
    <x v="2"/>
  </r>
  <r>
    <s v="CUST_483"/>
    <d v="2024-09-01T00:00:00"/>
    <n v="3192"/>
    <n v="4"/>
    <n v="56"/>
    <n v="3"/>
    <n v="5"/>
    <n v="4"/>
    <s v="354"/>
    <s v="Loyal Customers"/>
    <s v="Active"/>
    <x v="2"/>
  </r>
  <r>
    <s v="CUST_484"/>
    <d v="2024-09-14T00:00:00"/>
    <n v="2577"/>
    <n v="5"/>
    <n v="43"/>
    <n v="4"/>
    <n v="5"/>
    <n v="3"/>
    <s v="453"/>
    <s v="Loyal Customers"/>
    <s v="Active"/>
    <x v="2"/>
  </r>
  <r>
    <s v="CUST_485"/>
    <d v="2024-09-16T00:00:00"/>
    <n v="6291"/>
    <n v="4"/>
    <n v="41"/>
    <n v="4"/>
    <n v="5"/>
    <n v="5"/>
    <s v="455"/>
    <s v="Champions"/>
    <s v="Active"/>
    <x v="2"/>
  </r>
  <r>
    <s v="CUST_486"/>
    <d v="2024-04-12T00:00:00"/>
    <n v="1406"/>
    <n v="2"/>
    <n v="198"/>
    <n v="1"/>
    <n v="3"/>
    <n v="2"/>
    <s v="132"/>
    <s v="At Risk"/>
    <s v="Churned"/>
    <x v="0"/>
  </r>
  <r>
    <s v="CUST_487"/>
    <d v="2024-04-22T00:00:00"/>
    <n v="897"/>
    <n v="2"/>
    <n v="188"/>
    <n v="1"/>
    <n v="3"/>
    <n v="2"/>
    <s v="132"/>
    <s v="At Risk"/>
    <s v="Churned"/>
    <x v="1"/>
  </r>
  <r>
    <s v="CUST_488"/>
    <d v="2024-10-22T00:00:00"/>
    <n v="5054"/>
    <n v="5"/>
    <n v="5"/>
    <n v="5"/>
    <n v="5"/>
    <n v="5"/>
    <s v="555"/>
    <s v="Champions"/>
    <s v="Active"/>
    <x v="2"/>
  </r>
  <r>
    <s v="CUST_489"/>
    <d v="2024-09-16T00:00:00"/>
    <n v="2921"/>
    <n v="2"/>
    <n v="41"/>
    <n v="4"/>
    <n v="3"/>
    <n v="4"/>
    <s v="434"/>
    <s v="Loyal Customers"/>
    <s v="Active"/>
    <x v="2"/>
  </r>
  <r>
    <s v="CUST_49"/>
    <d v="2024-04-29T00:00:00"/>
    <n v="336"/>
    <n v="1"/>
    <n v="181"/>
    <n v="1"/>
    <n v="2"/>
    <n v="1"/>
    <s v="121"/>
    <s v="At Risk"/>
    <s v="Churned"/>
    <x v="0"/>
  </r>
  <r>
    <s v="CUST_490"/>
    <d v="2024-09-14T00:00:00"/>
    <n v="1484"/>
    <n v="3"/>
    <n v="43"/>
    <n v="4"/>
    <n v="4"/>
    <n v="2"/>
    <s v="442"/>
    <s v="Recent Customers"/>
    <s v="Active"/>
    <x v="2"/>
  </r>
  <r>
    <s v="CUST_491"/>
    <d v="2024-10-21T00:00:00"/>
    <n v="4664"/>
    <n v="4"/>
    <n v="6"/>
    <n v="5"/>
    <n v="5"/>
    <n v="5"/>
    <s v="555"/>
    <s v="Champions"/>
    <s v="Active"/>
    <x v="2"/>
  </r>
  <r>
    <s v="CUST_492"/>
    <d v="2024-09-11T00:00:00"/>
    <n v="2801"/>
    <n v="3"/>
    <n v="46"/>
    <n v="4"/>
    <n v="4"/>
    <n v="4"/>
    <s v="444"/>
    <s v="Champions"/>
    <s v="Active"/>
    <x v="0"/>
  </r>
  <r>
    <s v="CUST_493"/>
    <d v="2024-06-27T00:00:00"/>
    <n v="2215"/>
    <n v="2"/>
    <n v="122"/>
    <n v="2"/>
    <n v="3"/>
    <n v="3"/>
    <s v="233"/>
    <s v="At Risk"/>
    <s v="Churned"/>
    <x v="3"/>
  </r>
  <r>
    <s v="CUST_494"/>
    <d v="2024-10-05T00:00:00"/>
    <n v="2071"/>
    <n v="3"/>
    <n v="22"/>
    <n v="5"/>
    <n v="4"/>
    <n v="3"/>
    <s v="543"/>
    <s v="Loyal Customers"/>
    <s v="Active"/>
    <x v="2"/>
  </r>
  <r>
    <s v="CUST_495"/>
    <d v="2024-09-08T00:00:00"/>
    <n v="1841"/>
    <n v="2"/>
    <n v="49"/>
    <n v="4"/>
    <n v="3"/>
    <n v="3"/>
    <s v="433"/>
    <s v="Loyal Customers"/>
    <s v="Active"/>
    <x v="0"/>
  </r>
  <r>
    <s v="CUST_496"/>
    <d v="2024-09-04T00:00:00"/>
    <n v="1946"/>
    <n v="5"/>
    <n v="53"/>
    <n v="4"/>
    <n v="5"/>
    <n v="3"/>
    <s v="453"/>
    <s v="Loyal Customers"/>
    <s v="Active"/>
    <x v="0"/>
  </r>
  <r>
    <s v="CUST_497"/>
    <d v="2024-10-17T00:00:00"/>
    <n v="1509"/>
    <n v="3"/>
    <n v="10"/>
    <n v="5"/>
    <n v="4"/>
    <n v="2"/>
    <s v="542"/>
    <s v="Recent Customers"/>
    <s v="Active"/>
    <x v="2"/>
  </r>
  <r>
    <s v="CUST_498"/>
    <d v="2024-10-27T00:00:00"/>
    <n v="1528"/>
    <n v="3"/>
    <n v="0"/>
    <n v="5"/>
    <n v="4"/>
    <n v="2"/>
    <s v="542"/>
    <s v="Recent Customers"/>
    <s v="Active"/>
    <x v="2"/>
  </r>
  <r>
    <s v="CUST_499"/>
    <d v="2024-06-12T00:00:00"/>
    <n v="1558"/>
    <n v="2"/>
    <n v="137"/>
    <n v="2"/>
    <n v="3"/>
    <n v="2"/>
    <s v="232"/>
    <s v="At Risk"/>
    <s v="Churned"/>
    <x v="3"/>
  </r>
  <r>
    <s v="CUST_5"/>
    <d v="2024-03-08T00:00:00"/>
    <n v="1565"/>
    <n v="1"/>
    <n v="233"/>
    <n v="1"/>
    <n v="2"/>
    <n v="2"/>
    <s v="122"/>
    <s v="At Risk"/>
    <s v="Churned"/>
    <x v="1"/>
  </r>
  <r>
    <s v="CUST_50"/>
    <d v="2024-06-24T00:00:00"/>
    <n v="1392"/>
    <n v="1"/>
    <n v="125"/>
    <n v="2"/>
    <n v="2"/>
    <n v="2"/>
    <s v="222"/>
    <s v="At Risk"/>
    <s v="Churned"/>
    <x v="3"/>
  </r>
  <r>
    <s v="CUST_500"/>
    <d v="2024-09-15T00:00:00"/>
    <n v="5003"/>
    <n v="5"/>
    <n v="42"/>
    <n v="4"/>
    <n v="5"/>
    <n v="5"/>
    <s v="455"/>
    <s v="Champions"/>
    <s v="Active"/>
    <x v="2"/>
  </r>
  <r>
    <s v="CUST_501"/>
    <d v="2024-08-25T00:00:00"/>
    <n v="3851"/>
    <n v="4"/>
    <n v="63"/>
    <n v="3"/>
    <n v="5"/>
    <n v="5"/>
    <s v="355"/>
    <s v="Loyal Customers"/>
    <s v="Active"/>
    <x v="4"/>
  </r>
  <r>
    <s v="CUST_502"/>
    <d v="2024-09-12T00:00:00"/>
    <n v="5016"/>
    <n v="5"/>
    <n v="45"/>
    <n v="4"/>
    <n v="5"/>
    <n v="5"/>
    <s v="455"/>
    <s v="Champions"/>
    <s v="Active"/>
    <x v="2"/>
  </r>
  <r>
    <s v="CUST_503"/>
    <d v="2024-09-09T00:00:00"/>
    <n v="1384"/>
    <n v="2"/>
    <n v="48"/>
    <n v="4"/>
    <n v="3"/>
    <n v="2"/>
    <s v="432"/>
    <s v="Recent Customers"/>
    <s v="Active"/>
    <x v="2"/>
  </r>
  <r>
    <s v="CUST_504"/>
    <d v="2024-08-03T00:00:00"/>
    <n v="5393"/>
    <n v="5"/>
    <n v="85"/>
    <n v="3"/>
    <n v="5"/>
    <n v="5"/>
    <s v="355"/>
    <s v="Loyal Customers"/>
    <s v="Active"/>
    <x v="4"/>
  </r>
  <r>
    <s v="CUST_505"/>
    <d v="2024-03-22T00:00:00"/>
    <n v="1732"/>
    <n v="2"/>
    <n v="219"/>
    <n v="1"/>
    <n v="3"/>
    <n v="3"/>
    <s v="133"/>
    <s v="At Risk"/>
    <s v="Churned"/>
    <x v="1"/>
  </r>
  <r>
    <s v="CUST_506"/>
    <d v="2024-09-13T00:00:00"/>
    <n v="4921"/>
    <n v="5"/>
    <n v="44"/>
    <n v="4"/>
    <n v="5"/>
    <n v="5"/>
    <s v="455"/>
    <s v="Champions"/>
    <s v="Active"/>
    <x v="2"/>
  </r>
  <r>
    <s v="CUST_507"/>
    <d v="2024-04-23T00:00:00"/>
    <n v="2707"/>
    <n v="3"/>
    <n v="187"/>
    <n v="1"/>
    <n v="4"/>
    <n v="4"/>
    <s v="144"/>
    <s v="At Risk"/>
    <s v="Churned"/>
    <x v="1"/>
  </r>
  <r>
    <s v="CUST_508"/>
    <d v="2024-06-25T00:00:00"/>
    <n v="943"/>
    <n v="2"/>
    <n v="124"/>
    <n v="2"/>
    <n v="3"/>
    <n v="2"/>
    <s v="232"/>
    <s v="At Risk"/>
    <s v="Churned"/>
    <x v="3"/>
  </r>
  <r>
    <s v="CUST_509"/>
    <d v="2024-07-17T00:00:00"/>
    <n v="1984"/>
    <n v="2"/>
    <n v="102"/>
    <n v="2"/>
    <n v="3"/>
    <n v="3"/>
    <s v="233"/>
    <s v="At Risk"/>
    <s v="Churned"/>
    <x v="3"/>
  </r>
  <r>
    <s v="CUST_51"/>
    <d v="2024-07-16T00:00:00"/>
    <n v="395"/>
    <n v="1"/>
    <n v="103"/>
    <n v="2"/>
    <n v="2"/>
    <n v="1"/>
    <s v="221"/>
    <s v="At Risk"/>
    <s v="Churned"/>
    <x v="0"/>
  </r>
  <r>
    <s v="CUST_510"/>
    <d v="2024-08-26T00:00:00"/>
    <n v="3783"/>
    <n v="4"/>
    <n v="62"/>
    <n v="3"/>
    <n v="5"/>
    <n v="5"/>
    <s v="355"/>
    <s v="Loyal Customers"/>
    <s v="Active"/>
    <x v="4"/>
  </r>
  <r>
    <s v="CUST_511"/>
    <d v="2024-09-30T00:00:00"/>
    <n v="2123"/>
    <n v="4"/>
    <n v="27"/>
    <n v="5"/>
    <n v="5"/>
    <n v="3"/>
    <s v="553"/>
    <s v="Loyal Customers"/>
    <s v="Active"/>
    <x v="2"/>
  </r>
  <r>
    <s v="CUST_512"/>
    <d v="2024-08-02T00:00:00"/>
    <n v="1815"/>
    <n v="2"/>
    <n v="86"/>
    <n v="3"/>
    <n v="3"/>
    <n v="3"/>
    <s v="333"/>
    <s v="Loyal Customers"/>
    <s v="Active"/>
    <x v="0"/>
  </r>
  <r>
    <s v="CUST_513"/>
    <d v="2024-04-18T00:00:00"/>
    <n v="3752"/>
    <n v="4"/>
    <n v="192"/>
    <n v="1"/>
    <n v="5"/>
    <n v="5"/>
    <s v="155"/>
    <s v="At Risk"/>
    <s v="Churned"/>
    <x v="1"/>
  </r>
  <r>
    <s v="CUST_514"/>
    <d v="2024-09-27T00:00:00"/>
    <n v="954"/>
    <n v="2"/>
    <n v="30"/>
    <n v="4"/>
    <n v="3"/>
    <n v="2"/>
    <s v="432"/>
    <s v="Recent Customers"/>
    <s v="Active"/>
    <x v="2"/>
  </r>
  <r>
    <s v="CUST_515"/>
    <d v="2024-07-11T00:00:00"/>
    <n v="2138"/>
    <n v="4"/>
    <n v="108"/>
    <n v="2"/>
    <n v="5"/>
    <n v="3"/>
    <s v="253"/>
    <s v="At Risk"/>
    <s v="Churned"/>
    <x v="3"/>
  </r>
  <r>
    <s v="CUST_516"/>
    <d v="2024-09-09T00:00:00"/>
    <n v="1620"/>
    <n v="2"/>
    <n v="48"/>
    <n v="4"/>
    <n v="3"/>
    <n v="3"/>
    <s v="433"/>
    <s v="Loyal Customers"/>
    <s v="Active"/>
    <x v="0"/>
  </r>
  <r>
    <s v="CUST_517"/>
    <d v="2024-07-05T00:00:00"/>
    <n v="2110"/>
    <n v="3"/>
    <n v="114"/>
    <n v="2"/>
    <n v="4"/>
    <n v="3"/>
    <s v="243"/>
    <s v="At Risk"/>
    <s v="Churned"/>
    <x v="3"/>
  </r>
  <r>
    <s v="CUST_518"/>
    <d v="2024-10-14T00:00:00"/>
    <n v="4264"/>
    <n v="5"/>
    <n v="13"/>
    <n v="5"/>
    <n v="5"/>
    <n v="5"/>
    <s v="555"/>
    <s v="Champions"/>
    <s v="Active"/>
    <x v="2"/>
  </r>
  <r>
    <s v="CUST_519"/>
    <d v="2024-08-19T00:00:00"/>
    <n v="1036"/>
    <n v="2"/>
    <n v="69"/>
    <n v="3"/>
    <n v="3"/>
    <n v="2"/>
    <s v="332"/>
    <s v="Potential Loyalist"/>
    <s v="Active"/>
    <x v="0"/>
  </r>
  <r>
    <s v="CUST_52"/>
    <d v="2024-04-22T00:00:00"/>
    <n v="2160"/>
    <n v="1"/>
    <n v="188"/>
    <n v="1"/>
    <n v="2"/>
    <n v="3"/>
    <s v="123"/>
    <s v="At Risk"/>
    <s v="Churned"/>
    <x v="0"/>
  </r>
  <r>
    <s v="CUST_520"/>
    <d v="2024-10-18T00:00:00"/>
    <n v="4193"/>
    <n v="5"/>
    <n v="9"/>
    <n v="5"/>
    <n v="5"/>
    <n v="5"/>
    <s v="555"/>
    <s v="Champions"/>
    <s v="Active"/>
    <x v="2"/>
  </r>
  <r>
    <s v="CUST_521"/>
    <d v="2024-10-03T00:00:00"/>
    <n v="4364"/>
    <n v="4"/>
    <n v="24"/>
    <n v="5"/>
    <n v="5"/>
    <n v="5"/>
    <s v="555"/>
    <s v="Champions"/>
    <s v="Active"/>
    <x v="2"/>
  </r>
  <r>
    <s v="CUST_522"/>
    <d v="2024-08-31T00:00:00"/>
    <n v="2115"/>
    <n v="3"/>
    <n v="57"/>
    <n v="3"/>
    <n v="4"/>
    <n v="3"/>
    <s v="343"/>
    <s v="Loyal Customers"/>
    <s v="Active"/>
    <x v="2"/>
  </r>
  <r>
    <s v="CUST_523"/>
    <d v="2024-07-24T00:00:00"/>
    <n v="740"/>
    <n v="2"/>
    <n v="95"/>
    <n v="2"/>
    <n v="3"/>
    <n v="1"/>
    <s v="231"/>
    <s v="At Risk"/>
    <s v="Churned"/>
    <x v="3"/>
  </r>
  <r>
    <s v="CUST_524"/>
    <d v="2024-09-25T00:00:00"/>
    <n v="4932"/>
    <n v="4"/>
    <n v="32"/>
    <n v="4"/>
    <n v="5"/>
    <n v="5"/>
    <s v="455"/>
    <s v="Champions"/>
    <s v="Active"/>
    <x v="0"/>
  </r>
  <r>
    <s v="CUST_525"/>
    <d v="2024-04-19T00:00:00"/>
    <n v="3632"/>
    <n v="2"/>
    <n v="191"/>
    <n v="1"/>
    <n v="3"/>
    <n v="4"/>
    <s v="134"/>
    <s v="At Risk"/>
    <s v="Churned"/>
    <x v="1"/>
  </r>
  <r>
    <s v="CUST_526"/>
    <d v="2024-10-19T00:00:00"/>
    <n v="2696"/>
    <n v="4"/>
    <n v="8"/>
    <n v="5"/>
    <n v="5"/>
    <n v="4"/>
    <s v="554"/>
    <s v="Champions"/>
    <s v="Active"/>
    <x v="2"/>
  </r>
  <r>
    <s v="CUST_527"/>
    <d v="2024-08-09T00:00:00"/>
    <n v="3684"/>
    <n v="2"/>
    <n v="79"/>
    <n v="3"/>
    <n v="3"/>
    <n v="5"/>
    <s v="335"/>
    <s v="Loyal Customers"/>
    <s v="Active"/>
    <x v="4"/>
  </r>
  <r>
    <s v="CUST_528"/>
    <d v="2024-05-28T00:00:00"/>
    <n v="4104"/>
    <n v="4"/>
    <n v="152"/>
    <n v="1"/>
    <n v="5"/>
    <n v="5"/>
    <s v="155"/>
    <s v="At Risk"/>
    <s v="Churned"/>
    <x v="3"/>
  </r>
  <r>
    <s v="CUST_529"/>
    <d v="2024-05-31T00:00:00"/>
    <n v="5250"/>
    <n v="3"/>
    <n v="149"/>
    <n v="2"/>
    <n v="4"/>
    <n v="5"/>
    <s v="245"/>
    <s v="At Risk"/>
    <s v="Churned"/>
    <x v="0"/>
  </r>
  <r>
    <s v="CUST_53"/>
    <d v="2024-02-01T00:00:00"/>
    <n v="394"/>
    <n v="1"/>
    <n v="269"/>
    <n v="1"/>
    <n v="2"/>
    <n v="1"/>
    <s v="121"/>
    <s v="At Risk"/>
    <s v="Churned"/>
    <x v="0"/>
  </r>
  <r>
    <s v="CUST_530"/>
    <d v="2024-10-17T00:00:00"/>
    <n v="2350"/>
    <n v="5"/>
    <n v="10"/>
    <n v="5"/>
    <n v="5"/>
    <n v="3"/>
    <s v="553"/>
    <s v="Loyal Customers"/>
    <s v="Active"/>
    <x v="0"/>
  </r>
  <r>
    <s v="CUST_531"/>
    <d v="2024-10-15T00:00:00"/>
    <n v="3711"/>
    <n v="4"/>
    <n v="12"/>
    <n v="5"/>
    <n v="5"/>
    <n v="5"/>
    <s v="555"/>
    <s v="Champions"/>
    <s v="Active"/>
    <x v="2"/>
  </r>
  <r>
    <s v="CUST_532"/>
    <d v="2024-10-19T00:00:00"/>
    <n v="3788"/>
    <n v="4"/>
    <n v="8"/>
    <n v="5"/>
    <n v="5"/>
    <n v="5"/>
    <s v="555"/>
    <s v="Champions"/>
    <s v="Active"/>
    <x v="2"/>
  </r>
  <r>
    <s v="CUST_533"/>
    <d v="2024-07-08T00:00:00"/>
    <n v="1729"/>
    <n v="3"/>
    <n v="111"/>
    <n v="2"/>
    <n v="4"/>
    <n v="3"/>
    <s v="243"/>
    <s v="At Risk"/>
    <s v="Churned"/>
    <x v="3"/>
  </r>
  <r>
    <s v="CUST_534"/>
    <d v="2024-07-17T00:00:00"/>
    <n v="1487"/>
    <n v="3"/>
    <n v="102"/>
    <n v="2"/>
    <n v="4"/>
    <n v="2"/>
    <s v="242"/>
    <s v="At Risk"/>
    <s v="Churned"/>
    <x v="3"/>
  </r>
  <r>
    <s v="CUST_535"/>
    <d v="2024-02-27T00:00:00"/>
    <n v="2445"/>
    <n v="2"/>
    <n v="243"/>
    <n v="1"/>
    <n v="3"/>
    <n v="3"/>
    <s v="133"/>
    <s v="At Risk"/>
    <s v="Churned"/>
    <x v="1"/>
  </r>
  <r>
    <s v="CUST_536"/>
    <d v="2024-04-09T00:00:00"/>
    <n v="2934"/>
    <n v="2"/>
    <n v="201"/>
    <n v="1"/>
    <n v="3"/>
    <n v="4"/>
    <s v="134"/>
    <s v="At Risk"/>
    <s v="Churned"/>
    <x v="1"/>
  </r>
  <r>
    <s v="CUST_537"/>
    <d v="2024-08-26T00:00:00"/>
    <n v="2415"/>
    <n v="2"/>
    <n v="62"/>
    <n v="3"/>
    <n v="3"/>
    <n v="3"/>
    <s v="333"/>
    <s v="Loyal Customers"/>
    <s v="Active"/>
    <x v="4"/>
  </r>
  <r>
    <s v="CUST_538"/>
    <d v="2024-08-25T00:00:00"/>
    <n v="3670"/>
    <n v="5"/>
    <n v="63"/>
    <n v="3"/>
    <n v="5"/>
    <n v="4"/>
    <s v="354"/>
    <s v="Loyal Customers"/>
    <s v="Active"/>
    <x v="0"/>
  </r>
  <r>
    <s v="CUST_539"/>
    <d v="2024-08-22T00:00:00"/>
    <n v="415"/>
    <n v="2"/>
    <n v="66"/>
    <n v="3"/>
    <n v="3"/>
    <n v="1"/>
    <s v="331"/>
    <s v="Potential Loyalist"/>
    <s v="Active"/>
    <x v="4"/>
  </r>
  <r>
    <s v="CUST_54"/>
    <d v="2024-10-16T00:00:00"/>
    <n v="1056"/>
    <n v="1"/>
    <n v="11"/>
    <n v="5"/>
    <n v="2"/>
    <n v="2"/>
    <s v="522"/>
    <s v="Recent Customers"/>
    <s v="Active"/>
    <x v="2"/>
  </r>
  <r>
    <s v="CUST_540"/>
    <d v="2024-09-07T00:00:00"/>
    <n v="2428"/>
    <n v="5"/>
    <n v="50"/>
    <n v="4"/>
    <n v="5"/>
    <n v="3"/>
    <s v="453"/>
    <s v="Loyal Customers"/>
    <s v="Active"/>
    <x v="2"/>
  </r>
  <r>
    <s v="CUST_541"/>
    <d v="2024-07-18T00:00:00"/>
    <n v="1291"/>
    <n v="2"/>
    <n v="101"/>
    <n v="2"/>
    <n v="3"/>
    <n v="2"/>
    <s v="232"/>
    <s v="At Risk"/>
    <s v="Churned"/>
    <x v="3"/>
  </r>
  <r>
    <s v="CUST_542"/>
    <d v="2024-07-24T00:00:00"/>
    <n v="3613"/>
    <n v="5"/>
    <n v="95"/>
    <n v="2"/>
    <n v="5"/>
    <n v="4"/>
    <s v="254"/>
    <s v="At Risk"/>
    <s v="Churned"/>
    <x v="3"/>
  </r>
  <r>
    <s v="CUST_543"/>
    <d v="2024-08-05T00:00:00"/>
    <n v="2177"/>
    <n v="4"/>
    <n v="83"/>
    <n v="3"/>
    <n v="5"/>
    <n v="3"/>
    <s v="353"/>
    <s v="Loyal Customers"/>
    <s v="Active"/>
    <x v="4"/>
  </r>
  <r>
    <s v="CUST_544"/>
    <d v="2024-06-10T00:00:00"/>
    <n v="3467"/>
    <n v="3"/>
    <n v="139"/>
    <n v="2"/>
    <n v="4"/>
    <n v="4"/>
    <s v="244"/>
    <s v="At Risk"/>
    <s v="Churned"/>
    <x v="0"/>
  </r>
  <r>
    <s v="CUST_545"/>
    <d v="2024-09-18T00:00:00"/>
    <n v="3803"/>
    <n v="5"/>
    <n v="39"/>
    <n v="4"/>
    <n v="5"/>
    <n v="5"/>
    <s v="455"/>
    <s v="Champions"/>
    <s v="Active"/>
    <x v="2"/>
  </r>
  <r>
    <s v="CUST_546"/>
    <d v="2024-10-12T00:00:00"/>
    <n v="1896"/>
    <n v="4"/>
    <n v="15"/>
    <n v="5"/>
    <n v="5"/>
    <n v="3"/>
    <s v="553"/>
    <s v="Loyal Customers"/>
    <s v="Active"/>
    <x v="2"/>
  </r>
  <r>
    <s v="CUST_547"/>
    <d v="2024-07-02T00:00:00"/>
    <n v="1212"/>
    <n v="2"/>
    <n v="117"/>
    <n v="2"/>
    <n v="3"/>
    <n v="2"/>
    <s v="232"/>
    <s v="At Risk"/>
    <s v="Churned"/>
    <x v="3"/>
  </r>
  <r>
    <s v="CUST_548"/>
    <d v="2024-07-25T00:00:00"/>
    <n v="3645"/>
    <n v="5"/>
    <n v="94"/>
    <n v="2"/>
    <n v="5"/>
    <n v="4"/>
    <s v="254"/>
    <s v="At Risk"/>
    <s v="Churned"/>
    <x v="3"/>
  </r>
  <r>
    <s v="CUST_549"/>
    <d v="2024-06-30T00:00:00"/>
    <n v="2183"/>
    <n v="3"/>
    <n v="119"/>
    <n v="2"/>
    <n v="4"/>
    <n v="3"/>
    <s v="243"/>
    <s v="At Risk"/>
    <s v="Churned"/>
    <x v="3"/>
  </r>
  <r>
    <s v="CUST_55"/>
    <d v="2024-05-19T00:00:00"/>
    <n v="768"/>
    <n v="1"/>
    <n v="161"/>
    <n v="1"/>
    <n v="2"/>
    <n v="1"/>
    <s v="121"/>
    <s v="At Risk"/>
    <s v="Churned"/>
    <x v="3"/>
  </r>
  <r>
    <s v="CUST_550"/>
    <d v="2024-04-21T00:00:00"/>
    <n v="2469"/>
    <n v="2"/>
    <n v="189"/>
    <n v="1"/>
    <n v="3"/>
    <n v="3"/>
    <s v="133"/>
    <s v="At Risk"/>
    <s v="Churned"/>
    <x v="0"/>
  </r>
  <r>
    <s v="CUST_551"/>
    <d v="2024-06-26T00:00:00"/>
    <n v="657"/>
    <n v="2"/>
    <n v="123"/>
    <n v="2"/>
    <n v="3"/>
    <n v="1"/>
    <s v="231"/>
    <s v="At Risk"/>
    <s v="Churned"/>
    <x v="3"/>
  </r>
  <r>
    <s v="CUST_552"/>
    <d v="2024-10-09T00:00:00"/>
    <n v="6130"/>
    <n v="5"/>
    <n v="18"/>
    <n v="5"/>
    <n v="5"/>
    <n v="5"/>
    <s v="555"/>
    <s v="Champions"/>
    <s v="Active"/>
    <x v="0"/>
  </r>
  <r>
    <s v="CUST_553"/>
    <d v="2024-09-22T00:00:00"/>
    <n v="2871"/>
    <n v="4"/>
    <n v="35"/>
    <n v="4"/>
    <n v="5"/>
    <n v="4"/>
    <s v="454"/>
    <s v="Champions"/>
    <s v="Active"/>
    <x v="2"/>
  </r>
  <r>
    <s v="CUST_554"/>
    <d v="2024-10-25T00:00:00"/>
    <n v="5692"/>
    <n v="5"/>
    <n v="2"/>
    <n v="5"/>
    <n v="5"/>
    <n v="5"/>
    <s v="555"/>
    <s v="Champions"/>
    <s v="Active"/>
    <x v="2"/>
  </r>
  <r>
    <s v="CUST_555"/>
    <d v="2024-06-07T00:00:00"/>
    <n v="2212"/>
    <n v="2"/>
    <n v="142"/>
    <n v="2"/>
    <n v="3"/>
    <n v="3"/>
    <s v="233"/>
    <s v="At Risk"/>
    <s v="Churned"/>
    <x v="0"/>
  </r>
  <r>
    <s v="CUST_556"/>
    <d v="2024-08-04T00:00:00"/>
    <n v="915"/>
    <n v="2"/>
    <n v="84"/>
    <n v="3"/>
    <n v="3"/>
    <n v="2"/>
    <s v="332"/>
    <s v="Potential Loyalist"/>
    <s v="Active"/>
    <x v="4"/>
  </r>
  <r>
    <s v="CUST_557"/>
    <d v="2024-10-12T00:00:00"/>
    <n v="1973"/>
    <n v="4"/>
    <n v="15"/>
    <n v="5"/>
    <n v="5"/>
    <n v="3"/>
    <s v="553"/>
    <s v="Loyal Customers"/>
    <s v="Active"/>
    <x v="2"/>
  </r>
  <r>
    <s v="CUST_558"/>
    <d v="2024-08-13T00:00:00"/>
    <n v="3074"/>
    <n v="5"/>
    <n v="75"/>
    <n v="3"/>
    <n v="5"/>
    <n v="4"/>
    <s v="354"/>
    <s v="Loyal Customers"/>
    <s v="Active"/>
    <x v="4"/>
  </r>
  <r>
    <s v="CUST_559"/>
    <d v="2024-09-04T00:00:00"/>
    <n v="3025"/>
    <n v="3"/>
    <n v="53"/>
    <n v="4"/>
    <n v="4"/>
    <n v="4"/>
    <s v="444"/>
    <s v="Champions"/>
    <s v="Active"/>
    <x v="2"/>
  </r>
  <r>
    <s v="CUST_56"/>
    <d v="2024-09-10T00:00:00"/>
    <n v="712"/>
    <n v="1"/>
    <n v="47"/>
    <n v="4"/>
    <n v="2"/>
    <n v="1"/>
    <s v="421"/>
    <s v="Recent Customers"/>
    <s v="Active"/>
    <x v="2"/>
  </r>
  <r>
    <s v="CUST_560"/>
    <d v="2024-06-24T00:00:00"/>
    <n v="2591"/>
    <n v="4"/>
    <n v="125"/>
    <n v="2"/>
    <n v="5"/>
    <n v="4"/>
    <s v="254"/>
    <s v="At Risk"/>
    <s v="Churned"/>
    <x v="0"/>
  </r>
  <r>
    <s v="CUST_561"/>
    <d v="2024-09-03T00:00:00"/>
    <n v="2469"/>
    <n v="2"/>
    <n v="54"/>
    <n v="3"/>
    <n v="3"/>
    <n v="3"/>
    <s v="333"/>
    <s v="Loyal Customers"/>
    <s v="Active"/>
    <x v="2"/>
  </r>
  <r>
    <s v="CUST_562"/>
    <d v="2024-10-02T00:00:00"/>
    <n v="657"/>
    <n v="2"/>
    <n v="25"/>
    <n v="5"/>
    <n v="3"/>
    <n v="1"/>
    <s v="531"/>
    <s v="Recent Customers"/>
    <s v="Active"/>
    <x v="2"/>
  </r>
  <r>
    <s v="CUST_563"/>
    <d v="2024-09-12T00:00:00"/>
    <n v="6130"/>
    <n v="5"/>
    <n v="45"/>
    <n v="4"/>
    <n v="5"/>
    <n v="5"/>
    <s v="455"/>
    <s v="Champions"/>
    <s v="Active"/>
    <x v="2"/>
  </r>
  <r>
    <s v="CUST_564"/>
    <d v="2024-08-05T00:00:00"/>
    <n v="2871"/>
    <n v="4"/>
    <n v="83"/>
    <n v="3"/>
    <n v="5"/>
    <n v="4"/>
    <s v="354"/>
    <s v="Loyal Customers"/>
    <s v="Active"/>
    <x v="4"/>
  </r>
  <r>
    <s v="CUST_565"/>
    <d v="2024-03-20T00:00:00"/>
    <n v="2101"/>
    <n v="2"/>
    <n v="221"/>
    <n v="1"/>
    <n v="3"/>
    <n v="3"/>
    <s v="133"/>
    <s v="At Risk"/>
    <s v="Churned"/>
    <x v="1"/>
  </r>
  <r>
    <s v="CUST_566"/>
    <d v="2024-08-16T00:00:00"/>
    <n v="5803"/>
    <n v="5"/>
    <n v="72"/>
    <n v="3"/>
    <n v="5"/>
    <n v="5"/>
    <s v="355"/>
    <s v="Loyal Customers"/>
    <s v="Active"/>
    <x v="0"/>
  </r>
  <r>
    <s v="CUST_567"/>
    <d v="2024-08-19T00:00:00"/>
    <n v="2522"/>
    <n v="5"/>
    <n v="69"/>
    <n v="3"/>
    <n v="5"/>
    <n v="3"/>
    <s v="353"/>
    <s v="Loyal Customers"/>
    <s v="Active"/>
    <x v="0"/>
  </r>
  <r>
    <s v="CUST_568"/>
    <d v="2024-10-17T00:00:00"/>
    <n v="1558"/>
    <n v="2"/>
    <n v="10"/>
    <n v="5"/>
    <n v="3"/>
    <n v="2"/>
    <s v="532"/>
    <s v="Recent Customers"/>
    <s v="Active"/>
    <x v="2"/>
  </r>
  <r>
    <s v="CUST_569"/>
    <d v="2024-10-23T00:00:00"/>
    <n v="1882"/>
    <n v="4"/>
    <n v="4"/>
    <n v="5"/>
    <n v="5"/>
    <n v="3"/>
    <s v="553"/>
    <s v="Loyal Customers"/>
    <s v="Active"/>
    <x v="2"/>
  </r>
  <r>
    <s v="CUST_57"/>
    <d v="2024-03-21T00:00:00"/>
    <n v="481"/>
    <n v="1"/>
    <n v="220"/>
    <n v="1"/>
    <n v="2"/>
    <n v="1"/>
    <s v="121"/>
    <s v="At Risk"/>
    <s v="Churned"/>
    <x v="0"/>
  </r>
  <r>
    <s v="CUST_570"/>
    <d v="2024-09-12T00:00:00"/>
    <n v="3025"/>
    <n v="3"/>
    <n v="45"/>
    <n v="4"/>
    <n v="4"/>
    <n v="4"/>
    <s v="444"/>
    <s v="Champions"/>
    <s v="Active"/>
    <x v="2"/>
  </r>
  <r>
    <s v="CUST_571"/>
    <d v="2024-10-26T00:00:00"/>
    <n v="3866"/>
    <n v="5"/>
    <n v="1"/>
    <n v="5"/>
    <n v="5"/>
    <n v="5"/>
    <s v="555"/>
    <s v="Champions"/>
    <s v="Active"/>
    <x v="2"/>
  </r>
  <r>
    <s v="CUST_572"/>
    <d v="2024-06-27T00:00:00"/>
    <n v="1851"/>
    <n v="3"/>
    <n v="122"/>
    <n v="2"/>
    <n v="4"/>
    <n v="3"/>
    <s v="243"/>
    <s v="At Risk"/>
    <s v="Churned"/>
    <x v="3"/>
  </r>
  <r>
    <s v="CUST_573"/>
    <d v="2024-08-29T00:00:00"/>
    <n v="3286"/>
    <n v="3"/>
    <n v="59"/>
    <n v="3"/>
    <n v="4"/>
    <n v="4"/>
    <s v="344"/>
    <s v="Loyal Customers"/>
    <s v="Active"/>
    <x v="2"/>
  </r>
  <r>
    <s v="CUST_574"/>
    <d v="2024-09-22T00:00:00"/>
    <n v="3744"/>
    <n v="3"/>
    <n v="35"/>
    <n v="4"/>
    <n v="4"/>
    <n v="5"/>
    <s v="445"/>
    <s v="Champions"/>
    <s v="Active"/>
    <x v="0"/>
  </r>
  <r>
    <s v="CUST_575"/>
    <d v="2024-07-21T00:00:00"/>
    <n v="3256"/>
    <n v="4"/>
    <n v="98"/>
    <n v="2"/>
    <n v="5"/>
    <n v="4"/>
    <s v="254"/>
    <s v="At Risk"/>
    <s v="Churned"/>
    <x v="3"/>
  </r>
  <r>
    <s v="CUST_576"/>
    <d v="2024-10-12T00:00:00"/>
    <n v="4939"/>
    <n v="5"/>
    <n v="15"/>
    <n v="5"/>
    <n v="5"/>
    <n v="5"/>
    <s v="555"/>
    <s v="Champions"/>
    <s v="Active"/>
    <x v="0"/>
  </r>
  <r>
    <s v="CUST_577"/>
    <d v="2024-05-14T00:00:00"/>
    <n v="3085"/>
    <n v="4"/>
    <n v="166"/>
    <n v="1"/>
    <n v="5"/>
    <n v="4"/>
    <s v="154"/>
    <s v="At Risk"/>
    <s v="Churned"/>
    <x v="0"/>
  </r>
  <r>
    <s v="CUST_578"/>
    <d v="2024-10-03T00:00:00"/>
    <n v="1483"/>
    <n v="3"/>
    <n v="24"/>
    <n v="5"/>
    <n v="4"/>
    <n v="2"/>
    <s v="542"/>
    <s v="Recent Customers"/>
    <s v="Active"/>
    <x v="2"/>
  </r>
  <r>
    <s v="CUST_579"/>
    <d v="2024-10-11T00:00:00"/>
    <n v="3074"/>
    <n v="5"/>
    <n v="16"/>
    <n v="5"/>
    <n v="5"/>
    <n v="4"/>
    <s v="554"/>
    <s v="Champions"/>
    <s v="Active"/>
    <x v="2"/>
  </r>
  <r>
    <s v="CUST_58"/>
    <d v="2024-07-17T00:00:00"/>
    <n v="600"/>
    <n v="1"/>
    <n v="102"/>
    <n v="2"/>
    <n v="2"/>
    <n v="1"/>
    <s v="221"/>
    <s v="At Risk"/>
    <s v="Churned"/>
    <x v="3"/>
  </r>
  <r>
    <s v="CUST_580"/>
    <d v="2024-07-22T00:00:00"/>
    <n v="4368"/>
    <n v="5"/>
    <n v="97"/>
    <n v="2"/>
    <n v="5"/>
    <n v="5"/>
    <s v="255"/>
    <s v="At Risk"/>
    <s v="Churned"/>
    <x v="3"/>
  </r>
  <r>
    <s v="CUST_581"/>
    <d v="2024-07-08T00:00:00"/>
    <n v="1248"/>
    <n v="2"/>
    <n v="111"/>
    <n v="2"/>
    <n v="3"/>
    <n v="2"/>
    <s v="232"/>
    <s v="At Risk"/>
    <s v="Churned"/>
    <x v="3"/>
  </r>
  <r>
    <s v="CUST_582"/>
    <d v="2024-07-22T00:00:00"/>
    <n v="3284"/>
    <n v="5"/>
    <n v="97"/>
    <n v="2"/>
    <n v="5"/>
    <n v="4"/>
    <s v="254"/>
    <s v="At Risk"/>
    <s v="Churned"/>
    <x v="3"/>
  </r>
  <r>
    <s v="CUST_583"/>
    <d v="2024-05-05T00:00:00"/>
    <n v="3128"/>
    <n v="2"/>
    <n v="175"/>
    <n v="1"/>
    <n v="3"/>
    <n v="4"/>
    <s v="134"/>
    <s v="At Risk"/>
    <s v="Churned"/>
    <x v="3"/>
  </r>
  <r>
    <s v="CUST_584"/>
    <d v="2024-08-19T00:00:00"/>
    <n v="3744"/>
    <n v="3"/>
    <n v="69"/>
    <n v="3"/>
    <n v="4"/>
    <n v="5"/>
    <s v="345"/>
    <s v="Loyal Customers"/>
    <s v="Active"/>
    <x v="4"/>
  </r>
  <r>
    <s v="CUST_585"/>
    <d v="2024-09-23T00:00:00"/>
    <n v="4072"/>
    <n v="5"/>
    <n v="34"/>
    <n v="4"/>
    <n v="5"/>
    <n v="5"/>
    <s v="455"/>
    <s v="Champions"/>
    <s v="Active"/>
    <x v="2"/>
  </r>
  <r>
    <s v="CUST_586"/>
    <d v="2024-08-13T00:00:00"/>
    <n v="4123"/>
    <n v="4"/>
    <n v="75"/>
    <n v="3"/>
    <n v="5"/>
    <n v="5"/>
    <s v="355"/>
    <s v="Loyal Customers"/>
    <s v="Active"/>
    <x v="4"/>
  </r>
  <r>
    <s v="CUST_587"/>
    <d v="2024-09-04T00:00:00"/>
    <n v="2595"/>
    <n v="3"/>
    <n v="53"/>
    <n v="4"/>
    <n v="4"/>
    <n v="4"/>
    <s v="444"/>
    <s v="Champions"/>
    <s v="Active"/>
    <x v="0"/>
  </r>
  <r>
    <s v="CUST_588"/>
    <d v="2024-03-02T00:00:00"/>
    <n v="1106"/>
    <n v="2"/>
    <n v="239"/>
    <n v="1"/>
    <n v="3"/>
    <n v="2"/>
    <s v="132"/>
    <s v="At Risk"/>
    <s v="Churned"/>
    <x v="1"/>
  </r>
  <r>
    <s v="CUST_59"/>
    <d v="2024-10-22T00:00:00"/>
    <n v="882"/>
    <n v="1"/>
    <n v="5"/>
    <n v="5"/>
    <n v="2"/>
    <n v="2"/>
    <s v="522"/>
    <s v="Recent Customers"/>
    <s v="Active"/>
    <x v="0"/>
  </r>
  <r>
    <s v="CUST_6"/>
    <d v="2024-09-03T00:00:00"/>
    <n v="431"/>
    <n v="1"/>
    <n v="54"/>
    <n v="3"/>
    <n v="2"/>
    <n v="1"/>
    <s v="321"/>
    <s v="Potential Loyalist"/>
    <s v="Active"/>
    <x v="2"/>
  </r>
  <r>
    <s v="CUST_60"/>
    <d v="2024-10-02T00:00:00"/>
    <n v="1764"/>
    <n v="1"/>
    <n v="25"/>
    <n v="5"/>
    <n v="2"/>
    <n v="3"/>
    <s v="523"/>
    <s v="Recent Customers"/>
    <s v="Active"/>
    <x v="2"/>
  </r>
  <r>
    <s v="CUST_61"/>
    <d v="2024-05-25T00:00:00"/>
    <n v="753"/>
    <n v="1"/>
    <n v="155"/>
    <n v="1"/>
    <n v="2"/>
    <n v="1"/>
    <s v="121"/>
    <s v="At Risk"/>
    <s v="Churned"/>
    <x v="3"/>
  </r>
  <r>
    <s v="CUST_62"/>
    <d v="2024-04-07T00:00:00"/>
    <n v="360"/>
    <n v="1"/>
    <n v="203"/>
    <n v="1"/>
    <n v="2"/>
    <n v="1"/>
    <s v="121"/>
    <s v="At Risk"/>
    <s v="Churned"/>
    <x v="1"/>
  </r>
  <r>
    <s v="CUST_63"/>
    <d v="2024-01-04T00:00:00"/>
    <n v="842"/>
    <n v="1"/>
    <n v="297"/>
    <n v="1"/>
    <n v="2"/>
    <n v="1"/>
    <s v="121"/>
    <s v="At Risk"/>
    <s v="Churned"/>
    <x v="1"/>
  </r>
  <r>
    <s v="CUST_64"/>
    <d v="2024-08-31T00:00:00"/>
    <n v="852"/>
    <n v="1"/>
    <n v="57"/>
    <n v="3"/>
    <n v="2"/>
    <n v="1"/>
    <s v="321"/>
    <s v="Potential Loyalist"/>
    <s v="Active"/>
    <x v="2"/>
  </r>
  <r>
    <s v="CUST_65"/>
    <d v="2024-09-23T00:00:00"/>
    <n v="322"/>
    <n v="1"/>
    <n v="34"/>
    <n v="4"/>
    <n v="2"/>
    <n v="1"/>
    <s v="421"/>
    <s v="Recent Customers"/>
    <s v="Active"/>
    <x v="2"/>
  </r>
  <r>
    <s v="CUST_66"/>
    <d v="2024-03-06T00:00:00"/>
    <n v="332"/>
    <n v="1"/>
    <n v="235"/>
    <n v="1"/>
    <n v="2"/>
    <n v="1"/>
    <s v="121"/>
    <s v="At Risk"/>
    <s v="Churned"/>
    <x v="1"/>
  </r>
  <r>
    <s v="CUST_67"/>
    <d v="2024-04-16T00:00:00"/>
    <n v="610"/>
    <n v="1"/>
    <n v="194"/>
    <n v="1"/>
    <n v="2"/>
    <n v="1"/>
    <s v="121"/>
    <s v="At Risk"/>
    <s v="Churned"/>
    <x v="1"/>
  </r>
  <r>
    <s v="CUST_68"/>
    <d v="2024-01-07T00:00:00"/>
    <n v="560"/>
    <n v="1"/>
    <n v="294"/>
    <n v="1"/>
    <n v="2"/>
    <n v="1"/>
    <s v="121"/>
    <s v="At Risk"/>
    <s v="Churned"/>
    <x v="1"/>
  </r>
  <r>
    <s v="CUST_69"/>
    <d v="2024-06-26T00:00:00"/>
    <n v="408"/>
    <n v="1"/>
    <n v="123"/>
    <n v="2"/>
    <n v="2"/>
    <n v="1"/>
    <s v="221"/>
    <s v="At Risk"/>
    <s v="Churned"/>
    <x v="3"/>
  </r>
  <r>
    <s v="CUST_7"/>
    <d v="2024-05-20T00:00:00"/>
    <n v="1980"/>
    <n v="1"/>
    <n v="160"/>
    <n v="1"/>
    <n v="2"/>
    <n v="3"/>
    <s v="123"/>
    <s v="At Risk"/>
    <s v="Churned"/>
    <x v="3"/>
  </r>
  <r>
    <s v="CUST_70"/>
    <d v="2024-08-10T00:00:00"/>
    <n v="812"/>
    <n v="1"/>
    <n v="78"/>
    <n v="3"/>
    <n v="2"/>
    <n v="1"/>
    <s v="321"/>
    <s v="Potential Loyalist"/>
    <s v="Active"/>
    <x v="4"/>
  </r>
  <r>
    <s v="CUST_71"/>
    <d v="2024-04-14T00:00:00"/>
    <n v="2435"/>
    <n v="1"/>
    <n v="196"/>
    <n v="1"/>
    <n v="2"/>
    <n v="3"/>
    <s v="123"/>
    <s v="At Risk"/>
    <s v="Churned"/>
    <x v="1"/>
  </r>
  <r>
    <s v="CUST_72"/>
    <d v="2024-02-01T00:00:00"/>
    <n v="292"/>
    <n v="1"/>
    <n v="269"/>
    <n v="1"/>
    <n v="2"/>
    <n v="1"/>
    <s v="121"/>
    <s v="At Risk"/>
    <s v="Churned"/>
    <x v="1"/>
  </r>
  <r>
    <s v="CUST_73"/>
    <d v="2024-09-21T00:00:00"/>
    <n v="1203"/>
    <n v="1"/>
    <n v="36"/>
    <n v="4"/>
    <n v="2"/>
    <n v="2"/>
    <s v="422"/>
    <s v="Recent Customers"/>
    <s v="Active"/>
    <x v="2"/>
  </r>
  <r>
    <s v="CUST_74"/>
    <d v="2024-05-15T00:00:00"/>
    <n v="1568"/>
    <n v="1"/>
    <n v="165"/>
    <n v="1"/>
    <n v="2"/>
    <n v="2"/>
    <s v="122"/>
    <s v="At Risk"/>
    <s v="Churned"/>
    <x v="3"/>
  </r>
  <r>
    <s v="CUST_75"/>
    <d v="2024-09-16T00:00:00"/>
    <n v="730"/>
    <n v="1"/>
    <n v="41"/>
    <n v="4"/>
    <n v="2"/>
    <n v="1"/>
    <s v="421"/>
    <s v="Recent Customers"/>
    <s v="Active"/>
    <x v="2"/>
  </r>
  <r>
    <s v="CUST_76"/>
    <d v="2024-04-19T00:00:00"/>
    <n v="796"/>
    <n v="1"/>
    <n v="191"/>
    <n v="1"/>
    <n v="2"/>
    <n v="1"/>
    <s v="121"/>
    <s v="At Risk"/>
    <s v="Churned"/>
    <x v="1"/>
  </r>
  <r>
    <s v="CUST_77"/>
    <d v="2024-02-14T00:00:00"/>
    <n v="137"/>
    <n v="1"/>
    <n v="256"/>
    <n v="1"/>
    <n v="2"/>
    <n v="1"/>
    <s v="121"/>
    <s v="At Risk"/>
    <s v="Churned"/>
    <x v="1"/>
  </r>
  <r>
    <s v="CUST_78"/>
    <d v="2024-04-10T00:00:00"/>
    <n v="417"/>
    <n v="1"/>
    <n v="200"/>
    <n v="1"/>
    <n v="2"/>
    <n v="1"/>
    <s v="121"/>
    <s v="At Risk"/>
    <s v="Churned"/>
    <x v="1"/>
  </r>
  <r>
    <s v="CUST_79"/>
    <d v="2024-01-23T00:00:00"/>
    <n v="432"/>
    <n v="1"/>
    <n v="278"/>
    <n v="1"/>
    <n v="2"/>
    <n v="1"/>
    <s v="121"/>
    <s v="At Risk"/>
    <s v="Churned"/>
    <x v="1"/>
  </r>
  <r>
    <s v="CUST_8"/>
    <d v="2024-03-24T00:00:00"/>
    <n v="1272"/>
    <n v="1"/>
    <n v="217"/>
    <n v="1"/>
    <n v="2"/>
    <n v="2"/>
    <s v="122"/>
    <s v="At Risk"/>
    <s v="Churned"/>
    <x v="1"/>
  </r>
  <r>
    <s v="CUST_80"/>
    <d v="2024-08-08T00:00:00"/>
    <n v="1328"/>
    <n v="1"/>
    <n v="80"/>
    <n v="3"/>
    <n v="2"/>
    <n v="2"/>
    <s v="322"/>
    <s v="Potential Loyalist"/>
    <s v="Active"/>
    <x v="4"/>
  </r>
  <r>
    <s v="CUST_81"/>
    <d v="2024-06-15T00:00:00"/>
    <n v="292"/>
    <n v="1"/>
    <n v="134"/>
    <n v="2"/>
    <n v="2"/>
    <n v="1"/>
    <s v="221"/>
    <s v="At Risk"/>
    <s v="Churned"/>
    <x v="3"/>
  </r>
  <r>
    <s v="CUST_82"/>
    <d v="2024-08-02T00:00:00"/>
    <n v="504"/>
    <n v="1"/>
    <n v="86"/>
    <n v="3"/>
    <n v="2"/>
    <n v="1"/>
    <s v="321"/>
    <s v="Potential Loyalist"/>
    <s v="Active"/>
    <x v="4"/>
  </r>
  <r>
    <s v="CUST_83"/>
    <d v="2024-03-30T00:00:00"/>
    <n v="1015"/>
    <n v="1"/>
    <n v="211"/>
    <n v="1"/>
    <n v="2"/>
    <n v="2"/>
    <s v="122"/>
    <s v="At Risk"/>
    <s v="Churned"/>
    <x v="1"/>
  </r>
  <r>
    <s v="CUST_84"/>
    <d v="2024-04-08T00:00:00"/>
    <n v="476"/>
    <n v="1"/>
    <n v="202"/>
    <n v="1"/>
    <n v="2"/>
    <n v="1"/>
    <s v="121"/>
    <s v="At Risk"/>
    <s v="Churned"/>
    <x v="1"/>
  </r>
  <r>
    <s v="CUST_85"/>
    <d v="2024-08-19T00:00:00"/>
    <n v="698"/>
    <n v="1"/>
    <n v="69"/>
    <n v="3"/>
    <n v="2"/>
    <n v="1"/>
    <s v="321"/>
    <s v="Potential Loyalist"/>
    <s v="Active"/>
    <x v="4"/>
  </r>
  <r>
    <s v="CUST_86"/>
    <d v="2024-07-24T00:00:00"/>
    <n v="962"/>
    <n v="1"/>
    <n v="95"/>
    <n v="2"/>
    <n v="2"/>
    <n v="2"/>
    <s v="222"/>
    <s v="At Risk"/>
    <s v="Churned"/>
    <x v="3"/>
  </r>
  <r>
    <s v="CUST_87"/>
    <d v="2024-08-19T00:00:00"/>
    <n v="1167"/>
    <n v="1"/>
    <n v="69"/>
    <n v="3"/>
    <n v="2"/>
    <n v="2"/>
    <s v="322"/>
    <s v="Potential Loyalist"/>
    <s v="Active"/>
    <x v="4"/>
  </r>
  <r>
    <s v="CUST_88"/>
    <d v="2024-04-25T00:00:00"/>
    <n v="259"/>
    <n v="1"/>
    <n v="185"/>
    <n v="1"/>
    <n v="2"/>
    <n v="1"/>
    <s v="121"/>
    <s v="At Risk"/>
    <s v="Churned"/>
    <x v="1"/>
  </r>
  <r>
    <s v="CUST_89"/>
    <d v="2024-06-20T00:00:00"/>
    <n v="302"/>
    <n v="1"/>
    <n v="129"/>
    <n v="2"/>
    <n v="2"/>
    <n v="1"/>
    <s v="221"/>
    <s v="At Risk"/>
    <s v="Churned"/>
    <x v="3"/>
  </r>
  <r>
    <s v="CUST_9"/>
    <d v="2024-01-19T00:00:00"/>
    <n v="440"/>
    <n v="1"/>
    <n v="282"/>
    <n v="1"/>
    <n v="2"/>
    <n v="1"/>
    <s v="121"/>
    <s v="At Risk"/>
    <s v="Churned"/>
    <x v="1"/>
  </r>
  <r>
    <s v="CUST_90"/>
    <d v="2024-02-13T00:00:00"/>
    <n v="1221"/>
    <n v="1"/>
    <n v="257"/>
    <n v="1"/>
    <n v="2"/>
    <n v="2"/>
    <s v="122"/>
    <s v="At Risk"/>
    <s v="Churned"/>
    <x v="0"/>
  </r>
  <r>
    <s v="CUST_91"/>
    <d v="2024-06-16T00:00:00"/>
    <n v="663"/>
    <n v="1"/>
    <n v="133"/>
    <n v="2"/>
    <n v="2"/>
    <n v="1"/>
    <s v="221"/>
    <s v="At Risk"/>
    <s v="Churned"/>
    <x v="3"/>
  </r>
  <r>
    <s v="CUST_92"/>
    <d v="2024-10-23T00:00:00"/>
    <n v="1329"/>
    <n v="1"/>
    <n v="4"/>
    <n v="5"/>
    <n v="2"/>
    <n v="2"/>
    <s v="522"/>
    <s v="Recent Customers"/>
    <s v="Active"/>
    <x v="2"/>
  </r>
  <r>
    <s v="CUST_93"/>
    <d v="2024-07-05T00:00:00"/>
    <n v="399"/>
    <n v="1"/>
    <n v="114"/>
    <n v="2"/>
    <n v="2"/>
    <n v="1"/>
    <s v="221"/>
    <s v="At Risk"/>
    <s v="Churned"/>
    <x v="3"/>
  </r>
  <r>
    <s v="CUST_94"/>
    <d v="2024-08-12T00:00:00"/>
    <n v="451"/>
    <n v="1"/>
    <n v="76"/>
    <n v="3"/>
    <n v="2"/>
    <n v="1"/>
    <s v="321"/>
    <s v="Potential Loyalist"/>
    <s v="Active"/>
    <x v="4"/>
  </r>
  <r>
    <s v="CUST_95"/>
    <d v="2024-07-18T00:00:00"/>
    <n v="654"/>
    <n v="1"/>
    <n v="101"/>
    <n v="2"/>
    <n v="2"/>
    <n v="1"/>
    <s v="221"/>
    <s v="At Risk"/>
    <s v="Churned"/>
    <x v="3"/>
  </r>
  <r>
    <s v="CUST_96"/>
    <d v="2024-05-23T00:00:00"/>
    <n v="665"/>
    <n v="1"/>
    <n v="157"/>
    <n v="1"/>
    <n v="2"/>
    <n v="1"/>
    <s v="121"/>
    <s v="At Risk"/>
    <s v="Churned"/>
    <x v="3"/>
  </r>
  <r>
    <s v="CUST_97"/>
    <d v="2024-09-26T00:00:00"/>
    <n v="1371"/>
    <n v="1"/>
    <n v="31"/>
    <n v="4"/>
    <n v="2"/>
    <n v="2"/>
    <s v="422"/>
    <s v="Recent Customers"/>
    <s v="Active"/>
    <x v="2"/>
  </r>
  <r>
    <s v="CUST_98"/>
    <d v="2024-03-28T00:00:00"/>
    <n v="597"/>
    <n v="1"/>
    <n v="213"/>
    <n v="1"/>
    <n v="2"/>
    <n v="1"/>
    <s v="121"/>
    <s v="At Risk"/>
    <s v="Churned"/>
    <x v="0"/>
  </r>
  <r>
    <s v="CUST_99"/>
    <d v="2024-06-12T00:00:00"/>
    <n v="966"/>
    <n v="1"/>
    <n v="137"/>
    <n v="2"/>
    <n v="2"/>
    <n v="2"/>
    <s v="222"/>
    <s v="At Risk"/>
    <s v="Churned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0">
  <r>
    <s v="CUST_1"/>
    <s v="O0001"/>
    <d v="2024-10-14T00:00:00"/>
    <s v="Chennai"/>
    <s v="Anna Nagar"/>
    <s v="Café Delight"/>
    <s v="Italian"/>
    <s v="Momos"/>
    <s v="Veg"/>
    <n v="1"/>
    <n v="461"/>
    <n v="461"/>
    <n v="30"/>
    <s v="UPI"/>
    <n v="4.0999999999999996"/>
    <x v="0"/>
    <n v="42"/>
    <n v="2024"/>
  </r>
  <r>
    <s v="CUST_2"/>
    <s v="O0002"/>
    <d v="2024-07-15T00:00:00"/>
    <s v="Chennai"/>
    <s v="Velachery"/>
    <s v="Grill Masters"/>
    <s v="Chinese"/>
    <s v="Pasta"/>
    <s v="Veg"/>
    <n v="3"/>
    <n v="457"/>
    <n v="1371"/>
    <n v="42"/>
    <s v="UPI"/>
    <n v="3.4"/>
    <x v="1"/>
    <n v="29"/>
    <n v="2024"/>
  </r>
  <r>
    <s v="CUST_3"/>
    <s v="O0003"/>
    <d v="2024-04-30T00:00:00"/>
    <s v="Mumbai"/>
    <s v="Dadar"/>
    <s v="Burger Hub"/>
    <s v="North Indian"/>
    <s v="Veg Burger"/>
    <s v="Veg"/>
    <n v="3"/>
    <n v="373"/>
    <n v="1119"/>
    <n v="32"/>
    <s v="COD"/>
    <n v="4.3"/>
    <x v="2"/>
    <n v="18"/>
    <n v="2024"/>
  </r>
  <r>
    <s v="CUST_4"/>
    <s v="O0004"/>
    <d v="2024-09-20T00:00:00"/>
    <s v="Chennai"/>
    <s v="Velachery"/>
    <s v="Tandoori Tales"/>
    <s v="South Indian"/>
    <s v="Masala Dosa"/>
    <s v="Veg"/>
    <n v="3"/>
    <n v="424"/>
    <n v="1272"/>
    <n v="44"/>
    <s v="Card"/>
    <n v="4.0999999999999996"/>
    <x v="3"/>
    <n v="38"/>
    <n v="2024"/>
  </r>
  <r>
    <s v="CUST_5"/>
    <s v="O0005"/>
    <d v="2024-03-08T00:00:00"/>
    <s v="Mumbai"/>
    <s v="Andheri"/>
    <s v="Chinese Bowl"/>
    <s v="Chinese"/>
    <s v="Momos"/>
    <s v="Veg"/>
    <n v="5"/>
    <n v="313"/>
    <n v="1565"/>
    <n v="30"/>
    <s v="COD"/>
    <n v="4.7"/>
    <x v="4"/>
    <n v="10"/>
    <n v="2024"/>
  </r>
  <r>
    <s v="CUST_6"/>
    <s v="O0006"/>
    <d v="2024-09-03T00:00:00"/>
    <s v="Delhi"/>
    <s v="Connaught Place"/>
    <s v="Urban Meals"/>
    <s v="Indian"/>
    <s v="Momos"/>
    <s v="Veg"/>
    <n v="1"/>
    <n v="431"/>
    <n v="431"/>
    <n v="54"/>
    <s v="Card"/>
    <n v="3"/>
    <x v="3"/>
    <n v="36"/>
    <n v="2024"/>
  </r>
  <r>
    <s v="CUST_7"/>
    <s v="O0007"/>
    <d v="2024-05-20T00:00:00"/>
    <s v="Hyderabad"/>
    <s v="Begumpet"/>
    <s v="Café Delight"/>
    <s v="South Indian"/>
    <s v="Fried Rice"/>
    <s v="Veg"/>
    <n v="4"/>
    <n v="495"/>
    <n v="1980"/>
    <n v="33"/>
    <s v="COD"/>
    <n v="4"/>
    <x v="5"/>
    <n v="21"/>
    <n v="2024"/>
  </r>
  <r>
    <s v="CUST_8"/>
    <s v="O0008"/>
    <d v="2024-03-24T00:00:00"/>
    <s v="Delhi"/>
    <s v="Rohini"/>
    <s v="Grill Masters"/>
    <s v="Italian"/>
    <s v="Sandwich"/>
    <s v="Veg"/>
    <n v="4"/>
    <n v="318"/>
    <n v="1272"/>
    <n v="46"/>
    <s v="COD"/>
    <n v="3.7"/>
    <x v="4"/>
    <n v="13"/>
    <n v="2024"/>
  </r>
  <r>
    <s v="CUST_9"/>
    <s v="O0009"/>
    <d v="2024-01-19T00:00:00"/>
    <s v="Mumbai"/>
    <s v="Andheri"/>
    <s v="Café Delight"/>
    <s v="Chinese"/>
    <s v="Pizza"/>
    <s v="Veg"/>
    <n v="2"/>
    <n v="220"/>
    <n v="440"/>
    <n v="46"/>
    <s v="UPI"/>
    <n v="4.2"/>
    <x v="6"/>
    <n v="3"/>
    <n v="2024"/>
  </r>
  <r>
    <s v="CUST_10"/>
    <s v="O0010"/>
    <d v="2024-04-01T00:00:00"/>
    <s v="Bangalore"/>
    <s v="BTM Layout"/>
    <s v="Urban Meals"/>
    <s v="North Indian"/>
    <s v="Chicken Biryani"/>
    <s v="Non-Veg"/>
    <n v="5"/>
    <n v="158"/>
    <n v="790"/>
    <n v="46"/>
    <s v="COD"/>
    <n v="3.2"/>
    <x v="2"/>
    <n v="14"/>
    <n v="2024"/>
  </r>
  <r>
    <s v="CUST_11"/>
    <s v="O0011"/>
    <d v="2024-10-15T00:00:00"/>
    <s v="Bangalore"/>
    <s v="Whitefield"/>
    <s v="Chinese Bowl"/>
    <s v="Italian"/>
    <s v="Pasta"/>
    <s v="Veg"/>
    <n v="3"/>
    <n v="264"/>
    <n v="792"/>
    <n v="21"/>
    <s v="UPI"/>
    <n v="3.9"/>
    <x v="0"/>
    <n v="42"/>
    <n v="2024"/>
  </r>
  <r>
    <s v="CUST_12"/>
    <s v="O0012"/>
    <d v="2024-05-29T00:00:00"/>
    <s v="Hyderabad"/>
    <s v="Kukatpally"/>
    <s v="South Spice"/>
    <s v="South Indian"/>
    <s v="Paneer Tikka"/>
    <s v="Veg"/>
    <n v="4"/>
    <n v="387"/>
    <n v="1548"/>
    <n v="52"/>
    <s v="COD"/>
    <n v="4"/>
    <x v="5"/>
    <n v="22"/>
    <n v="2024"/>
  </r>
  <r>
    <s v="CUST_13"/>
    <s v="O0013"/>
    <d v="2024-04-30T00:00:00"/>
    <s v="Hyderabad"/>
    <s v="Madhapur"/>
    <s v="Sandwich Stop"/>
    <s v="Chinese"/>
    <s v="Pizza"/>
    <s v="Veg"/>
    <n v="1"/>
    <n v="313"/>
    <n v="313"/>
    <n v="40"/>
    <s v="Card"/>
    <n v="3.7"/>
    <x v="2"/>
    <n v="18"/>
    <n v="2024"/>
  </r>
  <r>
    <s v="CUST_14"/>
    <s v="O0014"/>
    <d v="2024-06-19T00:00:00"/>
    <s v="Mumbai"/>
    <s v="Bandra"/>
    <s v="Biryani House"/>
    <s v="Fast Food"/>
    <s v="Chicken Biryani"/>
    <s v="Non-Veg"/>
    <n v="1"/>
    <n v="241"/>
    <n v="241"/>
    <n v="35"/>
    <s v="Card"/>
    <n v="4.3"/>
    <x v="7"/>
    <n v="25"/>
    <n v="2024"/>
  </r>
  <r>
    <s v="CUST_15"/>
    <s v="O0015"/>
    <d v="2024-02-23T00:00:00"/>
    <s v="Bangalore"/>
    <s v="Indiranagar"/>
    <s v="Sandwich Stop"/>
    <s v="South Indian"/>
    <s v="Sandwich"/>
    <s v="Veg"/>
    <n v="2"/>
    <n v="199"/>
    <n v="398"/>
    <n v="47"/>
    <s v="COD"/>
    <n v="3.6"/>
    <x v="8"/>
    <n v="8"/>
    <n v="2024"/>
  </r>
  <r>
    <s v="CUST_16"/>
    <s v="O0016"/>
    <d v="2024-01-22T00:00:00"/>
    <s v="Mumbai"/>
    <s v="Goregaon"/>
    <s v="Urban Meals"/>
    <s v="Italian"/>
    <s v="Pasta"/>
    <s v="Veg"/>
    <n v="2"/>
    <n v="309"/>
    <n v="618"/>
    <n v="23"/>
    <s v="Card"/>
    <n v="3.6"/>
    <x v="6"/>
    <n v="4"/>
    <n v="2024"/>
  </r>
  <r>
    <s v="CUST_17"/>
    <s v="O0017"/>
    <d v="2024-05-16T00:00:00"/>
    <s v="Delhi"/>
    <s v="Rohini"/>
    <s v="Urban Meals"/>
    <s v="Fast Food"/>
    <s v="Masala Dosa"/>
    <s v="Veg"/>
    <n v="5"/>
    <n v="111"/>
    <n v="555"/>
    <n v="30"/>
    <s v="Card"/>
    <n v="4.0999999999999996"/>
    <x v="5"/>
    <n v="20"/>
    <n v="2024"/>
  </r>
  <r>
    <s v="CUST_18"/>
    <s v="O0018"/>
    <d v="2024-08-29T00:00:00"/>
    <s v="Chennai"/>
    <s v="Anna Nagar"/>
    <s v="Urban Meals"/>
    <s v="Indian"/>
    <s v="Fried Rice"/>
    <s v="Veg"/>
    <n v="5"/>
    <n v="223"/>
    <n v="1115"/>
    <n v="23"/>
    <s v="COD"/>
    <n v="3.7"/>
    <x v="9"/>
    <n v="35"/>
    <n v="2024"/>
  </r>
  <r>
    <s v="CUST_19"/>
    <s v="O0019"/>
    <d v="2024-03-06T00:00:00"/>
    <s v="Mumbai"/>
    <s v="Goregaon"/>
    <s v="Café Delight"/>
    <s v="Indian"/>
    <s v="Pizza"/>
    <s v="Veg"/>
    <n v="2"/>
    <n v="153"/>
    <n v="306"/>
    <n v="24"/>
    <s v="UPI"/>
    <n v="4.2"/>
    <x v="4"/>
    <n v="10"/>
    <n v="2024"/>
  </r>
  <r>
    <s v="CUST_20"/>
    <s v="O0020"/>
    <d v="2024-09-24T00:00:00"/>
    <s v="Delhi"/>
    <s v="Karol Bagh"/>
    <s v="Burger Hub"/>
    <s v="Chinese"/>
    <s v="Fried Rice"/>
    <s v="Veg"/>
    <n v="2"/>
    <n v="291"/>
    <n v="582"/>
    <n v="40"/>
    <s v="Card"/>
    <n v="4.8"/>
    <x v="3"/>
    <n v="39"/>
    <n v="2024"/>
  </r>
  <r>
    <s v="CUST_21"/>
    <s v="O0021"/>
    <d v="2024-07-07T00:00:00"/>
    <s v="Delhi"/>
    <s v="Rohini"/>
    <s v="Biryani House"/>
    <s v="Italian"/>
    <s v="Veg Burger"/>
    <s v="Veg"/>
    <n v="1"/>
    <n v="276"/>
    <n v="276"/>
    <n v="51"/>
    <s v="Card"/>
    <n v="4.0999999999999996"/>
    <x v="1"/>
    <n v="28"/>
    <n v="2024"/>
  </r>
  <r>
    <s v="CUST_22"/>
    <s v="O0022"/>
    <d v="2024-09-30T00:00:00"/>
    <s v="Bangalore"/>
    <s v="Indiranagar"/>
    <s v="Pizza Planet"/>
    <s v="South Indian"/>
    <s v="Fried Rice"/>
    <s v="Veg"/>
    <n v="3"/>
    <n v="389"/>
    <n v="1167"/>
    <n v="41"/>
    <s v="COD"/>
    <n v="3.6"/>
    <x v="3"/>
    <n v="40"/>
    <n v="2024"/>
  </r>
  <r>
    <s v="CUST_23"/>
    <s v="O0023"/>
    <d v="2024-04-30T00:00:00"/>
    <s v="Chennai"/>
    <s v="Anna Nagar"/>
    <s v="South Spice"/>
    <s v="Fast Food"/>
    <s v="Fried Rice"/>
    <s v="Veg"/>
    <n v="2"/>
    <n v="213"/>
    <n v="426"/>
    <n v="27"/>
    <s v="COD"/>
    <n v="3.6"/>
    <x v="2"/>
    <n v="18"/>
    <n v="2024"/>
  </r>
  <r>
    <s v="CUST_24"/>
    <s v="O0024"/>
    <d v="2024-04-27T00:00:00"/>
    <s v="Hyderabad"/>
    <s v="Begumpet"/>
    <s v="Burger Hub"/>
    <s v="Chinese"/>
    <s v="Pizza"/>
    <s v="Veg"/>
    <n v="4"/>
    <n v="448"/>
    <n v="1792"/>
    <n v="40"/>
    <s v="UPI"/>
    <n v="4.5"/>
    <x v="2"/>
    <n v="17"/>
    <n v="2024"/>
  </r>
  <r>
    <s v="CUST_25"/>
    <s v="O0025"/>
    <d v="2024-06-08T00:00:00"/>
    <s v="Delhi"/>
    <s v="Karol Bagh"/>
    <s v="Grill Masters"/>
    <s v="Italian"/>
    <s v="Momos"/>
    <s v="Veg"/>
    <n v="5"/>
    <n v="148"/>
    <n v="740"/>
    <n v="43"/>
    <s v="COD"/>
    <n v="3.9"/>
    <x v="7"/>
    <n v="23"/>
    <n v="2024"/>
  </r>
  <r>
    <s v="CUST_26"/>
    <s v="O0026"/>
    <d v="2024-06-21T00:00:00"/>
    <s v="Mumbai"/>
    <s v="Bandra"/>
    <s v="Café Delight"/>
    <s v="Chinese"/>
    <s v="Sandwich"/>
    <s v="Veg"/>
    <n v="5"/>
    <n v="269"/>
    <n v="1345"/>
    <n v="21"/>
    <s v="Card"/>
    <n v="4.3"/>
    <x v="7"/>
    <n v="25"/>
    <n v="2024"/>
  </r>
  <r>
    <s v="CUST_27"/>
    <s v="O0027"/>
    <d v="2024-01-28T00:00:00"/>
    <s v="Bangalore"/>
    <s v="Indiranagar"/>
    <s v="Urban Meals"/>
    <s v="Indian"/>
    <s v="Veg Burger"/>
    <s v="Veg"/>
    <n v="1"/>
    <n v="471"/>
    <n v="471"/>
    <n v="38"/>
    <s v="Card"/>
    <n v="3.4"/>
    <x v="6"/>
    <n v="5"/>
    <n v="2024"/>
  </r>
  <r>
    <s v="CUST_28"/>
    <s v="O0028"/>
    <d v="2024-09-18T00:00:00"/>
    <s v="Hyderabad"/>
    <s v="Begumpet"/>
    <s v="Grill Masters"/>
    <s v="Indian"/>
    <s v="Fried Rice"/>
    <s v="Veg"/>
    <n v="4"/>
    <n v="105"/>
    <n v="420"/>
    <n v="28"/>
    <s v="Card"/>
    <n v="4.8"/>
    <x v="3"/>
    <n v="38"/>
    <n v="2024"/>
  </r>
  <r>
    <s v="CUST_29"/>
    <s v="O0029"/>
    <d v="2024-03-16T00:00:00"/>
    <s v="Delhi"/>
    <s v="Dwarka"/>
    <s v="Urban Meals"/>
    <s v="Fast Food"/>
    <s v="Sandwich"/>
    <s v="Veg"/>
    <n v="3"/>
    <n v="334"/>
    <n v="1002"/>
    <n v="54"/>
    <s v="COD"/>
    <n v="4.7"/>
    <x v="4"/>
    <n v="11"/>
    <n v="2024"/>
  </r>
  <r>
    <s v="CUST_30"/>
    <s v="O0030"/>
    <d v="2024-08-08T00:00:00"/>
    <s v="Chennai"/>
    <s v="T Nagar"/>
    <s v="Pizza Planet"/>
    <s v="South Indian"/>
    <s v="Sandwich"/>
    <s v="Veg"/>
    <n v="3"/>
    <n v="316"/>
    <n v="948"/>
    <n v="46"/>
    <s v="UPI"/>
    <n v="4.8"/>
    <x v="9"/>
    <n v="32"/>
    <n v="2024"/>
  </r>
  <r>
    <s v="CUST_31"/>
    <s v="O0031"/>
    <d v="2024-04-08T00:00:00"/>
    <s v="Hyderabad"/>
    <s v="Begumpet"/>
    <s v="Biryani House"/>
    <s v="South Indian"/>
    <s v="Momos"/>
    <s v="Veg"/>
    <n v="5"/>
    <n v="349"/>
    <n v="1745"/>
    <n v="38"/>
    <s v="COD"/>
    <n v="3.5"/>
    <x v="2"/>
    <n v="15"/>
    <n v="2024"/>
  </r>
  <r>
    <s v="CUST_32"/>
    <s v="O0032"/>
    <d v="2024-09-23T00:00:00"/>
    <s v="Mumbai"/>
    <s v="Powai"/>
    <s v="Café Delight"/>
    <s v="Italian"/>
    <s v="Pizza"/>
    <s v="Veg"/>
    <n v="5"/>
    <n v="139"/>
    <n v="695"/>
    <n v="28"/>
    <s v="UPI"/>
    <n v="4"/>
    <x v="3"/>
    <n v="39"/>
    <n v="2024"/>
  </r>
  <r>
    <s v="CUST_33"/>
    <s v="O0033"/>
    <d v="2024-10-12T00:00:00"/>
    <s v="Mumbai"/>
    <s v="Andheri"/>
    <s v="Burger Hub"/>
    <s v="South Indian"/>
    <s v="Paneer Tikka"/>
    <s v="Veg"/>
    <n v="1"/>
    <n v="491"/>
    <n v="491"/>
    <n v="57"/>
    <s v="UPI"/>
    <n v="3.9"/>
    <x v="0"/>
    <n v="41"/>
    <n v="2024"/>
  </r>
  <r>
    <s v="CUST_34"/>
    <s v="O0034"/>
    <d v="2024-07-04T00:00:00"/>
    <s v="Bangalore"/>
    <s v="Whitefield"/>
    <s v="Biryani House"/>
    <s v="North Indian"/>
    <s v="Sandwich"/>
    <s v="Veg"/>
    <n v="4"/>
    <n v="481"/>
    <n v="1924"/>
    <n v="51"/>
    <s v="UPI"/>
    <n v="3.7"/>
    <x v="1"/>
    <n v="27"/>
    <n v="2024"/>
  </r>
  <r>
    <s v="CUST_35"/>
    <s v="O0035"/>
    <d v="2024-04-17T00:00:00"/>
    <s v="Delhi"/>
    <s v="Rohini"/>
    <s v="Urban Meals"/>
    <s v="South Indian"/>
    <s v="Veg Burger"/>
    <s v="Veg"/>
    <n v="4"/>
    <n v="402"/>
    <n v="1608"/>
    <n v="41"/>
    <s v="UPI"/>
    <n v="4.2"/>
    <x v="2"/>
    <n v="16"/>
    <n v="2024"/>
  </r>
  <r>
    <s v="CUST_36"/>
    <s v="O0036"/>
    <d v="2024-06-25T00:00:00"/>
    <s v="Chennai"/>
    <s v="Adyar"/>
    <s v="Café Delight"/>
    <s v="South Indian"/>
    <s v="Masala Dosa"/>
    <s v="Veg"/>
    <n v="4"/>
    <n v="133"/>
    <n v="532"/>
    <n v="21"/>
    <s v="COD"/>
    <n v="3.6"/>
    <x v="7"/>
    <n v="26"/>
    <n v="2024"/>
  </r>
  <r>
    <s v="CUST_37"/>
    <s v="O0037"/>
    <d v="2024-05-30T00:00:00"/>
    <s v="Bangalore"/>
    <s v="Jayanagar"/>
    <s v="Burger Hub"/>
    <s v="Chinese"/>
    <s v="Sandwich"/>
    <s v="Veg"/>
    <n v="3"/>
    <n v="185"/>
    <n v="555"/>
    <n v="46"/>
    <s v="Card"/>
    <n v="4"/>
    <x v="5"/>
    <n v="22"/>
    <n v="2024"/>
  </r>
  <r>
    <s v="CUST_38"/>
    <s v="O0038"/>
    <d v="2024-10-01T00:00:00"/>
    <s v="Mumbai"/>
    <s v="Goregaon"/>
    <s v="Pizza Planet"/>
    <s v="North Indian"/>
    <s v="Veg Burger"/>
    <s v="Veg"/>
    <n v="3"/>
    <n v="329"/>
    <n v="987"/>
    <n v="39"/>
    <s v="COD"/>
    <n v="4.5"/>
    <x v="0"/>
    <n v="40"/>
    <n v="2024"/>
  </r>
  <r>
    <s v="CUST_39"/>
    <s v="O0039"/>
    <d v="2024-01-17T00:00:00"/>
    <s v="Mumbai"/>
    <s v="Bandra"/>
    <s v="Pizza Planet"/>
    <s v="Italian"/>
    <s v="Chicken Biryani"/>
    <s v="Non-Veg"/>
    <n v="1"/>
    <n v="298"/>
    <n v="298"/>
    <n v="47"/>
    <s v="COD"/>
    <n v="4.7"/>
    <x v="6"/>
    <n v="3"/>
    <n v="2024"/>
  </r>
  <r>
    <s v="CUST_40"/>
    <s v="O0040"/>
    <d v="2024-05-31T00:00:00"/>
    <s v="Bangalore"/>
    <s v="Jayanagar"/>
    <s v="Urban Meals"/>
    <s v="Indian"/>
    <s v="Pizza"/>
    <s v="Veg"/>
    <n v="3"/>
    <n v="305"/>
    <n v="915"/>
    <n v="55"/>
    <s v="UPI"/>
    <n v="3.3"/>
    <x v="5"/>
    <n v="22"/>
    <n v="2024"/>
  </r>
  <r>
    <s v="CUST_41"/>
    <s v="O0041"/>
    <d v="2024-07-12T00:00:00"/>
    <s v="Delhi"/>
    <s v="Saket"/>
    <s v="Biryani House"/>
    <s v="North Indian"/>
    <s v="Fried Rice"/>
    <s v="Veg"/>
    <n v="5"/>
    <n v="227"/>
    <n v="1135"/>
    <n v="28"/>
    <s v="Card"/>
    <n v="3.4"/>
    <x v="1"/>
    <n v="28"/>
    <n v="2024"/>
  </r>
  <r>
    <s v="CUST_42"/>
    <s v="O0042"/>
    <d v="2024-01-11T00:00:00"/>
    <s v="Chennai"/>
    <s v="Tambaram"/>
    <s v="Tandoori Tales"/>
    <s v="South Indian"/>
    <s v="Fried Rice"/>
    <s v="Veg"/>
    <n v="4"/>
    <n v="131"/>
    <n v="524"/>
    <n v="44"/>
    <s v="UPI"/>
    <n v="3.3"/>
    <x v="6"/>
    <n v="2"/>
    <n v="2024"/>
  </r>
  <r>
    <s v="CUST_43"/>
    <s v="O0043"/>
    <d v="2024-04-04T00:00:00"/>
    <s v="Mumbai"/>
    <s v="Goregaon"/>
    <s v="Sandwich Stop"/>
    <s v="Italian"/>
    <s v="Momos"/>
    <s v="Veg"/>
    <n v="3"/>
    <n v="272"/>
    <n v="816"/>
    <n v="42"/>
    <s v="UPI"/>
    <n v="3.4"/>
    <x v="2"/>
    <n v="14"/>
    <n v="2024"/>
  </r>
  <r>
    <s v="CUST_44"/>
    <s v="O0044"/>
    <d v="2024-07-21T00:00:00"/>
    <s v="Chennai"/>
    <s v="T Nagar"/>
    <s v="Sandwich Stop"/>
    <s v="South Indian"/>
    <s v="Pasta"/>
    <s v="Veg"/>
    <n v="4"/>
    <n v="273"/>
    <n v="1092"/>
    <n v="42"/>
    <s v="UPI"/>
    <n v="5"/>
    <x v="1"/>
    <n v="30"/>
    <n v="2024"/>
  </r>
  <r>
    <s v="CUST_45"/>
    <s v="O0045"/>
    <d v="2024-10-16T00:00:00"/>
    <s v="Delhi"/>
    <s v="Dwarka"/>
    <s v="Pizza Planet"/>
    <s v="Chinese"/>
    <s v="Chicken Biryani"/>
    <s v="Non-Veg"/>
    <n v="2"/>
    <n v="433"/>
    <n v="866"/>
    <n v="59"/>
    <s v="COD"/>
    <n v="4.2"/>
    <x v="0"/>
    <n v="42"/>
    <n v="2024"/>
  </r>
  <r>
    <s v="CUST_46"/>
    <s v="O0046"/>
    <d v="2024-09-11T00:00:00"/>
    <s v="Bangalore"/>
    <s v="Jayanagar"/>
    <s v="Burger Hub"/>
    <s v="Fast Food"/>
    <s v="Veg Burger"/>
    <s v="Veg"/>
    <n v="5"/>
    <n v="445"/>
    <n v="2225"/>
    <n v="39"/>
    <s v="Card"/>
    <n v="3.4"/>
    <x v="3"/>
    <n v="37"/>
    <n v="2024"/>
  </r>
  <r>
    <s v="CUST_47"/>
    <s v="O0047"/>
    <d v="2024-04-07T00:00:00"/>
    <s v="Hyderabad"/>
    <s v="Kukatpally"/>
    <s v="Café Delight"/>
    <s v="Chinese"/>
    <s v="Paneer Tikka"/>
    <s v="Veg"/>
    <n v="2"/>
    <n v="418"/>
    <n v="836"/>
    <n v="20"/>
    <s v="Card"/>
    <n v="4.7"/>
    <x v="2"/>
    <n v="15"/>
    <n v="2024"/>
  </r>
  <r>
    <s v="CUST_48"/>
    <s v="O0048"/>
    <d v="2024-07-09T00:00:00"/>
    <s v="Hyderabad"/>
    <s v="Begumpet"/>
    <s v="Sandwich Stop"/>
    <s v="Chinese"/>
    <s v="Sandwich"/>
    <s v="Veg"/>
    <n v="2"/>
    <n v="214"/>
    <n v="428"/>
    <n v="21"/>
    <s v="COD"/>
    <n v="4.7"/>
    <x v="1"/>
    <n v="28"/>
    <n v="2024"/>
  </r>
  <r>
    <s v="CUST_49"/>
    <s v="O0049"/>
    <d v="2024-04-29T00:00:00"/>
    <s v="Chennai"/>
    <s v="Tambaram"/>
    <s v="Pizza Planet"/>
    <s v="South Indian"/>
    <s v="Chicken Roll"/>
    <s v="Non-Veg"/>
    <n v="1"/>
    <n v="336"/>
    <n v="336"/>
    <n v="40"/>
    <s v="UPI"/>
    <n v="4.8"/>
    <x v="2"/>
    <n v="18"/>
    <n v="2024"/>
  </r>
  <r>
    <s v="CUST_50"/>
    <s v="O0050"/>
    <d v="2024-06-24T00:00:00"/>
    <s v="Bangalore"/>
    <s v="Jayanagar"/>
    <s v="Biryani House"/>
    <s v="Chinese"/>
    <s v="Chicken Biryani"/>
    <s v="Non-Veg"/>
    <n v="3"/>
    <n v="464"/>
    <n v="1392"/>
    <n v="56"/>
    <s v="Card"/>
    <n v="4.5"/>
    <x v="7"/>
    <n v="26"/>
    <n v="2024"/>
  </r>
  <r>
    <s v="CUST_51"/>
    <s v="O0051"/>
    <d v="2024-07-16T00:00:00"/>
    <s v="Chennai"/>
    <s v="Velachery"/>
    <s v="Biryani House"/>
    <s v="Chinese"/>
    <s v="Veg Burger"/>
    <s v="Veg"/>
    <n v="1"/>
    <n v="395"/>
    <n v="395"/>
    <n v="41"/>
    <s v="UPI"/>
    <n v="4.8"/>
    <x v="1"/>
    <n v="29"/>
    <n v="2024"/>
  </r>
  <r>
    <s v="CUST_52"/>
    <s v="O0052"/>
    <d v="2024-04-22T00:00:00"/>
    <s v="Bangalore"/>
    <s v="Indiranagar"/>
    <s v="Chinese Bowl"/>
    <s v="Italian"/>
    <s v="Masala Dosa"/>
    <s v="Veg"/>
    <n v="5"/>
    <n v="432"/>
    <n v="2160"/>
    <n v="41"/>
    <s v="UPI"/>
    <n v="3.4"/>
    <x v="2"/>
    <n v="17"/>
    <n v="2024"/>
  </r>
  <r>
    <s v="CUST_53"/>
    <s v="O0053"/>
    <d v="2024-02-01T00:00:00"/>
    <s v="Hyderabad"/>
    <s v="Madhapur"/>
    <s v="Pizza Planet"/>
    <s v="Indian"/>
    <s v="Pasta"/>
    <s v="Veg"/>
    <n v="1"/>
    <n v="394"/>
    <n v="394"/>
    <n v="46"/>
    <s v="UPI"/>
    <n v="4.4000000000000004"/>
    <x v="8"/>
    <n v="5"/>
    <n v="2024"/>
  </r>
  <r>
    <s v="CUST_54"/>
    <s v="O0054"/>
    <d v="2024-10-16T00:00:00"/>
    <s v="Delhi"/>
    <s v="Dwarka"/>
    <s v="Burger Hub"/>
    <s v="Italian"/>
    <s v="Fried Rice"/>
    <s v="Veg"/>
    <n v="4"/>
    <n v="264"/>
    <n v="1056"/>
    <n v="55"/>
    <s v="COD"/>
    <n v="4"/>
    <x v="0"/>
    <n v="42"/>
    <n v="2024"/>
  </r>
  <r>
    <s v="CUST_55"/>
    <s v="O0055"/>
    <d v="2024-05-19T00:00:00"/>
    <s v="Hyderabad"/>
    <s v="Secunderabad"/>
    <s v="Biryani House"/>
    <s v="Indian"/>
    <s v="Fried Rice"/>
    <s v="Veg"/>
    <n v="3"/>
    <n v="256"/>
    <n v="768"/>
    <n v="43"/>
    <s v="COD"/>
    <n v="3.9"/>
    <x v="5"/>
    <n v="21"/>
    <n v="2024"/>
  </r>
  <r>
    <s v="CUST_56"/>
    <s v="O0056"/>
    <d v="2024-09-10T00:00:00"/>
    <s v="Hyderabad"/>
    <s v="Madhapur"/>
    <s v="Chinese Bowl"/>
    <s v="Chinese"/>
    <s v="Paneer Tikka"/>
    <s v="Veg"/>
    <n v="4"/>
    <n v="178"/>
    <n v="712"/>
    <n v="53"/>
    <s v="Card"/>
    <n v="4.8"/>
    <x v="3"/>
    <n v="37"/>
    <n v="2024"/>
  </r>
  <r>
    <s v="CUST_57"/>
    <s v="O0057"/>
    <d v="2024-03-21T00:00:00"/>
    <s v="Hyderabad"/>
    <s v="Begumpet"/>
    <s v="Chinese Bowl"/>
    <s v="Italian"/>
    <s v="Veg Burger"/>
    <s v="Veg"/>
    <n v="1"/>
    <n v="481"/>
    <n v="481"/>
    <n v="41"/>
    <s v="UPI"/>
    <n v="4.0999999999999996"/>
    <x v="4"/>
    <n v="12"/>
    <n v="2024"/>
  </r>
  <r>
    <s v="CUST_58"/>
    <s v="O0058"/>
    <d v="2024-07-17T00:00:00"/>
    <s v="Bangalore"/>
    <s v="Indiranagar"/>
    <s v="Sandwich Stop"/>
    <s v="North Indian"/>
    <s v="Sandwich"/>
    <s v="Veg"/>
    <n v="3"/>
    <n v="200"/>
    <n v="600"/>
    <n v="36"/>
    <s v="COD"/>
    <n v="3.5"/>
    <x v="1"/>
    <n v="29"/>
    <n v="2024"/>
  </r>
  <r>
    <s v="CUST_59"/>
    <s v="O0059"/>
    <d v="2024-10-22T00:00:00"/>
    <s v="Hyderabad"/>
    <s v="Banjara Hills"/>
    <s v="South Spice"/>
    <s v="South Indian"/>
    <s v="Paneer Tikka"/>
    <s v="Veg"/>
    <n v="2"/>
    <n v="441"/>
    <n v="882"/>
    <n v="36"/>
    <s v="Card"/>
    <n v="4"/>
    <x v="0"/>
    <n v="43"/>
    <n v="2024"/>
  </r>
  <r>
    <s v="CUST_60"/>
    <s v="O0060"/>
    <d v="2024-10-02T00:00:00"/>
    <s v="Mumbai"/>
    <s v="Goregaon"/>
    <s v="Biryani House"/>
    <s v="North Indian"/>
    <s v="Veg Burger"/>
    <s v="Veg"/>
    <n v="4"/>
    <n v="441"/>
    <n v="1764"/>
    <n v="28"/>
    <s v="COD"/>
    <n v="4"/>
    <x v="0"/>
    <n v="40"/>
    <n v="2024"/>
  </r>
  <r>
    <s v="CUST_61"/>
    <s v="O0061"/>
    <d v="2024-05-25T00:00:00"/>
    <s v="Mumbai"/>
    <s v="Powai"/>
    <s v="Grill Masters"/>
    <s v="Chinese"/>
    <s v="Masala Dosa"/>
    <s v="Veg"/>
    <n v="3"/>
    <n v="251"/>
    <n v="753"/>
    <n v="33"/>
    <s v="UPI"/>
    <n v="4.7"/>
    <x v="5"/>
    <n v="21"/>
    <n v="2024"/>
  </r>
  <r>
    <s v="CUST_62"/>
    <s v="O0062"/>
    <d v="2024-04-07T00:00:00"/>
    <s v="Bangalore"/>
    <s v="Koramangala"/>
    <s v="Sandwich Stop"/>
    <s v="Indian"/>
    <s v="Chicken Roll"/>
    <s v="Non-Veg"/>
    <n v="2"/>
    <n v="180"/>
    <n v="360"/>
    <n v="30"/>
    <s v="Card"/>
    <n v="3.9"/>
    <x v="2"/>
    <n v="15"/>
    <n v="2024"/>
  </r>
  <r>
    <s v="CUST_63"/>
    <s v="O0063"/>
    <d v="2024-01-04T00:00:00"/>
    <s v="Mumbai"/>
    <s v="Bandra"/>
    <s v="Chinese Bowl"/>
    <s v="Indian"/>
    <s v="Pasta"/>
    <s v="Veg"/>
    <n v="2"/>
    <n v="421"/>
    <n v="842"/>
    <n v="34"/>
    <s v="Card"/>
    <n v="4.4000000000000004"/>
    <x v="6"/>
    <n v="1"/>
    <n v="2024"/>
  </r>
  <r>
    <s v="CUST_64"/>
    <s v="O0064"/>
    <d v="2024-08-31T00:00:00"/>
    <s v="Delhi"/>
    <s v="Dwarka"/>
    <s v="Burger Hub"/>
    <s v="Indian"/>
    <s v="Sandwich"/>
    <s v="Veg"/>
    <n v="4"/>
    <n v="213"/>
    <n v="852"/>
    <n v="40"/>
    <s v="COD"/>
    <n v="3.6"/>
    <x v="9"/>
    <n v="35"/>
    <n v="2024"/>
  </r>
  <r>
    <s v="CUST_65"/>
    <s v="O0065"/>
    <d v="2024-09-23T00:00:00"/>
    <s v="Bangalore"/>
    <s v="Koramangala"/>
    <s v="Urban Meals"/>
    <s v="Chinese"/>
    <s v="Chicken Roll"/>
    <s v="Non-Veg"/>
    <n v="1"/>
    <n v="322"/>
    <n v="322"/>
    <n v="24"/>
    <s v="Card"/>
    <n v="4.2"/>
    <x v="3"/>
    <n v="39"/>
    <n v="2024"/>
  </r>
  <r>
    <s v="CUST_66"/>
    <s v="O0066"/>
    <d v="2024-03-06T00:00:00"/>
    <s v="Delhi"/>
    <s v="Rohini"/>
    <s v="Chinese Bowl"/>
    <s v="Fast Food"/>
    <s v="Momos"/>
    <s v="Veg"/>
    <n v="2"/>
    <n v="166"/>
    <n v="332"/>
    <n v="33"/>
    <s v="COD"/>
    <n v="4.2"/>
    <x v="4"/>
    <n v="10"/>
    <n v="2024"/>
  </r>
  <r>
    <s v="CUST_67"/>
    <s v="O0067"/>
    <d v="2024-04-16T00:00:00"/>
    <s v="Delhi"/>
    <s v="Saket"/>
    <s v="Burger Hub"/>
    <s v="North Indian"/>
    <s v="Sandwich"/>
    <s v="Veg"/>
    <n v="2"/>
    <n v="305"/>
    <n v="610"/>
    <n v="37"/>
    <s v="COD"/>
    <n v="4.0999999999999996"/>
    <x v="2"/>
    <n v="16"/>
    <n v="2024"/>
  </r>
  <r>
    <s v="CUST_68"/>
    <s v="O0068"/>
    <d v="2024-01-07T00:00:00"/>
    <s v="Mumbai"/>
    <s v="Bandra"/>
    <s v="Pizza Planet"/>
    <s v="Chinese"/>
    <s v="Pizza"/>
    <s v="Veg"/>
    <n v="2"/>
    <n v="280"/>
    <n v="560"/>
    <n v="32"/>
    <s v="COD"/>
    <n v="4.2"/>
    <x v="6"/>
    <n v="2"/>
    <n v="2024"/>
  </r>
  <r>
    <s v="CUST_69"/>
    <s v="O0069"/>
    <d v="2024-06-26T00:00:00"/>
    <s v="Mumbai"/>
    <s v="Bandra"/>
    <s v="Pizza Planet"/>
    <s v="North Indian"/>
    <s v="Veg Burger"/>
    <s v="Veg"/>
    <n v="1"/>
    <n v="408"/>
    <n v="408"/>
    <n v="51"/>
    <s v="UPI"/>
    <n v="4.0999999999999996"/>
    <x v="7"/>
    <n v="26"/>
    <n v="2024"/>
  </r>
  <r>
    <s v="CUST_70"/>
    <s v="O0070"/>
    <d v="2024-08-10T00:00:00"/>
    <s v="Mumbai"/>
    <s v="Powai"/>
    <s v="Burger Hub"/>
    <s v="Fast Food"/>
    <s v="Pasta"/>
    <s v="Veg"/>
    <n v="4"/>
    <n v="203"/>
    <n v="812"/>
    <n v="58"/>
    <s v="Card"/>
    <n v="3.3"/>
    <x v="9"/>
    <n v="32"/>
    <n v="2024"/>
  </r>
  <r>
    <s v="CUST_71"/>
    <s v="O0071"/>
    <d v="2024-04-14T00:00:00"/>
    <s v="Chennai"/>
    <s v="Anna Nagar"/>
    <s v="Pizza Planet"/>
    <s v="Indian"/>
    <s v="Masala Dosa"/>
    <s v="Veg"/>
    <n v="5"/>
    <n v="487"/>
    <n v="2435"/>
    <n v="48"/>
    <s v="COD"/>
    <n v="4.4000000000000004"/>
    <x v="2"/>
    <n v="16"/>
    <n v="2024"/>
  </r>
  <r>
    <s v="CUST_72"/>
    <s v="O0072"/>
    <d v="2024-02-01T00:00:00"/>
    <s v="Bangalore"/>
    <s v="Indiranagar"/>
    <s v="Biryani House"/>
    <s v="South Indian"/>
    <s v="Paneer Tikka"/>
    <s v="Veg"/>
    <n v="1"/>
    <n v="292"/>
    <n v="292"/>
    <n v="21"/>
    <s v="UPI"/>
    <n v="3.8"/>
    <x v="8"/>
    <n v="5"/>
    <n v="2024"/>
  </r>
  <r>
    <s v="CUST_73"/>
    <s v="O0073"/>
    <d v="2024-09-21T00:00:00"/>
    <s v="Delhi"/>
    <s v="Rohini"/>
    <s v="Sandwich Stop"/>
    <s v="Italian"/>
    <s v="Momos"/>
    <s v="Veg"/>
    <n v="3"/>
    <n v="401"/>
    <n v="1203"/>
    <n v="40"/>
    <s v="UPI"/>
    <n v="4.2"/>
    <x v="3"/>
    <n v="38"/>
    <n v="2024"/>
  </r>
  <r>
    <s v="CUST_74"/>
    <s v="O0074"/>
    <d v="2024-05-15T00:00:00"/>
    <s v="Bangalore"/>
    <s v="Jayanagar"/>
    <s v="Burger Hub"/>
    <s v="Italian"/>
    <s v="Veg Burger"/>
    <s v="Veg"/>
    <n v="4"/>
    <n v="392"/>
    <n v="1568"/>
    <n v="20"/>
    <s v="COD"/>
    <n v="4.0999999999999996"/>
    <x v="5"/>
    <n v="20"/>
    <n v="2024"/>
  </r>
  <r>
    <s v="CUST_75"/>
    <s v="O0075"/>
    <d v="2024-09-16T00:00:00"/>
    <s v="Bangalore"/>
    <s v="Jayanagar"/>
    <s v="Chinese Bowl"/>
    <s v="Italian"/>
    <s v="Paneer Tikka"/>
    <s v="Veg"/>
    <n v="5"/>
    <n v="146"/>
    <n v="730"/>
    <n v="53"/>
    <s v="COD"/>
    <n v="3.8"/>
    <x v="3"/>
    <n v="38"/>
    <n v="2024"/>
  </r>
  <r>
    <s v="CUST_76"/>
    <s v="O0076"/>
    <d v="2024-04-19T00:00:00"/>
    <s v="Bangalore"/>
    <s v="Koramangala"/>
    <s v="Café Delight"/>
    <s v="Indian"/>
    <s v="Pizza"/>
    <s v="Veg"/>
    <n v="4"/>
    <n v="199"/>
    <n v="796"/>
    <n v="27"/>
    <s v="Card"/>
    <n v="3.6"/>
    <x v="2"/>
    <n v="16"/>
    <n v="2024"/>
  </r>
  <r>
    <s v="CUST_77"/>
    <s v="O0077"/>
    <d v="2024-02-14T00:00:00"/>
    <s v="Delhi"/>
    <s v="Karol Bagh"/>
    <s v="Pizza Planet"/>
    <s v="Indian"/>
    <s v="Chicken Biryani"/>
    <s v="Non-Veg"/>
    <n v="1"/>
    <n v="137"/>
    <n v="137"/>
    <n v="20"/>
    <s v="COD"/>
    <n v="4.9000000000000004"/>
    <x v="8"/>
    <n v="7"/>
    <n v="2024"/>
  </r>
  <r>
    <s v="CUST_78"/>
    <s v="O0078"/>
    <d v="2024-04-10T00:00:00"/>
    <s v="Delhi"/>
    <s v="Rohini"/>
    <s v="South Spice"/>
    <s v="Italian"/>
    <s v="Sandwich"/>
    <s v="Veg"/>
    <n v="3"/>
    <n v="139"/>
    <n v="417"/>
    <n v="51"/>
    <s v="UPI"/>
    <n v="4.0999999999999996"/>
    <x v="2"/>
    <n v="15"/>
    <n v="2024"/>
  </r>
  <r>
    <s v="CUST_79"/>
    <s v="O0079"/>
    <d v="2024-01-23T00:00:00"/>
    <s v="Delhi"/>
    <s v="Rohini"/>
    <s v="Burger Hub"/>
    <s v="Italian"/>
    <s v="Paneer Tikka"/>
    <s v="Veg"/>
    <n v="4"/>
    <n v="108"/>
    <n v="432"/>
    <n v="29"/>
    <s v="COD"/>
    <n v="3.9"/>
    <x v="6"/>
    <n v="4"/>
    <n v="2024"/>
  </r>
  <r>
    <s v="CUST_80"/>
    <s v="O0080"/>
    <d v="2024-08-08T00:00:00"/>
    <s v="Chennai"/>
    <s v="Velachery"/>
    <s v="Biryani House"/>
    <s v="Fast Food"/>
    <s v="Paneer Tikka"/>
    <s v="Veg"/>
    <n v="4"/>
    <n v="332"/>
    <n v="1328"/>
    <n v="30"/>
    <s v="UPI"/>
    <n v="3.6"/>
    <x v="9"/>
    <n v="32"/>
    <n v="2024"/>
  </r>
  <r>
    <s v="CUST_81"/>
    <s v="O0081"/>
    <d v="2024-06-15T00:00:00"/>
    <s v="Hyderabad"/>
    <s v="Kukatpally"/>
    <s v="South Spice"/>
    <s v="North Indian"/>
    <s v="Momos"/>
    <s v="Veg"/>
    <n v="2"/>
    <n v="146"/>
    <n v="292"/>
    <n v="50"/>
    <s v="COD"/>
    <n v="4.9000000000000004"/>
    <x v="7"/>
    <n v="24"/>
    <n v="2024"/>
  </r>
  <r>
    <s v="CUST_82"/>
    <s v="O0082"/>
    <d v="2024-08-02T00:00:00"/>
    <s v="Delhi"/>
    <s v="Saket"/>
    <s v="Tandoori Tales"/>
    <s v="Italian"/>
    <s v="Pasta"/>
    <s v="Veg"/>
    <n v="4"/>
    <n v="126"/>
    <n v="504"/>
    <n v="21"/>
    <s v="COD"/>
    <n v="3.1"/>
    <x v="9"/>
    <n v="31"/>
    <n v="2024"/>
  </r>
  <r>
    <s v="CUST_83"/>
    <s v="O0083"/>
    <d v="2024-03-30T00:00:00"/>
    <s v="Mumbai"/>
    <s v="Goregaon"/>
    <s v="Tandoori Tales"/>
    <s v="Fast Food"/>
    <s v="Paneer Tikka"/>
    <s v="Veg"/>
    <n v="5"/>
    <n v="203"/>
    <n v="1015"/>
    <n v="29"/>
    <s v="Card"/>
    <n v="4.3"/>
    <x v="4"/>
    <n v="13"/>
    <n v="2024"/>
  </r>
  <r>
    <s v="CUST_84"/>
    <s v="O0084"/>
    <d v="2024-04-08T00:00:00"/>
    <s v="Bangalore"/>
    <s v="Whitefield"/>
    <s v="Chinese Bowl"/>
    <s v="Italian"/>
    <s v="Sandwich"/>
    <s v="Veg"/>
    <n v="4"/>
    <n v="119"/>
    <n v="476"/>
    <n v="30"/>
    <s v="COD"/>
    <n v="4.9000000000000004"/>
    <x v="2"/>
    <n v="15"/>
    <n v="2024"/>
  </r>
  <r>
    <s v="CUST_85"/>
    <s v="O0085"/>
    <d v="2024-08-19T00:00:00"/>
    <s v="Bangalore"/>
    <s v="Jayanagar"/>
    <s v="Tandoori Tales"/>
    <s v="Fast Food"/>
    <s v="Momos"/>
    <s v="Veg"/>
    <n v="2"/>
    <n v="349"/>
    <n v="698"/>
    <n v="31"/>
    <s v="COD"/>
    <n v="3.5"/>
    <x v="9"/>
    <n v="34"/>
    <n v="2024"/>
  </r>
  <r>
    <s v="CUST_86"/>
    <s v="O0086"/>
    <d v="2024-07-24T00:00:00"/>
    <s v="Mumbai"/>
    <s v="Andheri"/>
    <s v="Burger Hub"/>
    <s v="Indian"/>
    <s v="Pasta"/>
    <s v="Veg"/>
    <n v="2"/>
    <n v="481"/>
    <n v="962"/>
    <n v="58"/>
    <s v="UPI"/>
    <n v="3.9"/>
    <x v="1"/>
    <n v="30"/>
    <n v="2024"/>
  </r>
  <r>
    <s v="CUST_87"/>
    <s v="O0087"/>
    <d v="2024-08-19T00:00:00"/>
    <s v="Hyderabad"/>
    <s v="Banjara Hills"/>
    <s v="Café Delight"/>
    <s v="Fast Food"/>
    <s v="Veg Burger"/>
    <s v="Veg"/>
    <n v="3"/>
    <n v="389"/>
    <n v="1167"/>
    <n v="48"/>
    <s v="Card"/>
    <n v="3.2"/>
    <x v="9"/>
    <n v="34"/>
    <n v="2024"/>
  </r>
  <r>
    <s v="CUST_88"/>
    <s v="O0088"/>
    <d v="2024-04-25T00:00:00"/>
    <s v="Chennai"/>
    <s v="Tambaram"/>
    <s v="Pizza Planet"/>
    <s v="North Indian"/>
    <s v="Momos"/>
    <s v="Veg"/>
    <n v="1"/>
    <n v="259"/>
    <n v="259"/>
    <n v="44"/>
    <s v="UPI"/>
    <n v="3.6"/>
    <x v="2"/>
    <n v="17"/>
    <n v="2024"/>
  </r>
  <r>
    <s v="CUST_89"/>
    <s v="O0089"/>
    <d v="2024-06-20T00:00:00"/>
    <s v="Mumbai"/>
    <s v="Goregaon"/>
    <s v="Burger Hub"/>
    <s v="Indian"/>
    <s v="Momos"/>
    <s v="Veg"/>
    <n v="2"/>
    <n v="151"/>
    <n v="302"/>
    <n v="55"/>
    <s v="COD"/>
    <n v="3.9"/>
    <x v="7"/>
    <n v="25"/>
    <n v="2024"/>
  </r>
  <r>
    <s v="CUST_90"/>
    <s v="O0090"/>
    <d v="2024-02-13T00:00:00"/>
    <s v="Chennai"/>
    <s v="T Nagar"/>
    <s v="Tandoori Tales"/>
    <s v="Chinese"/>
    <s v="Masala Dosa"/>
    <s v="Veg"/>
    <n v="3"/>
    <n v="407"/>
    <n v="1221"/>
    <n v="55"/>
    <s v="UPI"/>
    <n v="3.9"/>
    <x v="8"/>
    <n v="7"/>
    <n v="2024"/>
  </r>
  <r>
    <s v="CUST_91"/>
    <s v="O0091"/>
    <d v="2024-06-16T00:00:00"/>
    <s v="Delhi"/>
    <s v="Saket"/>
    <s v="Biryani House"/>
    <s v="Indian"/>
    <s v="Fried Rice"/>
    <s v="Veg"/>
    <n v="3"/>
    <n v="221"/>
    <n v="663"/>
    <n v="38"/>
    <s v="COD"/>
    <n v="4.5999999999999996"/>
    <x v="7"/>
    <n v="25"/>
    <n v="2024"/>
  </r>
  <r>
    <s v="CUST_92"/>
    <s v="O0092"/>
    <d v="2024-10-23T00:00:00"/>
    <s v="Mumbai"/>
    <s v="Bandra"/>
    <s v="Burger Hub"/>
    <s v="Fast Food"/>
    <s v="Veg Burger"/>
    <s v="Veg"/>
    <n v="3"/>
    <n v="443"/>
    <n v="1329"/>
    <n v="44"/>
    <s v="UPI"/>
    <n v="3"/>
    <x v="0"/>
    <n v="43"/>
    <n v="2024"/>
  </r>
  <r>
    <s v="CUST_93"/>
    <s v="O0093"/>
    <d v="2024-07-05T00:00:00"/>
    <s v="Chennai"/>
    <s v="T Nagar"/>
    <s v="Sandwich Stop"/>
    <s v="Italian"/>
    <s v="Veg Burger"/>
    <s v="Veg"/>
    <n v="3"/>
    <n v="133"/>
    <n v="399"/>
    <n v="43"/>
    <s v="UPI"/>
    <n v="4.5"/>
    <x v="1"/>
    <n v="27"/>
    <n v="2024"/>
  </r>
  <r>
    <s v="CUST_94"/>
    <s v="O0094"/>
    <d v="2024-08-12T00:00:00"/>
    <s v="Hyderabad"/>
    <s v="Madhapur"/>
    <s v="Grill Masters"/>
    <s v="Indian"/>
    <s v="Sandwich"/>
    <s v="Veg"/>
    <n v="1"/>
    <n v="451"/>
    <n v="451"/>
    <n v="39"/>
    <s v="COD"/>
    <n v="4.5"/>
    <x v="9"/>
    <n v="33"/>
    <n v="2024"/>
  </r>
  <r>
    <s v="CUST_95"/>
    <s v="O0095"/>
    <d v="2024-07-18T00:00:00"/>
    <s v="Delhi"/>
    <s v="Saket"/>
    <s v="Grill Masters"/>
    <s v="South Indian"/>
    <s v="Masala Dosa"/>
    <s v="Veg"/>
    <n v="2"/>
    <n v="327"/>
    <n v="654"/>
    <n v="58"/>
    <s v="COD"/>
    <n v="4.9000000000000004"/>
    <x v="1"/>
    <n v="29"/>
    <n v="2024"/>
  </r>
  <r>
    <s v="CUST_96"/>
    <s v="O0096"/>
    <d v="2024-05-23T00:00:00"/>
    <s v="Mumbai"/>
    <s v="Goregaon"/>
    <s v="Sandwich Stop"/>
    <s v="South Indian"/>
    <s v="Fried Rice"/>
    <s v="Veg"/>
    <n v="5"/>
    <n v="133"/>
    <n v="665"/>
    <n v="39"/>
    <s v="UPI"/>
    <n v="4.0999999999999996"/>
    <x v="5"/>
    <n v="21"/>
    <n v="2024"/>
  </r>
  <r>
    <s v="CUST_97"/>
    <s v="O0097"/>
    <d v="2024-09-26T00:00:00"/>
    <s v="Mumbai"/>
    <s v="Bandra"/>
    <s v="Chinese Bowl"/>
    <s v="Fast Food"/>
    <s v="Chicken Biryani"/>
    <s v="Non-Veg"/>
    <n v="3"/>
    <n v="457"/>
    <n v="1371"/>
    <n v="35"/>
    <s v="UPI"/>
    <n v="3.3"/>
    <x v="3"/>
    <n v="39"/>
    <n v="2024"/>
  </r>
  <r>
    <s v="CUST_98"/>
    <s v="O0098"/>
    <d v="2024-03-28T00:00:00"/>
    <s v="Delhi"/>
    <s v="Rohini"/>
    <s v="Burger Hub"/>
    <s v="Indian"/>
    <s v="Paneer Tikka"/>
    <s v="Veg"/>
    <n v="3"/>
    <n v="199"/>
    <n v="597"/>
    <n v="22"/>
    <s v="Card"/>
    <n v="4.5"/>
    <x v="4"/>
    <n v="13"/>
    <n v="2024"/>
  </r>
  <r>
    <s v="CUST_99"/>
    <s v="O0099"/>
    <d v="2024-06-12T00:00:00"/>
    <s v="Delhi"/>
    <s v="Rohini"/>
    <s v="Urban Meals"/>
    <s v="Indian"/>
    <s v="Chicken Biryani"/>
    <s v="Non-Veg"/>
    <n v="3"/>
    <n v="322"/>
    <n v="966"/>
    <n v="33"/>
    <s v="UPI"/>
    <n v="4.2"/>
    <x v="7"/>
    <n v="24"/>
    <n v="2024"/>
  </r>
  <r>
    <s v="CUST_100"/>
    <s v="O0100"/>
    <d v="2024-10-09T00:00:00"/>
    <s v="Hyderabad"/>
    <s v="Secunderabad"/>
    <s v="Grill Masters"/>
    <s v="Italian"/>
    <s v="Paneer Tikka"/>
    <s v="Veg"/>
    <n v="4"/>
    <n v="348"/>
    <n v="1392"/>
    <n v="32"/>
    <s v="UPI"/>
    <n v="3.7"/>
    <x v="0"/>
    <n v="41"/>
    <n v="2024"/>
  </r>
  <r>
    <s v="CUST_101"/>
    <s v="O0101"/>
    <d v="2024-06-18T00:00:00"/>
    <s v="Chennai"/>
    <s v="Anna Nagar"/>
    <s v="Sandwich Stop"/>
    <s v="Italian"/>
    <s v="Pasta"/>
    <s v="Veg"/>
    <n v="3"/>
    <n v="109"/>
    <n v="327"/>
    <n v="37"/>
    <s v="UPI"/>
    <n v="4.8"/>
    <x v="7"/>
    <n v="25"/>
    <n v="2024"/>
  </r>
  <r>
    <s v="CUST_102"/>
    <s v="O0102"/>
    <d v="2024-07-11T00:00:00"/>
    <s v="Chennai"/>
    <s v="Tambaram"/>
    <s v="Burger Hub"/>
    <s v="Chinese"/>
    <s v="Pasta"/>
    <s v="Veg"/>
    <n v="1"/>
    <n v="108"/>
    <n v="108"/>
    <n v="27"/>
    <s v="Card"/>
    <n v="3.6"/>
    <x v="1"/>
    <n v="28"/>
    <n v="2024"/>
  </r>
  <r>
    <s v="CUST_103"/>
    <s v="O0103"/>
    <d v="2024-04-23T00:00:00"/>
    <s v="Bangalore"/>
    <s v="Jayanagar"/>
    <s v="Biryani House"/>
    <s v="North Indian"/>
    <s v="Pasta"/>
    <s v="Veg"/>
    <n v="3"/>
    <n v="310"/>
    <n v="930"/>
    <n v="54"/>
    <s v="Card"/>
    <n v="4.8"/>
    <x v="2"/>
    <n v="17"/>
    <n v="2024"/>
  </r>
  <r>
    <s v="CUST_104"/>
    <s v="O0104"/>
    <d v="2024-05-10T00:00:00"/>
    <s v="Delhi"/>
    <s v="Karol Bagh"/>
    <s v="Café Delight"/>
    <s v="Indian"/>
    <s v="Pasta"/>
    <s v="Veg"/>
    <n v="5"/>
    <n v="228"/>
    <n v="1140"/>
    <n v="52"/>
    <s v="Card"/>
    <n v="4.9000000000000004"/>
    <x v="5"/>
    <n v="19"/>
    <n v="2024"/>
  </r>
  <r>
    <s v="CUST_105"/>
    <s v="O0105"/>
    <d v="2024-09-06T00:00:00"/>
    <s v="Mumbai"/>
    <s v="Dadar"/>
    <s v="South Spice"/>
    <s v="North Indian"/>
    <s v="Chicken Biryani"/>
    <s v="Non-Veg"/>
    <n v="4"/>
    <n v="213"/>
    <n v="852"/>
    <n v="21"/>
    <s v="COD"/>
    <n v="3.7"/>
    <x v="3"/>
    <n v="36"/>
    <n v="2024"/>
  </r>
  <r>
    <s v="CUST_106"/>
    <s v="O0106"/>
    <d v="2024-10-21T00:00:00"/>
    <s v="Hyderabad"/>
    <s v="Banjara Hills"/>
    <s v="Chinese Bowl"/>
    <s v="South Indian"/>
    <s v="Pasta"/>
    <s v="Veg"/>
    <n v="2"/>
    <n v="240"/>
    <n v="480"/>
    <n v="55"/>
    <s v="COD"/>
    <n v="4.4000000000000004"/>
    <x v="0"/>
    <n v="43"/>
    <n v="2024"/>
  </r>
  <r>
    <s v="CUST_107"/>
    <s v="O0107"/>
    <d v="2024-08-22T00:00:00"/>
    <s v="Hyderabad"/>
    <s v="Madhapur"/>
    <s v="Café Delight"/>
    <s v="Indian"/>
    <s v="Paneer Tikka"/>
    <s v="Veg"/>
    <n v="3"/>
    <n v="444"/>
    <n v="1332"/>
    <n v="31"/>
    <s v="COD"/>
    <n v="3.1"/>
    <x v="9"/>
    <n v="34"/>
    <n v="2024"/>
  </r>
  <r>
    <s v="CUST_108"/>
    <s v="O0108"/>
    <d v="2024-07-31T00:00:00"/>
    <s v="Mumbai"/>
    <s v="Powai"/>
    <s v="Urban Meals"/>
    <s v="Fast Food"/>
    <s v="Chicken Roll"/>
    <s v="Non-Veg"/>
    <n v="4"/>
    <n v="361"/>
    <n v="1444"/>
    <n v="50"/>
    <s v="Card"/>
    <n v="3.9"/>
    <x v="1"/>
    <n v="31"/>
    <n v="2024"/>
  </r>
  <r>
    <s v="CUST_109"/>
    <s v="O0109"/>
    <d v="2024-09-30T00:00:00"/>
    <s v="Delhi"/>
    <s v="Rohini"/>
    <s v="Urban Meals"/>
    <s v="Indian"/>
    <s v="Chicken Roll"/>
    <s v="Non-Veg"/>
    <n v="1"/>
    <n v="158"/>
    <n v="158"/>
    <n v="30"/>
    <s v="COD"/>
    <n v="4.4000000000000004"/>
    <x v="3"/>
    <n v="40"/>
    <n v="2024"/>
  </r>
  <r>
    <s v="CUST_110"/>
    <s v="O0110"/>
    <d v="2024-07-01T00:00:00"/>
    <s v="Chennai"/>
    <s v="Anna Nagar"/>
    <s v="Grill Masters"/>
    <s v="North Indian"/>
    <s v="Sandwich"/>
    <s v="Veg"/>
    <n v="1"/>
    <n v="232"/>
    <n v="232"/>
    <n v="49"/>
    <s v="COD"/>
    <n v="3.1"/>
    <x v="1"/>
    <n v="27"/>
    <n v="2024"/>
  </r>
  <r>
    <s v="CUST_111"/>
    <s v="O0111"/>
    <d v="2024-05-17T00:00:00"/>
    <s v="Mumbai"/>
    <s v="Bandra"/>
    <s v="Pizza Planet"/>
    <s v="Chinese"/>
    <s v="Pasta"/>
    <s v="Veg"/>
    <n v="5"/>
    <n v="198"/>
    <n v="990"/>
    <n v="59"/>
    <s v="UPI"/>
    <n v="4.3"/>
    <x v="5"/>
    <n v="20"/>
    <n v="2024"/>
  </r>
  <r>
    <s v="CUST_112"/>
    <s v="O0112"/>
    <d v="2024-08-19T00:00:00"/>
    <s v="Mumbai"/>
    <s v="Powai"/>
    <s v="Café Delight"/>
    <s v="North Indian"/>
    <s v="Paneer Tikka"/>
    <s v="Veg"/>
    <n v="3"/>
    <n v="165"/>
    <n v="495"/>
    <n v="36"/>
    <s v="COD"/>
    <n v="3.8"/>
    <x v="9"/>
    <n v="34"/>
    <n v="2024"/>
  </r>
  <r>
    <s v="CUST_113"/>
    <s v="O0113"/>
    <d v="2024-10-22T00:00:00"/>
    <s v="Chennai"/>
    <s v="T Nagar"/>
    <s v="Pizza Planet"/>
    <s v="Fast Food"/>
    <s v="Masala Dosa"/>
    <s v="Veg"/>
    <n v="5"/>
    <n v="369"/>
    <n v="1845"/>
    <n v="20"/>
    <s v="Card"/>
    <n v="4.2"/>
    <x v="0"/>
    <n v="43"/>
    <n v="2024"/>
  </r>
  <r>
    <s v="CUST_114"/>
    <s v="O0114"/>
    <d v="2024-09-17T00:00:00"/>
    <s v="Bangalore"/>
    <s v="Whitefield"/>
    <s v="Chinese Bowl"/>
    <s v="Chinese"/>
    <s v="Sandwich"/>
    <s v="Veg"/>
    <n v="4"/>
    <n v="178"/>
    <n v="712"/>
    <n v="45"/>
    <s v="COD"/>
    <n v="4"/>
    <x v="3"/>
    <n v="38"/>
    <n v="2024"/>
  </r>
  <r>
    <s v="CUST_115"/>
    <s v="O0115"/>
    <d v="2024-06-23T00:00:00"/>
    <s v="Delhi"/>
    <s v="Connaught Place"/>
    <s v="Biryani House"/>
    <s v="Italian"/>
    <s v="Pizza"/>
    <s v="Veg"/>
    <n v="3"/>
    <n v="262"/>
    <n v="786"/>
    <n v="20"/>
    <s v="Card"/>
    <n v="3.1"/>
    <x v="7"/>
    <n v="26"/>
    <n v="2024"/>
  </r>
  <r>
    <s v="CUST_116"/>
    <s v="O0116"/>
    <d v="2024-09-19T00:00:00"/>
    <s v="Mumbai"/>
    <s v="Andheri"/>
    <s v="Chinese Bowl"/>
    <s v="Italian"/>
    <s v="Masala Dosa"/>
    <s v="Veg"/>
    <n v="5"/>
    <n v="386"/>
    <n v="1930"/>
    <n v="32"/>
    <s v="COD"/>
    <n v="4"/>
    <x v="3"/>
    <n v="38"/>
    <n v="2024"/>
  </r>
  <r>
    <s v="CUST_117"/>
    <s v="O0117"/>
    <d v="2024-01-07T00:00:00"/>
    <s v="Bangalore"/>
    <s v="Jayanagar"/>
    <s v="Grill Masters"/>
    <s v="South Indian"/>
    <s v="Masala Dosa"/>
    <s v="Veg"/>
    <n v="5"/>
    <n v="319"/>
    <n v="1595"/>
    <n v="30"/>
    <s v="Card"/>
    <n v="3"/>
    <x v="6"/>
    <n v="2"/>
    <n v="2024"/>
  </r>
  <r>
    <s v="CUST_118"/>
    <s v="O0118"/>
    <d v="2024-09-15T00:00:00"/>
    <s v="Hyderabad"/>
    <s v="Begumpet"/>
    <s v="Sandwich Stop"/>
    <s v="South Indian"/>
    <s v="Fried Rice"/>
    <s v="Veg"/>
    <n v="2"/>
    <n v="413"/>
    <n v="826"/>
    <n v="27"/>
    <s v="Card"/>
    <n v="3.4"/>
    <x v="3"/>
    <n v="38"/>
    <n v="2024"/>
  </r>
  <r>
    <s v="CUST_119"/>
    <s v="O0119"/>
    <d v="2024-08-28T00:00:00"/>
    <s v="Hyderabad"/>
    <s v="Secunderabad"/>
    <s v="Pizza Planet"/>
    <s v="Fast Food"/>
    <s v="Paneer Tikka"/>
    <s v="Veg"/>
    <n v="3"/>
    <n v="222"/>
    <n v="666"/>
    <n v="37"/>
    <s v="Card"/>
    <n v="3.6"/>
    <x v="9"/>
    <n v="35"/>
    <n v="2024"/>
  </r>
  <r>
    <s v="CUST_120"/>
    <s v="O0120"/>
    <d v="2024-04-15T00:00:00"/>
    <s v="Bangalore"/>
    <s v="Indiranagar"/>
    <s v="Biryani House"/>
    <s v="Italian"/>
    <s v="Chicken Roll"/>
    <s v="Non-Veg"/>
    <n v="3"/>
    <n v="491"/>
    <n v="1473"/>
    <n v="40"/>
    <s v="COD"/>
    <n v="4.4000000000000004"/>
    <x v="2"/>
    <n v="16"/>
    <n v="2024"/>
  </r>
  <r>
    <s v="CUST_121"/>
    <s v="O0121"/>
    <d v="2024-01-27T00:00:00"/>
    <s v="Bangalore"/>
    <s v="BTM Layout"/>
    <s v="Chinese Bowl"/>
    <s v="Fast Food"/>
    <s v="Pizza"/>
    <s v="Veg"/>
    <n v="1"/>
    <n v="322"/>
    <n v="322"/>
    <n v="44"/>
    <s v="Card"/>
    <n v="3.1"/>
    <x v="6"/>
    <n v="4"/>
    <n v="2024"/>
  </r>
  <r>
    <s v="CUST_122"/>
    <s v="O0122"/>
    <d v="2024-01-31T00:00:00"/>
    <s v="Mumbai"/>
    <s v="Goregaon"/>
    <s v="Urban Meals"/>
    <s v="North Indian"/>
    <s v="Sandwich"/>
    <s v="Veg"/>
    <n v="2"/>
    <n v="350"/>
    <n v="700"/>
    <n v="31"/>
    <s v="Card"/>
    <n v="4.8"/>
    <x v="6"/>
    <n v="5"/>
    <n v="2024"/>
  </r>
  <r>
    <s v="CUST_123"/>
    <s v="O0123"/>
    <d v="2024-06-17T00:00:00"/>
    <s v="Delhi"/>
    <s v="Connaught Place"/>
    <s v="Grill Masters"/>
    <s v="North Indian"/>
    <s v="Paneer Tikka"/>
    <s v="Veg"/>
    <n v="4"/>
    <n v="348"/>
    <n v="1392"/>
    <n v="31"/>
    <s v="UPI"/>
    <n v="3.4"/>
    <x v="7"/>
    <n v="25"/>
    <n v="2024"/>
  </r>
  <r>
    <s v="CUST_124"/>
    <s v="O0124"/>
    <d v="2024-01-26T00:00:00"/>
    <s v="Bangalore"/>
    <s v="BTM Layout"/>
    <s v="Chinese Bowl"/>
    <s v="Italian"/>
    <s v="Chicken Roll"/>
    <s v="Non-Veg"/>
    <n v="4"/>
    <n v="485"/>
    <n v="1940"/>
    <n v="42"/>
    <s v="COD"/>
    <n v="3.8"/>
    <x v="6"/>
    <n v="4"/>
    <n v="2024"/>
  </r>
  <r>
    <s v="CUST_125"/>
    <s v="O0125"/>
    <d v="2024-01-04T00:00:00"/>
    <s v="Chennai"/>
    <s v="Velachery"/>
    <s v="Pizza Planet"/>
    <s v="North Indian"/>
    <s v="Chicken Roll"/>
    <s v="Non-Veg"/>
    <n v="3"/>
    <n v="133"/>
    <n v="399"/>
    <n v="24"/>
    <s v="Card"/>
    <n v="3.6"/>
    <x v="6"/>
    <n v="1"/>
    <n v="2024"/>
  </r>
  <r>
    <s v="CUST_126"/>
    <s v="O0126"/>
    <d v="2024-04-04T00:00:00"/>
    <s v="Chennai"/>
    <s v="Anna Nagar"/>
    <s v="Chinese Bowl"/>
    <s v="Chinese"/>
    <s v="Momos"/>
    <s v="Veg"/>
    <n v="3"/>
    <n v="486"/>
    <n v="1458"/>
    <n v="33"/>
    <s v="COD"/>
    <n v="3.3"/>
    <x v="2"/>
    <n v="14"/>
    <n v="2024"/>
  </r>
  <r>
    <s v="CUST_127"/>
    <s v="O0127"/>
    <d v="2024-09-29T00:00:00"/>
    <s v="Delhi"/>
    <s v="Rohini"/>
    <s v="Biryani House"/>
    <s v="Italian"/>
    <s v="Masala Dosa"/>
    <s v="Veg"/>
    <n v="3"/>
    <n v="220"/>
    <n v="660"/>
    <n v="47"/>
    <s v="Card"/>
    <n v="3.5"/>
    <x v="3"/>
    <n v="40"/>
    <n v="2024"/>
  </r>
  <r>
    <s v="CUST_128"/>
    <s v="O0128"/>
    <d v="2024-04-03T00:00:00"/>
    <s v="Bangalore"/>
    <s v="Jayanagar"/>
    <s v="Urban Meals"/>
    <s v="Italian"/>
    <s v="Momos"/>
    <s v="Veg"/>
    <n v="4"/>
    <n v="454"/>
    <n v="1816"/>
    <n v="33"/>
    <s v="Card"/>
    <n v="4.0999999999999996"/>
    <x v="2"/>
    <n v="14"/>
    <n v="2024"/>
  </r>
  <r>
    <s v="CUST_129"/>
    <s v="O0129"/>
    <d v="2024-07-19T00:00:00"/>
    <s v="Bangalore"/>
    <s v="Whitefield"/>
    <s v="Chinese Bowl"/>
    <s v="Indian"/>
    <s v="Veg Burger"/>
    <s v="Veg"/>
    <n v="2"/>
    <n v="261"/>
    <n v="522"/>
    <n v="23"/>
    <s v="Card"/>
    <n v="4.5999999999999996"/>
    <x v="1"/>
    <n v="29"/>
    <n v="2024"/>
  </r>
  <r>
    <s v="CUST_130"/>
    <s v="O0130"/>
    <d v="2024-07-18T00:00:00"/>
    <s v="Hyderabad"/>
    <s v="Kukatpally"/>
    <s v="Burger Hub"/>
    <s v="North Indian"/>
    <s v="Fried Rice"/>
    <s v="Veg"/>
    <n v="4"/>
    <n v="268"/>
    <n v="1072"/>
    <n v="38"/>
    <s v="UPI"/>
    <n v="3.7"/>
    <x v="1"/>
    <n v="29"/>
    <n v="2024"/>
  </r>
  <r>
    <s v="CUST_131"/>
    <s v="O0131"/>
    <d v="2024-01-15T00:00:00"/>
    <s v="Hyderabad"/>
    <s v="Begumpet"/>
    <s v="Burger Hub"/>
    <s v="Italian"/>
    <s v="Masala Dosa"/>
    <s v="Veg"/>
    <n v="5"/>
    <n v="400"/>
    <n v="2000"/>
    <n v="55"/>
    <s v="Card"/>
    <n v="4.5"/>
    <x v="6"/>
    <n v="3"/>
    <n v="2024"/>
  </r>
  <r>
    <s v="CUST_132"/>
    <s v="O0132"/>
    <d v="2024-03-19T00:00:00"/>
    <s v="Chennai"/>
    <s v="Velachery"/>
    <s v="Sandwich Stop"/>
    <s v="Italian"/>
    <s v="Masala Dosa"/>
    <s v="Veg"/>
    <n v="1"/>
    <n v="185"/>
    <n v="185"/>
    <n v="32"/>
    <s v="Card"/>
    <n v="3.2"/>
    <x v="4"/>
    <n v="12"/>
    <n v="2024"/>
  </r>
  <r>
    <s v="CUST_133"/>
    <s v="O0133"/>
    <d v="2024-05-14T00:00:00"/>
    <s v="Chennai"/>
    <s v="Velachery"/>
    <s v="Pizza Planet"/>
    <s v="Fast Food"/>
    <s v="Chicken Roll"/>
    <s v="Non-Veg"/>
    <n v="5"/>
    <n v="320"/>
    <n v="1600"/>
    <n v="54"/>
    <s v="Card"/>
    <n v="4.5"/>
    <x v="5"/>
    <n v="20"/>
    <n v="2024"/>
  </r>
  <r>
    <s v="CUST_134"/>
    <s v="O0134"/>
    <d v="2024-08-07T00:00:00"/>
    <s v="Delhi"/>
    <s v="Connaught Place"/>
    <s v="Biryani House"/>
    <s v="North Indian"/>
    <s v="Momos"/>
    <s v="Veg"/>
    <n v="2"/>
    <n v="233"/>
    <n v="466"/>
    <n v="48"/>
    <s v="UPI"/>
    <n v="3.8"/>
    <x v="9"/>
    <n v="32"/>
    <n v="2024"/>
  </r>
  <r>
    <s v="CUST_135"/>
    <s v="O0135"/>
    <d v="2024-01-04T00:00:00"/>
    <s v="Chennai"/>
    <s v="Tambaram"/>
    <s v="Burger Hub"/>
    <s v="Italian"/>
    <s v="Paneer Tikka"/>
    <s v="Veg"/>
    <n v="3"/>
    <n v="149"/>
    <n v="447"/>
    <n v="21"/>
    <s v="UPI"/>
    <n v="4"/>
    <x v="6"/>
    <n v="1"/>
    <n v="2024"/>
  </r>
  <r>
    <s v="CUST_136"/>
    <s v="O0136"/>
    <d v="2024-10-25T00:00:00"/>
    <s v="Hyderabad"/>
    <s v="Kukatpally"/>
    <s v="Grill Masters"/>
    <s v="Italian"/>
    <s v="Paneer Tikka"/>
    <s v="Veg"/>
    <n v="4"/>
    <n v="234"/>
    <n v="936"/>
    <n v="41"/>
    <s v="UPI"/>
    <n v="4.4000000000000004"/>
    <x v="0"/>
    <n v="43"/>
    <n v="2024"/>
  </r>
  <r>
    <s v="CUST_137"/>
    <s v="O0137"/>
    <d v="2024-09-21T00:00:00"/>
    <s v="Mumbai"/>
    <s v="Powai"/>
    <s v="Pizza Planet"/>
    <s v="Fast Food"/>
    <s v="Chicken Roll"/>
    <s v="Non-Veg"/>
    <n v="2"/>
    <n v="319"/>
    <n v="638"/>
    <n v="32"/>
    <s v="UPI"/>
    <n v="3.1"/>
    <x v="3"/>
    <n v="38"/>
    <n v="2024"/>
  </r>
  <r>
    <s v="CUST_138"/>
    <s v="O0138"/>
    <d v="2024-08-13T00:00:00"/>
    <s v="Mumbai"/>
    <s v="Powai"/>
    <s v="Biryani House"/>
    <s v="South Indian"/>
    <s v="Pizza"/>
    <s v="Veg"/>
    <n v="3"/>
    <n v="175"/>
    <n v="525"/>
    <n v="40"/>
    <s v="Card"/>
    <n v="4"/>
    <x v="9"/>
    <n v="33"/>
    <n v="2024"/>
  </r>
  <r>
    <s v="CUST_139"/>
    <s v="O0139"/>
    <d v="2024-07-17T00:00:00"/>
    <s v="Hyderabad"/>
    <s v="Kukatpally"/>
    <s v="Tandoori Tales"/>
    <s v="South Indian"/>
    <s v="Momos"/>
    <s v="Veg"/>
    <n v="3"/>
    <n v="401"/>
    <n v="1203"/>
    <n v="30"/>
    <s v="COD"/>
    <n v="3.3"/>
    <x v="1"/>
    <n v="29"/>
    <n v="2024"/>
  </r>
  <r>
    <s v="CUST_140"/>
    <s v="O0140"/>
    <d v="2024-06-21T00:00:00"/>
    <s v="Delhi"/>
    <s v="Rohini"/>
    <s v="Sandwich Stop"/>
    <s v="Fast Food"/>
    <s v="Chicken Biryani"/>
    <s v="Non-Veg"/>
    <n v="2"/>
    <n v="104"/>
    <n v="208"/>
    <n v="49"/>
    <s v="UPI"/>
    <n v="4.3"/>
    <x v="7"/>
    <n v="25"/>
    <n v="2024"/>
  </r>
  <r>
    <s v="CUST_141"/>
    <s v="O0141"/>
    <d v="2024-03-02T00:00:00"/>
    <s v="Bangalore"/>
    <s v="Jayanagar"/>
    <s v="Burger Hub"/>
    <s v="Indian"/>
    <s v="Sandwich"/>
    <s v="Veg"/>
    <n v="1"/>
    <n v="147"/>
    <n v="147"/>
    <n v="53"/>
    <s v="COD"/>
    <n v="3.1"/>
    <x v="4"/>
    <n v="9"/>
    <n v="2024"/>
  </r>
  <r>
    <s v="CUST_142"/>
    <s v="O0142"/>
    <d v="2024-05-29T00:00:00"/>
    <s v="Mumbai"/>
    <s v="Andheri"/>
    <s v="Tandoori Tales"/>
    <s v="Chinese"/>
    <s v="Pasta"/>
    <s v="Veg"/>
    <n v="2"/>
    <n v="227"/>
    <n v="454"/>
    <n v="33"/>
    <s v="UPI"/>
    <n v="3.6"/>
    <x v="5"/>
    <n v="22"/>
    <n v="2024"/>
  </r>
  <r>
    <s v="CUST_143"/>
    <s v="O0143"/>
    <d v="2024-09-18T00:00:00"/>
    <s v="Bangalore"/>
    <s v="Koramangala"/>
    <s v="Chinese Bowl"/>
    <s v="Indian"/>
    <s v="Veg Burger"/>
    <s v="Veg"/>
    <n v="3"/>
    <n v="450"/>
    <n v="1350"/>
    <n v="33"/>
    <s v="UPI"/>
    <n v="4.4000000000000004"/>
    <x v="3"/>
    <n v="38"/>
    <n v="2024"/>
  </r>
  <r>
    <s v="CUST_144"/>
    <s v="O0144"/>
    <d v="2024-04-10T00:00:00"/>
    <s v="Hyderabad"/>
    <s v="Secunderabad"/>
    <s v="Tandoori Tales"/>
    <s v="Indian"/>
    <s v="Paneer Tikka"/>
    <s v="Veg"/>
    <n v="2"/>
    <n v="117"/>
    <n v="234"/>
    <n v="26"/>
    <s v="UPI"/>
    <n v="4"/>
    <x v="2"/>
    <n v="15"/>
    <n v="2024"/>
  </r>
  <r>
    <s v="CUST_145"/>
    <s v="O0145"/>
    <d v="2024-09-02T00:00:00"/>
    <s v="Bangalore"/>
    <s v="Indiranagar"/>
    <s v="Tandoori Tales"/>
    <s v="South Indian"/>
    <s v="Chicken Biryani"/>
    <s v="Non-Veg"/>
    <n v="4"/>
    <n v="381"/>
    <n v="1524"/>
    <n v="21"/>
    <s v="COD"/>
    <n v="3.3"/>
    <x v="3"/>
    <n v="36"/>
    <n v="2024"/>
  </r>
  <r>
    <s v="CUST_146"/>
    <s v="O0146"/>
    <d v="2024-03-12T00:00:00"/>
    <s v="Chennai"/>
    <s v="Velachery"/>
    <s v="Sandwich Stop"/>
    <s v="North Indian"/>
    <s v="Chicken Biryani"/>
    <s v="Non-Veg"/>
    <n v="4"/>
    <n v="460"/>
    <n v="1840"/>
    <n v="31"/>
    <s v="COD"/>
    <n v="4.7"/>
    <x v="4"/>
    <n v="11"/>
    <n v="2024"/>
  </r>
  <r>
    <s v="CUST_147"/>
    <s v="O0147"/>
    <d v="2024-09-01T00:00:00"/>
    <s v="Mumbai"/>
    <s v="Powai"/>
    <s v="Biryani House"/>
    <s v="North Indian"/>
    <s v="Pasta"/>
    <s v="Veg"/>
    <n v="2"/>
    <n v="133"/>
    <n v="266"/>
    <n v="60"/>
    <s v="COD"/>
    <n v="4.0999999999999996"/>
    <x v="3"/>
    <n v="36"/>
    <n v="2024"/>
  </r>
  <r>
    <s v="CUST_148"/>
    <s v="O0148"/>
    <d v="2024-07-17T00:00:00"/>
    <s v="Bangalore"/>
    <s v="Whitefield"/>
    <s v="Urban Meals"/>
    <s v="North Indian"/>
    <s v="Chicken Biryani"/>
    <s v="Non-Veg"/>
    <n v="1"/>
    <n v="497"/>
    <n v="497"/>
    <n v="33"/>
    <s v="UPI"/>
    <n v="4.8"/>
    <x v="1"/>
    <n v="29"/>
    <n v="2024"/>
  </r>
  <r>
    <s v="CUST_149"/>
    <s v="O0149"/>
    <d v="2024-07-29T00:00:00"/>
    <s v="Chennai"/>
    <s v="Adyar"/>
    <s v="South Spice"/>
    <s v="Chinese"/>
    <s v="Paneer Tikka"/>
    <s v="Veg"/>
    <n v="2"/>
    <n v="119"/>
    <n v="238"/>
    <n v="58"/>
    <s v="UPI"/>
    <n v="4.8"/>
    <x v="1"/>
    <n v="31"/>
    <n v="2024"/>
  </r>
  <r>
    <s v="CUST_150"/>
    <s v="O0150"/>
    <d v="2024-06-23T00:00:00"/>
    <s v="Mumbai"/>
    <s v="Dadar"/>
    <s v="Café Delight"/>
    <s v="Fast Food"/>
    <s v="Chicken Roll"/>
    <s v="Non-Veg"/>
    <n v="3"/>
    <n v="264"/>
    <n v="792"/>
    <n v="39"/>
    <s v="Card"/>
    <n v="4.5"/>
    <x v="7"/>
    <n v="26"/>
    <n v="2024"/>
  </r>
  <r>
    <s v="CUST_151"/>
    <s v="O0151"/>
    <d v="2024-08-15T00:00:00"/>
    <s v="Bangalore"/>
    <s v="Koramangala"/>
    <s v="Chinese Bowl"/>
    <s v="Chinese"/>
    <s v="Masala Dosa"/>
    <s v="Veg"/>
    <n v="1"/>
    <n v="495"/>
    <n v="495"/>
    <n v="59"/>
    <s v="Card"/>
    <n v="3.7"/>
    <x v="9"/>
    <n v="33"/>
    <n v="2024"/>
  </r>
  <r>
    <s v="CUST_152"/>
    <s v="O0152"/>
    <d v="2024-09-14T00:00:00"/>
    <s v="Bangalore"/>
    <s v="Whitefield"/>
    <s v="Tandoori Tales"/>
    <s v="Indian"/>
    <s v="Masala Dosa"/>
    <s v="Veg"/>
    <n v="2"/>
    <n v="438"/>
    <n v="876"/>
    <n v="25"/>
    <s v="UPI"/>
    <n v="3.8"/>
    <x v="3"/>
    <n v="37"/>
    <n v="2024"/>
  </r>
  <r>
    <s v="CUST_153"/>
    <s v="O0153"/>
    <d v="2024-05-26T00:00:00"/>
    <s v="Bangalore"/>
    <s v="Whitefield"/>
    <s v="Sandwich Stop"/>
    <s v="North Indian"/>
    <s v="Paneer Tikka"/>
    <s v="Veg"/>
    <n v="4"/>
    <n v="121"/>
    <n v="484"/>
    <n v="27"/>
    <s v="UPI"/>
    <n v="4.5999999999999996"/>
    <x v="5"/>
    <n v="22"/>
    <n v="2024"/>
  </r>
  <r>
    <s v="CUST_154"/>
    <s v="O0154"/>
    <d v="2024-02-21T00:00:00"/>
    <s v="Bangalore"/>
    <s v="Koramangala"/>
    <s v="Sandwich Stop"/>
    <s v="Indian"/>
    <s v="Momos"/>
    <s v="Veg"/>
    <n v="1"/>
    <n v="260"/>
    <n v="260"/>
    <n v="21"/>
    <s v="UPI"/>
    <n v="3"/>
    <x v="8"/>
    <n v="8"/>
    <n v="2024"/>
  </r>
  <r>
    <s v="CUST_155"/>
    <s v="O0155"/>
    <d v="2024-04-06T00:00:00"/>
    <s v="Bangalore"/>
    <s v="Jayanagar"/>
    <s v="Grill Masters"/>
    <s v="Chinese"/>
    <s v="Fried Rice"/>
    <s v="Veg"/>
    <n v="2"/>
    <n v="109"/>
    <n v="218"/>
    <n v="51"/>
    <s v="Card"/>
    <n v="5"/>
    <x v="2"/>
    <n v="14"/>
    <n v="2024"/>
  </r>
  <r>
    <s v="CUST_156"/>
    <s v="O0156"/>
    <d v="2024-07-03T00:00:00"/>
    <s v="Bangalore"/>
    <s v="Koramangala"/>
    <s v="Pizza Planet"/>
    <s v="Chinese"/>
    <s v="Veg Burger"/>
    <s v="Veg"/>
    <n v="4"/>
    <n v="143"/>
    <n v="572"/>
    <n v="47"/>
    <s v="UPI"/>
    <n v="3.5"/>
    <x v="1"/>
    <n v="27"/>
    <n v="2024"/>
  </r>
  <r>
    <s v="CUST_157"/>
    <s v="O0157"/>
    <d v="2024-09-16T00:00:00"/>
    <s v="Mumbai"/>
    <s v="Powai"/>
    <s v="Burger Hub"/>
    <s v="South Indian"/>
    <s v="Pasta"/>
    <s v="Veg"/>
    <n v="5"/>
    <n v="311"/>
    <n v="1555"/>
    <n v="56"/>
    <s v="Card"/>
    <n v="3.7"/>
    <x v="3"/>
    <n v="38"/>
    <n v="2024"/>
  </r>
  <r>
    <s v="CUST_158"/>
    <s v="O0158"/>
    <d v="2024-09-14T00:00:00"/>
    <s v="Mumbai"/>
    <s v="Andheri"/>
    <s v="Grill Masters"/>
    <s v="Chinese"/>
    <s v="Paneer Tikka"/>
    <s v="Veg"/>
    <n v="4"/>
    <n v="117"/>
    <n v="468"/>
    <n v="38"/>
    <s v="UPI"/>
    <n v="4.2"/>
    <x v="3"/>
    <n v="37"/>
    <n v="2024"/>
  </r>
  <r>
    <s v="CUST_159"/>
    <s v="O0159"/>
    <d v="2024-03-25T00:00:00"/>
    <s v="Chennai"/>
    <s v="Adyar"/>
    <s v="Pizza Planet"/>
    <s v="Chinese"/>
    <s v="Sandwich"/>
    <s v="Veg"/>
    <n v="3"/>
    <n v="336"/>
    <n v="1008"/>
    <n v="46"/>
    <s v="UPI"/>
    <n v="3.7"/>
    <x v="4"/>
    <n v="13"/>
    <n v="2024"/>
  </r>
  <r>
    <s v="CUST_160"/>
    <s v="O0160"/>
    <d v="2024-04-12T00:00:00"/>
    <s v="Chennai"/>
    <s v="T Nagar"/>
    <s v="Grill Masters"/>
    <s v="Chinese"/>
    <s v="Pasta"/>
    <s v="Veg"/>
    <n v="3"/>
    <n v="170"/>
    <n v="510"/>
    <n v="57"/>
    <s v="UPI"/>
    <n v="3.2"/>
    <x v="2"/>
    <n v="15"/>
    <n v="2024"/>
  </r>
  <r>
    <s v="CUST_161"/>
    <s v="O0161"/>
    <d v="2024-03-30T00:00:00"/>
    <s v="Mumbai"/>
    <s v="Andheri"/>
    <s v="Café Delight"/>
    <s v="Chinese"/>
    <s v="Chicken Roll"/>
    <s v="Non-Veg"/>
    <n v="2"/>
    <n v="246"/>
    <n v="492"/>
    <n v="49"/>
    <s v="COD"/>
    <n v="3.8"/>
    <x v="4"/>
    <n v="13"/>
    <n v="2024"/>
  </r>
  <r>
    <s v="CUST_162"/>
    <s v="O0162"/>
    <d v="2024-02-15T00:00:00"/>
    <s v="Hyderabad"/>
    <s v="Secunderabad"/>
    <s v="Biryani House"/>
    <s v="North Indian"/>
    <s v="Pasta"/>
    <s v="Veg"/>
    <n v="3"/>
    <n v="461"/>
    <n v="1383"/>
    <n v="57"/>
    <s v="COD"/>
    <n v="4.4000000000000004"/>
    <x v="8"/>
    <n v="7"/>
    <n v="2024"/>
  </r>
  <r>
    <s v="CUST_163"/>
    <s v="O0163"/>
    <d v="2024-04-22T00:00:00"/>
    <s v="Bangalore"/>
    <s v="Koramangala"/>
    <s v="Sandwich Stop"/>
    <s v="Indian"/>
    <s v="Chicken Roll"/>
    <s v="Non-Veg"/>
    <n v="3"/>
    <n v="296"/>
    <n v="888"/>
    <n v="52"/>
    <s v="UPI"/>
    <n v="3.8"/>
    <x v="2"/>
    <n v="17"/>
    <n v="2024"/>
  </r>
  <r>
    <s v="CUST_164"/>
    <s v="O0164"/>
    <d v="2024-04-22T00:00:00"/>
    <s v="Delhi"/>
    <s v="Karol Bagh"/>
    <s v="Burger Hub"/>
    <s v="Indian"/>
    <s v="Fried Rice"/>
    <s v="Veg"/>
    <n v="2"/>
    <n v="499"/>
    <n v="998"/>
    <n v="44"/>
    <s v="Card"/>
    <n v="4.3"/>
    <x v="2"/>
    <n v="17"/>
    <n v="2024"/>
  </r>
  <r>
    <s v="CUST_165"/>
    <s v="O0165"/>
    <d v="2024-10-22T00:00:00"/>
    <s v="Bangalore"/>
    <s v="Jayanagar"/>
    <s v="Chinese Bowl"/>
    <s v="Indian"/>
    <s v="Paneer Tikka"/>
    <s v="Veg"/>
    <n v="2"/>
    <n v="151"/>
    <n v="302"/>
    <n v="39"/>
    <s v="UPI"/>
    <n v="3.7"/>
    <x v="0"/>
    <n v="43"/>
    <n v="2024"/>
  </r>
  <r>
    <s v="CUST_166"/>
    <s v="O0166"/>
    <d v="2024-09-01T00:00:00"/>
    <s v="Bangalore"/>
    <s v="Whitefield"/>
    <s v="Biryani House"/>
    <s v="Chinese"/>
    <s v="Chicken Biryani"/>
    <s v="Non-Veg"/>
    <n v="1"/>
    <n v="124"/>
    <n v="124"/>
    <n v="37"/>
    <s v="COD"/>
    <n v="3.4"/>
    <x v="3"/>
    <n v="36"/>
    <n v="2024"/>
  </r>
  <r>
    <s v="CUST_167"/>
    <s v="O0167"/>
    <d v="2024-08-05T00:00:00"/>
    <s v="Chennai"/>
    <s v="T Nagar"/>
    <s v="Sandwich Stop"/>
    <s v="Chinese"/>
    <s v="Sandwich"/>
    <s v="Veg"/>
    <n v="5"/>
    <n v="482"/>
    <n v="2410"/>
    <n v="49"/>
    <s v="COD"/>
    <n v="3.1"/>
    <x v="9"/>
    <n v="32"/>
    <n v="2024"/>
  </r>
  <r>
    <s v="CUST_168"/>
    <s v="O0168"/>
    <d v="2024-09-25T00:00:00"/>
    <s v="Mumbai"/>
    <s v="Dadar"/>
    <s v="Biryani House"/>
    <s v="Italian"/>
    <s v="Veg Burger"/>
    <s v="Veg"/>
    <n v="1"/>
    <n v="203"/>
    <n v="203"/>
    <n v="55"/>
    <s v="UPI"/>
    <n v="4.5"/>
    <x v="3"/>
    <n v="39"/>
    <n v="2024"/>
  </r>
  <r>
    <s v="CUST_169"/>
    <s v="O0169"/>
    <d v="2024-03-22T00:00:00"/>
    <s v="Bangalore"/>
    <s v="Jayanagar"/>
    <s v="Tandoori Tales"/>
    <s v="South Indian"/>
    <s v="Fried Rice"/>
    <s v="Veg"/>
    <n v="3"/>
    <n v="455"/>
    <n v="1365"/>
    <n v="29"/>
    <s v="UPI"/>
    <n v="4.7"/>
    <x v="4"/>
    <n v="12"/>
    <n v="2024"/>
  </r>
  <r>
    <s v="CUST_170"/>
    <s v="O0170"/>
    <d v="2024-09-16T00:00:00"/>
    <s v="Chennai"/>
    <s v="Velachery"/>
    <s v="Tandoori Tales"/>
    <s v="North Indian"/>
    <s v="Pasta"/>
    <s v="Veg"/>
    <n v="2"/>
    <n v="253"/>
    <n v="506"/>
    <n v="29"/>
    <s v="Card"/>
    <n v="3.5"/>
    <x v="3"/>
    <n v="38"/>
    <n v="2024"/>
  </r>
  <r>
    <s v="CUST_171"/>
    <s v="O0171"/>
    <d v="2024-05-21T00:00:00"/>
    <s v="Chennai"/>
    <s v="Velachery"/>
    <s v="Pizza Planet"/>
    <s v="Fast Food"/>
    <s v="Chicken Biryani"/>
    <s v="Non-Veg"/>
    <n v="5"/>
    <n v="356"/>
    <n v="1780"/>
    <n v="45"/>
    <s v="COD"/>
    <n v="3.7"/>
    <x v="5"/>
    <n v="21"/>
    <n v="2024"/>
  </r>
  <r>
    <s v="CUST_172"/>
    <s v="O0172"/>
    <d v="2024-03-14T00:00:00"/>
    <s v="Hyderabad"/>
    <s v="Begumpet"/>
    <s v="Burger Hub"/>
    <s v="South Indian"/>
    <s v="Veg Burger"/>
    <s v="Veg"/>
    <n v="2"/>
    <n v="209"/>
    <n v="418"/>
    <n v="53"/>
    <s v="Card"/>
    <n v="3.8"/>
    <x v="4"/>
    <n v="11"/>
    <n v="2024"/>
  </r>
  <r>
    <s v="CUST_173"/>
    <s v="O0173"/>
    <d v="2024-09-14T00:00:00"/>
    <s v="Chennai"/>
    <s v="Anna Nagar"/>
    <s v="Biryani House"/>
    <s v="South Indian"/>
    <s v="Pizza"/>
    <s v="Veg"/>
    <n v="2"/>
    <n v="408"/>
    <n v="816"/>
    <n v="43"/>
    <s v="COD"/>
    <n v="3"/>
    <x v="3"/>
    <n v="37"/>
    <n v="2024"/>
  </r>
  <r>
    <s v="CUST_174"/>
    <s v="O0174"/>
    <d v="2024-07-03T00:00:00"/>
    <s v="Bangalore"/>
    <s v="Koramangala"/>
    <s v="Café Delight"/>
    <s v="Italian"/>
    <s v="Pasta"/>
    <s v="Veg"/>
    <n v="4"/>
    <n v="375"/>
    <n v="1500"/>
    <n v="22"/>
    <s v="UPI"/>
    <n v="4.8"/>
    <x v="1"/>
    <n v="27"/>
    <n v="2024"/>
  </r>
  <r>
    <s v="CUST_175"/>
    <s v="O0175"/>
    <d v="2024-10-21T00:00:00"/>
    <s v="Bangalore"/>
    <s v="Jayanagar"/>
    <s v="Pizza Planet"/>
    <s v="Fast Food"/>
    <s v="Fried Rice"/>
    <s v="Veg"/>
    <n v="4"/>
    <n v="117"/>
    <n v="468"/>
    <n v="34"/>
    <s v="Card"/>
    <n v="3.4"/>
    <x v="0"/>
    <n v="43"/>
    <n v="2024"/>
  </r>
  <r>
    <s v="CUST_176"/>
    <s v="O0176"/>
    <d v="2024-09-29T00:00:00"/>
    <s v="Hyderabad"/>
    <s v="Madhapur"/>
    <s v="South Spice"/>
    <s v="Fast Food"/>
    <s v="Chicken Biryani"/>
    <s v="Non-Veg"/>
    <n v="3"/>
    <n v="407"/>
    <n v="1221"/>
    <n v="32"/>
    <s v="UPI"/>
    <n v="3.8"/>
    <x v="3"/>
    <n v="40"/>
    <n v="2024"/>
  </r>
  <r>
    <s v="CUST_177"/>
    <s v="O0177"/>
    <d v="2024-08-17T00:00:00"/>
    <s v="Delhi"/>
    <s v="Rohini"/>
    <s v="Tandoori Tales"/>
    <s v="Fast Food"/>
    <s v="Masala Dosa"/>
    <s v="Veg"/>
    <n v="3"/>
    <n v="292"/>
    <n v="876"/>
    <n v="22"/>
    <s v="UPI"/>
    <n v="4.9000000000000004"/>
    <x v="9"/>
    <n v="33"/>
    <n v="2024"/>
  </r>
  <r>
    <s v="CUST_178"/>
    <s v="O0178"/>
    <d v="2024-09-11T00:00:00"/>
    <s v="Chennai"/>
    <s v="Anna Nagar"/>
    <s v="Sandwich Stop"/>
    <s v="North Indian"/>
    <s v="Chicken Biryani"/>
    <s v="Non-Veg"/>
    <n v="5"/>
    <n v="165"/>
    <n v="825"/>
    <n v="29"/>
    <s v="COD"/>
    <n v="4.7"/>
    <x v="3"/>
    <n v="37"/>
    <n v="2024"/>
  </r>
  <r>
    <s v="CUST_179"/>
    <s v="O0179"/>
    <d v="2024-08-09T00:00:00"/>
    <s v="Chennai"/>
    <s v="T Nagar"/>
    <s v="Urban Meals"/>
    <s v="Indian"/>
    <s v="Momos"/>
    <s v="Veg"/>
    <n v="2"/>
    <n v="268"/>
    <n v="536"/>
    <n v="60"/>
    <s v="COD"/>
    <n v="4.9000000000000004"/>
    <x v="9"/>
    <n v="32"/>
    <n v="2024"/>
  </r>
  <r>
    <s v="CUST_180"/>
    <s v="O0180"/>
    <d v="2024-08-07T00:00:00"/>
    <s v="Mumbai"/>
    <s v="Goregaon"/>
    <s v="Grill Masters"/>
    <s v="Chinese"/>
    <s v="Sandwich"/>
    <s v="Veg"/>
    <n v="3"/>
    <n v="355"/>
    <n v="1065"/>
    <n v="28"/>
    <s v="UPI"/>
    <n v="5"/>
    <x v="9"/>
    <n v="32"/>
    <n v="2024"/>
  </r>
  <r>
    <s v="CUST_181"/>
    <s v="O0181"/>
    <d v="2024-05-05T00:00:00"/>
    <s v="Delhi"/>
    <s v="Dwarka"/>
    <s v="Tandoori Tales"/>
    <s v="North Indian"/>
    <s v="Paneer Tikka"/>
    <s v="Veg"/>
    <n v="5"/>
    <n v="118"/>
    <n v="590"/>
    <n v="43"/>
    <s v="COD"/>
    <n v="4.2"/>
    <x v="5"/>
    <n v="19"/>
    <n v="2024"/>
  </r>
  <r>
    <s v="CUST_181"/>
    <s v="O0182"/>
    <d v="2024-06-27T00:00:00"/>
    <s v="Bangalore"/>
    <s v="Indiranagar"/>
    <s v="South Spice"/>
    <s v="South Indian"/>
    <s v="Masala Dosa"/>
    <s v="Veg"/>
    <n v="2"/>
    <n v="412"/>
    <n v="824"/>
    <n v="32"/>
    <s v="UPI"/>
    <n v="4.0999999999999996"/>
    <x v="7"/>
    <n v="26"/>
    <n v="2024"/>
  </r>
  <r>
    <s v="CUST_181"/>
    <s v="O0183"/>
    <d v="2024-04-19T00:00:00"/>
    <s v="Hyderabad"/>
    <s v="Begumpet"/>
    <s v="Café Delight"/>
    <s v="South Indian"/>
    <s v="Momos"/>
    <s v="Veg"/>
    <n v="3"/>
    <n v="317"/>
    <n v="951"/>
    <n v="58"/>
    <s v="Card"/>
    <n v="3.7"/>
    <x v="2"/>
    <n v="16"/>
    <n v="2024"/>
  </r>
  <r>
    <s v="CUST_182"/>
    <s v="O0184"/>
    <d v="2024-05-20T00:00:00"/>
    <s v="Bangalore"/>
    <s v="Jayanagar"/>
    <s v="Café Delight"/>
    <s v="Chinese"/>
    <s v="Pizza"/>
    <s v="Veg"/>
    <n v="5"/>
    <n v="339"/>
    <n v="1695"/>
    <n v="59"/>
    <s v="UPI"/>
    <n v="4.0999999999999996"/>
    <x v="5"/>
    <n v="21"/>
    <n v="2024"/>
  </r>
  <r>
    <s v="CUST_182"/>
    <s v="O0185"/>
    <d v="2024-10-05T00:00:00"/>
    <s v="Bangalore"/>
    <s v="BTM Layout"/>
    <s v="Biryani House"/>
    <s v="Chinese"/>
    <s v="Sandwich"/>
    <s v="Veg"/>
    <n v="4"/>
    <n v="480"/>
    <n v="1920"/>
    <n v="44"/>
    <s v="Card"/>
    <n v="3.8"/>
    <x v="0"/>
    <n v="40"/>
    <n v="2024"/>
  </r>
  <r>
    <s v="CUST_183"/>
    <s v="O0186"/>
    <d v="2024-06-10T00:00:00"/>
    <s v="Hyderabad"/>
    <s v="Banjara Hills"/>
    <s v="Café Delight"/>
    <s v="Italian"/>
    <s v="Masala Dosa"/>
    <s v="Veg"/>
    <n v="4"/>
    <n v="410"/>
    <n v="1640"/>
    <n v="59"/>
    <s v="UPI"/>
    <n v="4.9000000000000004"/>
    <x v="7"/>
    <n v="24"/>
    <n v="2024"/>
  </r>
  <r>
    <s v="CUST_183"/>
    <s v="O0187"/>
    <d v="2024-09-08T00:00:00"/>
    <s v="Delhi"/>
    <s v="Connaught Place"/>
    <s v="Café Delight"/>
    <s v="Fast Food"/>
    <s v="Veg Burger"/>
    <s v="Veg"/>
    <n v="2"/>
    <n v="349"/>
    <n v="698"/>
    <n v="28"/>
    <s v="Card"/>
    <n v="4.3"/>
    <x v="3"/>
    <n v="37"/>
    <n v="2024"/>
  </r>
  <r>
    <s v="CUST_184"/>
    <s v="O0188"/>
    <d v="2024-07-04T00:00:00"/>
    <s v="Hyderabad"/>
    <s v="Secunderabad"/>
    <s v="Grill Masters"/>
    <s v="Indian"/>
    <s v="Chicken Biryani"/>
    <s v="Non-Veg"/>
    <n v="2"/>
    <n v="341"/>
    <n v="682"/>
    <n v="50"/>
    <s v="COD"/>
    <n v="3.1"/>
    <x v="1"/>
    <n v="27"/>
    <n v="2024"/>
  </r>
  <r>
    <s v="CUST_184"/>
    <s v="O0189"/>
    <d v="2024-03-18T00:00:00"/>
    <s v="Mumbai"/>
    <s v="Goregaon"/>
    <s v="Tandoori Tales"/>
    <s v="North Indian"/>
    <s v="Chicken Biryani"/>
    <s v="Non-Veg"/>
    <n v="4"/>
    <n v="468"/>
    <n v="1872"/>
    <n v="33"/>
    <s v="UPI"/>
    <n v="3.4"/>
    <x v="4"/>
    <n v="12"/>
    <n v="2024"/>
  </r>
  <r>
    <s v="CUST_184"/>
    <s v="O0190"/>
    <d v="2024-08-03T00:00:00"/>
    <s v="Hyderabad"/>
    <s v="Madhapur"/>
    <s v="Burger Hub"/>
    <s v="Indian"/>
    <s v="Fried Rice"/>
    <s v="Veg"/>
    <n v="1"/>
    <n v="260"/>
    <n v="260"/>
    <n v="59"/>
    <s v="COD"/>
    <n v="4"/>
    <x v="9"/>
    <n v="31"/>
    <n v="2024"/>
  </r>
  <r>
    <s v="CUST_184"/>
    <s v="O0191"/>
    <d v="2024-09-04T00:00:00"/>
    <s v="Mumbai"/>
    <s v="Bandra"/>
    <s v="Chinese Bowl"/>
    <s v="North Indian"/>
    <s v="Fried Rice"/>
    <s v="Veg"/>
    <n v="4"/>
    <n v="374"/>
    <n v="1496"/>
    <n v="47"/>
    <s v="UPI"/>
    <n v="4.2"/>
    <x v="3"/>
    <n v="36"/>
    <n v="2024"/>
  </r>
  <r>
    <s v="CUST_184"/>
    <s v="O0192"/>
    <d v="2024-01-13T00:00:00"/>
    <s v="Mumbai"/>
    <s v="Powai"/>
    <s v="Sandwich Stop"/>
    <s v="Fast Food"/>
    <s v="Chicken Biryani"/>
    <s v="Non-Veg"/>
    <n v="3"/>
    <n v="266"/>
    <n v="798"/>
    <n v="60"/>
    <s v="UPI"/>
    <n v="4.0999999999999996"/>
    <x v="6"/>
    <n v="2"/>
    <n v="2024"/>
  </r>
  <r>
    <s v="CUST_185"/>
    <s v="O0193"/>
    <d v="2024-05-18T00:00:00"/>
    <s v="Delhi"/>
    <s v="Rohini"/>
    <s v="Café Delight"/>
    <s v="South Indian"/>
    <s v="Chicken Roll"/>
    <s v="Non-Veg"/>
    <n v="2"/>
    <n v="368"/>
    <n v="736"/>
    <n v="47"/>
    <s v="Card"/>
    <n v="3.7"/>
    <x v="5"/>
    <n v="20"/>
    <n v="2024"/>
  </r>
  <r>
    <s v="CUST_185"/>
    <s v="O0194"/>
    <d v="2024-07-11T00:00:00"/>
    <s v="Mumbai"/>
    <s v="Bandra"/>
    <s v="Sandwich Stop"/>
    <s v="North Indian"/>
    <s v="Chicken Roll"/>
    <s v="Non-Veg"/>
    <n v="1"/>
    <n v="131"/>
    <n v="131"/>
    <n v="45"/>
    <s v="COD"/>
    <n v="3.8"/>
    <x v="1"/>
    <n v="28"/>
    <n v="2024"/>
  </r>
  <r>
    <s v="CUST_185"/>
    <s v="O0195"/>
    <d v="2024-10-17T00:00:00"/>
    <s v="Mumbai"/>
    <s v="Bandra"/>
    <s v="Burger Hub"/>
    <s v="South Indian"/>
    <s v="Chicken Roll"/>
    <s v="Non-Veg"/>
    <n v="1"/>
    <n v="489"/>
    <n v="489"/>
    <n v="32"/>
    <s v="UPI"/>
    <n v="3.1"/>
    <x v="0"/>
    <n v="42"/>
    <n v="2024"/>
  </r>
  <r>
    <s v="CUST_186"/>
    <s v="O0196"/>
    <d v="2024-09-05T00:00:00"/>
    <s v="Hyderabad"/>
    <s v="Madhapur"/>
    <s v="Biryani House"/>
    <s v="Fast Food"/>
    <s v="Veg Burger"/>
    <s v="Veg"/>
    <n v="1"/>
    <n v="451"/>
    <n v="451"/>
    <n v="21"/>
    <s v="Card"/>
    <n v="4.3"/>
    <x v="3"/>
    <n v="36"/>
    <n v="2024"/>
  </r>
  <r>
    <s v="CUST_186"/>
    <s v="O0197"/>
    <d v="2024-10-27T00:00:00"/>
    <s v="Chennai"/>
    <s v="Velachery"/>
    <s v="Café Delight"/>
    <s v="Fast Food"/>
    <s v="Chicken Biryani"/>
    <s v="Non-Veg"/>
    <n v="3"/>
    <n v="212"/>
    <n v="636"/>
    <n v="32"/>
    <s v="UPI"/>
    <n v="3"/>
    <x v="0"/>
    <n v="44"/>
    <n v="2024"/>
  </r>
  <r>
    <s v="CUST_186"/>
    <s v="O0198"/>
    <d v="2024-07-31T00:00:00"/>
    <s v="Delhi"/>
    <s v="Dwarka"/>
    <s v="Sandwich Stop"/>
    <s v="North Indian"/>
    <s v="Masala Dosa"/>
    <s v="Veg"/>
    <n v="2"/>
    <n v="104"/>
    <n v="208"/>
    <n v="29"/>
    <s v="UPI"/>
    <n v="3.4"/>
    <x v="1"/>
    <n v="31"/>
    <n v="2024"/>
  </r>
  <r>
    <s v="CUST_186"/>
    <s v="O0199"/>
    <d v="2024-06-12T00:00:00"/>
    <s v="Delhi"/>
    <s v="Saket"/>
    <s v="Biryani House"/>
    <s v="Indian"/>
    <s v="Veg Burger"/>
    <s v="Veg"/>
    <n v="2"/>
    <n v="421"/>
    <n v="842"/>
    <n v="45"/>
    <s v="COD"/>
    <n v="3.4"/>
    <x v="7"/>
    <n v="24"/>
    <n v="2024"/>
  </r>
  <r>
    <s v="CUST_186"/>
    <s v="O0200"/>
    <d v="2024-02-21T00:00:00"/>
    <s v="Bangalore"/>
    <s v="BTM Layout"/>
    <s v="South Spice"/>
    <s v="Chinese"/>
    <s v="Chicken Biryani"/>
    <s v="Non-Veg"/>
    <n v="2"/>
    <n v="190"/>
    <n v="380"/>
    <n v="55"/>
    <s v="UPI"/>
    <n v="3.1"/>
    <x v="8"/>
    <n v="8"/>
    <n v="2024"/>
  </r>
  <r>
    <s v="CUST_187"/>
    <s v="O0201"/>
    <d v="2024-01-17T00:00:00"/>
    <s v="Bangalore"/>
    <s v="Indiranagar"/>
    <s v="Grill Masters"/>
    <s v="North Indian"/>
    <s v="Paneer Tikka"/>
    <s v="Veg"/>
    <n v="3"/>
    <n v="190"/>
    <n v="570"/>
    <n v="60"/>
    <s v="COD"/>
    <n v="3.8"/>
    <x v="6"/>
    <n v="3"/>
    <n v="2024"/>
  </r>
  <r>
    <s v="CUST_187"/>
    <s v="O0202"/>
    <d v="2024-03-30T00:00:00"/>
    <s v="Mumbai"/>
    <s v="Powai"/>
    <s v="Sandwich Stop"/>
    <s v="Chinese"/>
    <s v="Masala Dosa"/>
    <s v="Veg"/>
    <n v="1"/>
    <n v="150"/>
    <n v="150"/>
    <n v="47"/>
    <s v="Card"/>
    <n v="4.9000000000000004"/>
    <x v="4"/>
    <n v="13"/>
    <n v="2024"/>
  </r>
  <r>
    <s v="CUST_187"/>
    <s v="O0203"/>
    <d v="2024-09-15T00:00:00"/>
    <s v="Mumbai"/>
    <s v="Powai"/>
    <s v="Tandoori Tales"/>
    <s v="Indian"/>
    <s v="Fried Rice"/>
    <s v="Veg"/>
    <n v="2"/>
    <n v="337"/>
    <n v="674"/>
    <n v="32"/>
    <s v="Card"/>
    <n v="4.8"/>
    <x v="3"/>
    <n v="38"/>
    <n v="2024"/>
  </r>
  <r>
    <s v="CUST_188"/>
    <s v="O0204"/>
    <d v="2024-07-02T00:00:00"/>
    <s v="Mumbai"/>
    <s v="Bandra"/>
    <s v="Tandoori Tales"/>
    <s v="Chinese"/>
    <s v="Momos"/>
    <s v="Veg"/>
    <n v="2"/>
    <n v="408"/>
    <n v="816"/>
    <n v="38"/>
    <s v="UPI"/>
    <n v="3.4"/>
    <x v="1"/>
    <n v="27"/>
    <n v="2024"/>
  </r>
  <r>
    <s v="CUST_188"/>
    <s v="O0205"/>
    <d v="2024-01-24T00:00:00"/>
    <s v="Hyderabad"/>
    <s v="Begumpet"/>
    <s v="Urban Meals"/>
    <s v="Fast Food"/>
    <s v="Chicken Roll"/>
    <s v="Non-Veg"/>
    <n v="3"/>
    <n v="412"/>
    <n v="1236"/>
    <n v="38"/>
    <s v="COD"/>
    <n v="3.2"/>
    <x v="6"/>
    <n v="4"/>
    <n v="2024"/>
  </r>
  <r>
    <s v="CUST_188"/>
    <s v="O0206"/>
    <d v="2024-05-15T00:00:00"/>
    <s v="Hyderabad"/>
    <s v="Begumpet"/>
    <s v="Urban Meals"/>
    <s v="Chinese"/>
    <s v="Sandwich"/>
    <s v="Veg"/>
    <n v="3"/>
    <n v="117"/>
    <n v="351"/>
    <n v="25"/>
    <s v="Card"/>
    <n v="3.8"/>
    <x v="5"/>
    <n v="20"/>
    <n v="2024"/>
  </r>
  <r>
    <s v="CUST_188"/>
    <s v="O0207"/>
    <d v="2024-06-04T00:00:00"/>
    <s v="Hyderabad"/>
    <s v="Secunderabad"/>
    <s v="Pizza Planet"/>
    <s v="Indian"/>
    <s v="Sandwich"/>
    <s v="Veg"/>
    <n v="4"/>
    <n v="389"/>
    <n v="1556"/>
    <n v="33"/>
    <s v="UPI"/>
    <n v="4.4000000000000004"/>
    <x v="7"/>
    <n v="23"/>
    <n v="2024"/>
  </r>
  <r>
    <s v="CUST_189"/>
    <s v="O0208"/>
    <d v="2024-08-07T00:00:00"/>
    <s v="Bangalore"/>
    <s v="Whitefield"/>
    <s v="Café Delight"/>
    <s v="North Indian"/>
    <s v="Paneer Tikka"/>
    <s v="Veg"/>
    <n v="3"/>
    <n v="395"/>
    <n v="1185"/>
    <n v="21"/>
    <s v="COD"/>
    <n v="4.4000000000000004"/>
    <x v="9"/>
    <n v="32"/>
    <n v="2024"/>
  </r>
  <r>
    <s v="CUST_189"/>
    <s v="O0209"/>
    <d v="2024-08-25T00:00:00"/>
    <s v="Chennai"/>
    <s v="Velachery"/>
    <s v="Burger Hub"/>
    <s v="Indian"/>
    <s v="Fried Rice"/>
    <s v="Veg"/>
    <n v="2"/>
    <n v="229"/>
    <n v="458"/>
    <n v="35"/>
    <s v="UPI"/>
    <n v="4.2"/>
    <x v="9"/>
    <n v="35"/>
    <n v="2024"/>
  </r>
  <r>
    <s v="CUST_190"/>
    <s v="O0210"/>
    <d v="2024-09-12T00:00:00"/>
    <s v="Bangalore"/>
    <s v="Koramangala"/>
    <s v="Tandoori Tales"/>
    <s v="Chinese"/>
    <s v="Veg Burger"/>
    <s v="Veg"/>
    <n v="4"/>
    <n v="397"/>
    <n v="1588"/>
    <n v="26"/>
    <s v="UPI"/>
    <n v="3.7"/>
    <x v="3"/>
    <n v="37"/>
    <n v="2024"/>
  </r>
  <r>
    <s v="CUST_190"/>
    <s v="O0211"/>
    <d v="2024-01-04T00:00:00"/>
    <s v="Hyderabad"/>
    <s v="Begumpet"/>
    <s v="Sandwich Stop"/>
    <s v="Chinese"/>
    <s v="Momos"/>
    <s v="Veg"/>
    <n v="3"/>
    <n v="208"/>
    <n v="624"/>
    <n v="57"/>
    <s v="COD"/>
    <n v="3.2"/>
    <x v="6"/>
    <n v="1"/>
    <n v="2024"/>
  </r>
  <r>
    <s v="CUST_190"/>
    <s v="O0212"/>
    <d v="2024-07-26T00:00:00"/>
    <s v="Chennai"/>
    <s v="Adyar"/>
    <s v="Burger Hub"/>
    <s v="Indian"/>
    <s v="Fried Rice"/>
    <s v="Veg"/>
    <n v="5"/>
    <n v="347"/>
    <n v="1735"/>
    <n v="35"/>
    <s v="Card"/>
    <n v="3.9"/>
    <x v="1"/>
    <n v="30"/>
    <n v="2024"/>
  </r>
  <r>
    <s v="CUST_190"/>
    <s v="O0213"/>
    <d v="2024-08-12T00:00:00"/>
    <s v="Delhi"/>
    <s v="Saket"/>
    <s v="Biryani House"/>
    <s v="South Indian"/>
    <s v="Fried Rice"/>
    <s v="Veg"/>
    <n v="4"/>
    <n v="218"/>
    <n v="872"/>
    <n v="41"/>
    <s v="COD"/>
    <n v="3.2"/>
    <x v="9"/>
    <n v="33"/>
    <n v="2024"/>
  </r>
  <r>
    <s v="CUST_191"/>
    <s v="O0214"/>
    <d v="2024-08-19T00:00:00"/>
    <s v="Hyderabad"/>
    <s v="Begumpet"/>
    <s v="Burger Hub"/>
    <s v="Fast Food"/>
    <s v="Masala Dosa"/>
    <s v="Veg"/>
    <n v="5"/>
    <n v="302"/>
    <n v="1510"/>
    <n v="42"/>
    <s v="UPI"/>
    <n v="3.1"/>
    <x v="9"/>
    <n v="34"/>
    <n v="2024"/>
  </r>
  <r>
    <s v="CUST_191"/>
    <s v="O0215"/>
    <d v="2024-09-09T00:00:00"/>
    <s v="Mumbai"/>
    <s v="Powai"/>
    <s v="Pizza Planet"/>
    <s v="Indian"/>
    <s v="Pasta"/>
    <s v="Veg"/>
    <n v="1"/>
    <n v="194"/>
    <n v="194"/>
    <n v="53"/>
    <s v="Card"/>
    <n v="3.2"/>
    <x v="3"/>
    <n v="37"/>
    <n v="2024"/>
  </r>
  <r>
    <s v="CUST_191"/>
    <s v="O0216"/>
    <d v="2024-08-22T00:00:00"/>
    <s v="Bangalore"/>
    <s v="Jayanagar"/>
    <s v="Burger Hub"/>
    <s v="Indian"/>
    <s v="Momos"/>
    <s v="Veg"/>
    <n v="1"/>
    <n v="199"/>
    <n v="199"/>
    <n v="39"/>
    <s v="COD"/>
    <n v="3.8"/>
    <x v="9"/>
    <n v="34"/>
    <n v="2024"/>
  </r>
  <r>
    <s v="CUST_191"/>
    <s v="O0217"/>
    <d v="2024-03-03T00:00:00"/>
    <s v="Hyderabad"/>
    <s v="Kukatpally"/>
    <s v="Tandoori Tales"/>
    <s v="Fast Food"/>
    <s v="Chicken Roll"/>
    <s v="Non-Veg"/>
    <n v="5"/>
    <n v="156"/>
    <n v="780"/>
    <n v="35"/>
    <s v="COD"/>
    <n v="3"/>
    <x v="4"/>
    <n v="10"/>
    <n v="2024"/>
  </r>
  <r>
    <s v="CUST_192"/>
    <s v="O0218"/>
    <d v="2024-03-12T00:00:00"/>
    <s v="Bangalore"/>
    <s v="Koramangala"/>
    <s v="Tandoori Tales"/>
    <s v="North Indian"/>
    <s v="Chicken Biryani"/>
    <s v="Non-Veg"/>
    <n v="4"/>
    <n v="484"/>
    <n v="1936"/>
    <n v="20"/>
    <s v="UPI"/>
    <n v="3.1"/>
    <x v="4"/>
    <n v="11"/>
    <n v="2024"/>
  </r>
  <r>
    <s v="CUST_192"/>
    <s v="O0219"/>
    <d v="2024-04-04T00:00:00"/>
    <s v="Chennai"/>
    <s v="T Nagar"/>
    <s v="Burger Hub"/>
    <s v="Italian"/>
    <s v="Masala Dosa"/>
    <s v="Veg"/>
    <n v="5"/>
    <n v="482"/>
    <n v="2410"/>
    <n v="47"/>
    <s v="UPI"/>
    <n v="3.4"/>
    <x v="2"/>
    <n v="14"/>
    <n v="2024"/>
  </r>
  <r>
    <s v="CUST_192"/>
    <s v="O0220"/>
    <d v="2024-08-03T00:00:00"/>
    <s v="Mumbai"/>
    <s v="Bandra"/>
    <s v="Grill Masters"/>
    <s v="Fast Food"/>
    <s v="Masala Dosa"/>
    <s v="Veg"/>
    <n v="5"/>
    <n v="406"/>
    <n v="2030"/>
    <n v="55"/>
    <s v="COD"/>
    <n v="4"/>
    <x v="9"/>
    <n v="31"/>
    <n v="2024"/>
  </r>
  <r>
    <s v="CUST_193"/>
    <s v="O0221"/>
    <d v="2024-02-02T00:00:00"/>
    <s v="Hyderabad"/>
    <s v="Secunderabad"/>
    <s v="South Spice"/>
    <s v="Fast Food"/>
    <s v="Momos"/>
    <s v="Veg"/>
    <n v="2"/>
    <n v="137"/>
    <n v="274"/>
    <n v="25"/>
    <s v="Card"/>
    <n v="3.9"/>
    <x v="8"/>
    <n v="5"/>
    <n v="2024"/>
  </r>
  <r>
    <s v="CUST_193"/>
    <s v="O0222"/>
    <d v="2024-02-24T00:00:00"/>
    <s v="Hyderabad"/>
    <s v="Secunderabad"/>
    <s v="Biryani House"/>
    <s v="South Indian"/>
    <s v="Fried Rice"/>
    <s v="Veg"/>
    <n v="2"/>
    <n v="186"/>
    <n v="372"/>
    <n v="23"/>
    <s v="UPI"/>
    <n v="4.8"/>
    <x v="8"/>
    <n v="8"/>
    <n v="2024"/>
  </r>
  <r>
    <s v="CUST_193"/>
    <s v="O0223"/>
    <d v="2024-03-22T00:00:00"/>
    <s v="Mumbai"/>
    <s v="Bandra"/>
    <s v="Café Delight"/>
    <s v="South Indian"/>
    <s v="Fried Rice"/>
    <s v="Veg"/>
    <n v="2"/>
    <n v="194"/>
    <n v="388"/>
    <n v="32"/>
    <s v="Card"/>
    <n v="3.5"/>
    <x v="4"/>
    <n v="12"/>
    <n v="2024"/>
  </r>
  <r>
    <s v="CUST_193"/>
    <s v="O0224"/>
    <d v="2024-05-02T00:00:00"/>
    <s v="Hyderabad"/>
    <s v="Begumpet"/>
    <s v="Tandoori Tales"/>
    <s v="Fast Food"/>
    <s v="Chicken Roll"/>
    <s v="Non-Veg"/>
    <n v="4"/>
    <n v="306"/>
    <n v="1224"/>
    <n v="50"/>
    <s v="UPI"/>
    <n v="4.2"/>
    <x v="5"/>
    <n v="18"/>
    <n v="2024"/>
  </r>
  <r>
    <s v="CUST_193"/>
    <s v="O0225"/>
    <d v="2024-08-27T00:00:00"/>
    <s v="Delhi"/>
    <s v="Connaught Place"/>
    <s v="South Spice"/>
    <s v="South Indian"/>
    <s v="Pizza"/>
    <s v="Veg"/>
    <n v="5"/>
    <n v="305"/>
    <n v="1525"/>
    <n v="33"/>
    <s v="UPI"/>
    <n v="4.3"/>
    <x v="9"/>
    <n v="35"/>
    <n v="2024"/>
  </r>
  <r>
    <s v="CUST_194"/>
    <s v="O0226"/>
    <d v="2024-01-16T00:00:00"/>
    <s v="Chennai"/>
    <s v="Velachery"/>
    <s v="Grill Masters"/>
    <s v="Chinese"/>
    <s v="Sandwich"/>
    <s v="Veg"/>
    <n v="2"/>
    <n v="119"/>
    <n v="238"/>
    <n v="33"/>
    <s v="UPI"/>
    <n v="4.2"/>
    <x v="6"/>
    <n v="3"/>
    <n v="2024"/>
  </r>
  <r>
    <s v="CUST_194"/>
    <s v="O0227"/>
    <d v="2024-07-30T00:00:00"/>
    <s v="Hyderabad"/>
    <s v="Banjara Hills"/>
    <s v="Urban Meals"/>
    <s v="Chinese"/>
    <s v="Momos"/>
    <s v="Veg"/>
    <n v="3"/>
    <n v="360"/>
    <n v="1080"/>
    <n v="53"/>
    <s v="UPI"/>
    <n v="4.5999999999999996"/>
    <x v="1"/>
    <n v="31"/>
    <n v="2024"/>
  </r>
  <r>
    <s v="CUST_194"/>
    <s v="O0228"/>
    <d v="2024-09-13T00:00:00"/>
    <s v="Bangalore"/>
    <s v="Whitefield"/>
    <s v="Tandoori Tales"/>
    <s v="Chinese"/>
    <s v="Pizza"/>
    <s v="Veg"/>
    <n v="4"/>
    <n v="188"/>
    <n v="752"/>
    <n v="50"/>
    <s v="COD"/>
    <n v="3.4"/>
    <x v="3"/>
    <n v="37"/>
    <n v="2024"/>
  </r>
  <r>
    <s v="CUST_194"/>
    <s v="O0229"/>
    <d v="2024-04-07T00:00:00"/>
    <s v="Delhi"/>
    <s v="Karol Bagh"/>
    <s v="Urban Meals"/>
    <s v="Italian"/>
    <s v="Pasta"/>
    <s v="Veg"/>
    <n v="3"/>
    <n v="256"/>
    <n v="768"/>
    <n v="23"/>
    <s v="Card"/>
    <n v="4.0999999999999996"/>
    <x v="2"/>
    <n v="15"/>
    <n v="2024"/>
  </r>
  <r>
    <s v="CUST_194"/>
    <s v="O0230"/>
    <d v="2024-01-12T00:00:00"/>
    <s v="Mumbai"/>
    <s v="Goregaon"/>
    <s v="Grill Masters"/>
    <s v="North Indian"/>
    <s v="Paneer Tikka"/>
    <s v="Veg"/>
    <n v="5"/>
    <n v="442"/>
    <n v="2210"/>
    <n v="43"/>
    <s v="UPI"/>
    <n v="3.7"/>
    <x v="6"/>
    <n v="2"/>
    <n v="2024"/>
  </r>
  <r>
    <s v="CUST_195"/>
    <s v="O0231"/>
    <d v="2024-04-23T00:00:00"/>
    <s v="Mumbai"/>
    <s v="Powai"/>
    <s v="Burger Hub"/>
    <s v="Indian"/>
    <s v="Fried Rice"/>
    <s v="Veg"/>
    <n v="1"/>
    <n v="355"/>
    <n v="355"/>
    <n v="43"/>
    <s v="UPI"/>
    <n v="4.9000000000000004"/>
    <x v="2"/>
    <n v="17"/>
    <n v="2024"/>
  </r>
  <r>
    <s v="CUST_195"/>
    <s v="O0232"/>
    <d v="2024-06-25T00:00:00"/>
    <s v="Hyderabad"/>
    <s v="Madhapur"/>
    <s v="Chinese Bowl"/>
    <s v="Indian"/>
    <s v="Sandwich"/>
    <s v="Veg"/>
    <n v="4"/>
    <n v="279"/>
    <n v="1116"/>
    <n v="22"/>
    <s v="UPI"/>
    <n v="4.2"/>
    <x v="7"/>
    <n v="26"/>
    <n v="2024"/>
  </r>
  <r>
    <s v="CUST_196"/>
    <s v="O0233"/>
    <d v="2024-04-28T00:00:00"/>
    <s v="Bangalore"/>
    <s v="Whitefield"/>
    <s v="Café Delight"/>
    <s v="Fast Food"/>
    <s v="Fried Rice"/>
    <s v="Veg"/>
    <n v="2"/>
    <n v="173"/>
    <n v="346"/>
    <n v="21"/>
    <s v="COD"/>
    <n v="3.5"/>
    <x v="2"/>
    <n v="18"/>
    <n v="2024"/>
  </r>
  <r>
    <s v="CUST_196"/>
    <s v="O0234"/>
    <d v="2024-05-29T00:00:00"/>
    <s v="Mumbai"/>
    <s v="Dadar"/>
    <s v="Urban Meals"/>
    <s v="Indian"/>
    <s v="Paneer Tikka"/>
    <s v="Veg"/>
    <n v="4"/>
    <n v="159"/>
    <n v="636"/>
    <n v="31"/>
    <s v="Card"/>
    <n v="3.4"/>
    <x v="5"/>
    <n v="22"/>
    <n v="2024"/>
  </r>
  <r>
    <s v="CUST_196"/>
    <s v="O0235"/>
    <d v="2024-07-17T00:00:00"/>
    <s v="Bangalore"/>
    <s v="Jayanagar"/>
    <s v="Sandwich Stop"/>
    <s v="Indian"/>
    <s v="Pizza"/>
    <s v="Veg"/>
    <n v="2"/>
    <n v="316"/>
    <n v="632"/>
    <n v="43"/>
    <s v="COD"/>
    <n v="4"/>
    <x v="1"/>
    <n v="29"/>
    <n v="2024"/>
  </r>
  <r>
    <s v="CUST_197"/>
    <s v="O0236"/>
    <d v="2024-08-26T00:00:00"/>
    <s v="Delhi"/>
    <s v="Karol Bagh"/>
    <s v="Grill Masters"/>
    <s v="North Indian"/>
    <s v="Paneer Tikka"/>
    <s v="Veg"/>
    <n v="3"/>
    <n v="270"/>
    <n v="810"/>
    <n v="42"/>
    <s v="COD"/>
    <n v="4"/>
    <x v="9"/>
    <n v="35"/>
    <n v="2024"/>
  </r>
  <r>
    <s v="CUST_197"/>
    <s v="O0237"/>
    <d v="2024-01-27T00:00:00"/>
    <s v="Mumbai"/>
    <s v="Bandra"/>
    <s v="Biryani House"/>
    <s v="South Indian"/>
    <s v="Masala Dosa"/>
    <s v="Veg"/>
    <n v="4"/>
    <n v="434"/>
    <n v="1736"/>
    <n v="36"/>
    <s v="COD"/>
    <n v="4"/>
    <x v="6"/>
    <n v="4"/>
    <n v="2024"/>
  </r>
  <r>
    <s v="CUST_197"/>
    <s v="O0238"/>
    <d v="2024-05-27T00:00:00"/>
    <s v="Delhi"/>
    <s v="Rohini"/>
    <s v="Grill Masters"/>
    <s v="North Indian"/>
    <s v="Paneer Tikka"/>
    <s v="Veg"/>
    <n v="3"/>
    <n v="104"/>
    <n v="312"/>
    <n v="42"/>
    <s v="UPI"/>
    <n v="3.1"/>
    <x v="5"/>
    <n v="22"/>
    <n v="2024"/>
  </r>
  <r>
    <s v="CUST_197"/>
    <s v="O0239"/>
    <d v="2024-04-24T00:00:00"/>
    <s v="Mumbai"/>
    <s v="Andheri"/>
    <s v="Biryani House"/>
    <s v="Chinese"/>
    <s v="Veg Burger"/>
    <s v="Veg"/>
    <n v="3"/>
    <n v="187"/>
    <n v="561"/>
    <n v="25"/>
    <s v="COD"/>
    <n v="4.3"/>
    <x v="2"/>
    <n v="17"/>
    <n v="2024"/>
  </r>
  <r>
    <s v="CUST_198"/>
    <s v="O0240"/>
    <d v="2024-04-30T00:00:00"/>
    <s v="Mumbai"/>
    <s v="Andheri"/>
    <s v="Chinese Bowl"/>
    <s v="South Indian"/>
    <s v="Pasta"/>
    <s v="Veg"/>
    <n v="2"/>
    <n v="254"/>
    <n v="508"/>
    <n v="36"/>
    <s v="UPI"/>
    <n v="3.8"/>
    <x v="2"/>
    <n v="18"/>
    <n v="2024"/>
  </r>
  <r>
    <s v="CUST_198"/>
    <s v="O0241"/>
    <d v="2024-09-30T00:00:00"/>
    <s v="Delhi"/>
    <s v="Karol Bagh"/>
    <s v="South Spice"/>
    <s v="Italian"/>
    <s v="Pasta"/>
    <s v="Veg"/>
    <n v="3"/>
    <n v="165"/>
    <n v="495"/>
    <n v="37"/>
    <s v="Card"/>
    <n v="4"/>
    <x v="3"/>
    <n v="40"/>
    <n v="2024"/>
  </r>
  <r>
    <s v="CUST_198"/>
    <s v="O0242"/>
    <d v="2024-08-15T00:00:00"/>
    <s v="Mumbai"/>
    <s v="Powai"/>
    <s v="Chinese Bowl"/>
    <s v="North Indian"/>
    <s v="Chicken Biryani"/>
    <s v="Non-Veg"/>
    <n v="3"/>
    <n v="177"/>
    <n v="531"/>
    <n v="27"/>
    <s v="COD"/>
    <n v="3.6"/>
    <x v="9"/>
    <n v="33"/>
    <n v="2024"/>
  </r>
  <r>
    <s v="CUST_198"/>
    <s v="O0243"/>
    <d v="2024-09-29T00:00:00"/>
    <s v="Chennai"/>
    <s v="T Nagar"/>
    <s v="Grill Masters"/>
    <s v="Fast Food"/>
    <s v="Chicken Biryani"/>
    <s v="Non-Veg"/>
    <n v="3"/>
    <n v="357"/>
    <n v="1071"/>
    <n v="36"/>
    <s v="COD"/>
    <n v="4.0999999999999996"/>
    <x v="3"/>
    <n v="40"/>
    <n v="2024"/>
  </r>
  <r>
    <s v="CUST_199"/>
    <s v="O0244"/>
    <d v="2024-08-02T00:00:00"/>
    <s v="Chennai"/>
    <s v="Adyar"/>
    <s v="Chinese Bowl"/>
    <s v="Italian"/>
    <s v="Chicken Roll"/>
    <s v="Non-Veg"/>
    <n v="4"/>
    <n v="372"/>
    <n v="1488"/>
    <n v="45"/>
    <s v="Card"/>
    <n v="3.7"/>
    <x v="9"/>
    <n v="31"/>
    <n v="2024"/>
  </r>
  <r>
    <s v="CUST_199"/>
    <s v="O0245"/>
    <d v="2024-07-21T00:00:00"/>
    <s v="Chennai"/>
    <s v="Adyar"/>
    <s v="Sandwich Stop"/>
    <s v="Indian"/>
    <s v="Sandwich"/>
    <s v="Veg"/>
    <n v="4"/>
    <n v="364"/>
    <n v="1456"/>
    <n v="36"/>
    <s v="Card"/>
    <n v="3.1"/>
    <x v="1"/>
    <n v="30"/>
    <n v="2024"/>
  </r>
  <r>
    <s v="CUST_199"/>
    <s v="O0246"/>
    <d v="2024-04-04T00:00:00"/>
    <s v="Hyderabad"/>
    <s v="Madhapur"/>
    <s v="Burger Hub"/>
    <s v="Fast Food"/>
    <s v="Chicken Biryani"/>
    <s v="Non-Veg"/>
    <n v="2"/>
    <n v="380"/>
    <n v="760"/>
    <n v="44"/>
    <s v="Card"/>
    <n v="3.8"/>
    <x v="2"/>
    <n v="14"/>
    <n v="2024"/>
  </r>
  <r>
    <s v="CUST_200"/>
    <s v="O0247"/>
    <d v="2024-04-18T00:00:00"/>
    <s v="Chennai"/>
    <s v="Adyar"/>
    <s v="South Spice"/>
    <s v="Italian"/>
    <s v="Chicken Roll"/>
    <s v="Non-Veg"/>
    <n v="2"/>
    <n v="316"/>
    <n v="632"/>
    <n v="41"/>
    <s v="COD"/>
    <n v="3.4"/>
    <x v="2"/>
    <n v="16"/>
    <n v="2024"/>
  </r>
  <r>
    <s v="CUST_200"/>
    <s v="O0248"/>
    <d v="2024-01-15T00:00:00"/>
    <s v="Chennai"/>
    <s v="Velachery"/>
    <s v="Café Delight"/>
    <s v="Indian"/>
    <s v="Fried Rice"/>
    <s v="Veg"/>
    <n v="3"/>
    <n v="344"/>
    <n v="1032"/>
    <n v="36"/>
    <s v="UPI"/>
    <n v="3.2"/>
    <x v="6"/>
    <n v="3"/>
    <n v="2024"/>
  </r>
  <r>
    <s v="CUST_201"/>
    <s v="O0249"/>
    <d v="2024-01-04T00:00:00"/>
    <s v="Delhi"/>
    <s v="Rohini"/>
    <s v="South Spice"/>
    <s v="Fast Food"/>
    <s v="Sandwich"/>
    <s v="Veg"/>
    <n v="3"/>
    <n v="244"/>
    <n v="732"/>
    <n v="20"/>
    <s v="UPI"/>
    <n v="4.5"/>
    <x v="6"/>
    <n v="1"/>
    <n v="2024"/>
  </r>
  <r>
    <s v="CUST_201"/>
    <s v="O0250"/>
    <d v="2024-09-27T00:00:00"/>
    <s v="Chennai"/>
    <s v="Adyar"/>
    <s v="Sandwich Stop"/>
    <s v="Italian"/>
    <s v="Momos"/>
    <s v="Veg"/>
    <n v="4"/>
    <n v="336"/>
    <n v="1344"/>
    <n v="28"/>
    <s v="COD"/>
    <n v="3.4"/>
    <x v="3"/>
    <n v="39"/>
    <n v="2024"/>
  </r>
  <r>
    <s v="CUST_201"/>
    <s v="O0251"/>
    <d v="2024-01-23T00:00:00"/>
    <s v="Hyderabad"/>
    <s v="Kukatpally"/>
    <s v="Pizza Planet"/>
    <s v="South Indian"/>
    <s v="Chicken Roll"/>
    <s v="Non-Veg"/>
    <n v="3"/>
    <n v="259"/>
    <n v="777"/>
    <n v="50"/>
    <s v="UPI"/>
    <n v="4.4000000000000004"/>
    <x v="6"/>
    <n v="4"/>
    <n v="2024"/>
  </r>
  <r>
    <s v="CUST_201"/>
    <s v="O0252"/>
    <d v="2024-07-04T00:00:00"/>
    <s v="Chennai"/>
    <s v="T Nagar"/>
    <s v="South Spice"/>
    <s v="Indian"/>
    <s v="Fried Rice"/>
    <s v="Veg"/>
    <n v="3"/>
    <n v="113"/>
    <n v="339"/>
    <n v="48"/>
    <s v="COD"/>
    <n v="4.4000000000000004"/>
    <x v="1"/>
    <n v="27"/>
    <n v="2024"/>
  </r>
  <r>
    <s v="CUST_202"/>
    <s v="O0253"/>
    <d v="2024-07-11T00:00:00"/>
    <s v="Hyderabad"/>
    <s v="Banjara Hills"/>
    <s v="Pizza Planet"/>
    <s v="Chinese"/>
    <s v="Paneer Tikka"/>
    <s v="Veg"/>
    <n v="1"/>
    <n v="471"/>
    <n v="471"/>
    <n v="27"/>
    <s v="UPI"/>
    <n v="3.5"/>
    <x v="1"/>
    <n v="28"/>
    <n v="2024"/>
  </r>
  <r>
    <s v="CUST_202"/>
    <s v="O0254"/>
    <d v="2024-03-25T00:00:00"/>
    <s v="Hyderabad"/>
    <s v="Begumpet"/>
    <s v="Pizza Planet"/>
    <s v="Indian"/>
    <s v="Masala Dosa"/>
    <s v="Veg"/>
    <n v="1"/>
    <n v="272"/>
    <n v="272"/>
    <n v="32"/>
    <s v="UPI"/>
    <n v="3.4"/>
    <x v="4"/>
    <n v="13"/>
    <n v="2024"/>
  </r>
  <r>
    <s v="CUST_202"/>
    <s v="O0255"/>
    <d v="2024-05-10T00:00:00"/>
    <s v="Bangalore"/>
    <s v="Jayanagar"/>
    <s v="Chinese Bowl"/>
    <s v="Chinese"/>
    <s v="Sandwich"/>
    <s v="Veg"/>
    <n v="4"/>
    <n v="295"/>
    <n v="1180"/>
    <n v="56"/>
    <s v="COD"/>
    <n v="4.0999999999999996"/>
    <x v="5"/>
    <n v="19"/>
    <n v="2024"/>
  </r>
  <r>
    <s v="CUST_202"/>
    <s v="O0256"/>
    <d v="2024-09-09T00:00:00"/>
    <s v="Mumbai"/>
    <s v="Powai"/>
    <s v="Tandoori Tales"/>
    <s v="Italian"/>
    <s v="Fried Rice"/>
    <s v="Veg"/>
    <n v="1"/>
    <n v="141"/>
    <n v="141"/>
    <n v="31"/>
    <s v="Card"/>
    <n v="4.0999999999999996"/>
    <x v="3"/>
    <n v="37"/>
    <n v="2024"/>
  </r>
  <r>
    <s v="CUST_202"/>
    <s v="O0257"/>
    <d v="2024-07-12T00:00:00"/>
    <s v="Delhi"/>
    <s v="Connaught Place"/>
    <s v="Pizza Planet"/>
    <s v="South Indian"/>
    <s v="Paneer Tikka"/>
    <s v="Veg"/>
    <n v="3"/>
    <n v="171"/>
    <n v="513"/>
    <n v="37"/>
    <s v="Card"/>
    <n v="4"/>
    <x v="1"/>
    <n v="28"/>
    <n v="2024"/>
  </r>
  <r>
    <s v="CUST_203"/>
    <s v="O0258"/>
    <d v="2024-07-05T00:00:00"/>
    <s v="Chennai"/>
    <s v="Adyar"/>
    <s v="Café Delight"/>
    <s v="Italian"/>
    <s v="Chicken Biryani"/>
    <s v="Non-Veg"/>
    <n v="5"/>
    <n v="449"/>
    <n v="2245"/>
    <n v="51"/>
    <s v="Card"/>
    <n v="4"/>
    <x v="1"/>
    <n v="27"/>
    <n v="2024"/>
  </r>
  <r>
    <s v="CUST_203"/>
    <s v="O0259"/>
    <d v="2024-02-18T00:00:00"/>
    <s v="Hyderabad"/>
    <s v="Kukatpally"/>
    <s v="Tandoori Tales"/>
    <s v="Fast Food"/>
    <s v="Pasta"/>
    <s v="Veg"/>
    <n v="5"/>
    <n v="446"/>
    <n v="2230"/>
    <n v="45"/>
    <s v="UPI"/>
    <n v="4.5"/>
    <x v="8"/>
    <n v="8"/>
    <n v="2024"/>
  </r>
  <r>
    <s v="CUST_203"/>
    <s v="O0260"/>
    <d v="2024-02-24T00:00:00"/>
    <s v="Bangalore"/>
    <s v="Koramangala"/>
    <s v="Urban Meals"/>
    <s v="Chinese"/>
    <s v="Sandwich"/>
    <s v="Veg"/>
    <n v="3"/>
    <n v="320"/>
    <n v="960"/>
    <n v="39"/>
    <s v="COD"/>
    <n v="3.9"/>
    <x v="8"/>
    <n v="8"/>
    <n v="2024"/>
  </r>
  <r>
    <s v="CUST_204"/>
    <s v="O0261"/>
    <d v="2024-05-13T00:00:00"/>
    <s v="Hyderabad"/>
    <s v="Begumpet"/>
    <s v="Sandwich Stop"/>
    <s v="South Indian"/>
    <s v="Masala Dosa"/>
    <s v="Veg"/>
    <n v="2"/>
    <n v="428"/>
    <n v="856"/>
    <n v="41"/>
    <s v="UPI"/>
    <n v="3.3"/>
    <x v="5"/>
    <n v="20"/>
    <n v="2024"/>
  </r>
  <r>
    <s v="CUST_204"/>
    <s v="O0262"/>
    <d v="2024-07-03T00:00:00"/>
    <s v="Chennai"/>
    <s v="Tambaram"/>
    <s v="Sandwich Stop"/>
    <s v="North Indian"/>
    <s v="Chicken Roll"/>
    <s v="Non-Veg"/>
    <n v="2"/>
    <n v="343"/>
    <n v="686"/>
    <n v="56"/>
    <s v="COD"/>
    <n v="4.9000000000000004"/>
    <x v="1"/>
    <n v="27"/>
    <n v="2024"/>
  </r>
  <r>
    <s v="CUST_204"/>
    <s v="O0263"/>
    <d v="2024-10-14T00:00:00"/>
    <s v="Bangalore"/>
    <s v="BTM Layout"/>
    <s v="Pizza Planet"/>
    <s v="Fast Food"/>
    <s v="Chicken Biryani"/>
    <s v="Non-Veg"/>
    <n v="5"/>
    <n v="144"/>
    <n v="720"/>
    <n v="35"/>
    <s v="UPI"/>
    <n v="3.3"/>
    <x v="0"/>
    <n v="42"/>
    <n v="2024"/>
  </r>
  <r>
    <s v="CUST_204"/>
    <s v="O0264"/>
    <d v="2024-03-18T00:00:00"/>
    <s v="Delhi"/>
    <s v="Saket"/>
    <s v="Urban Meals"/>
    <s v="Fast Food"/>
    <s v="Chicken Roll"/>
    <s v="Non-Veg"/>
    <n v="1"/>
    <n v="476"/>
    <n v="476"/>
    <n v="22"/>
    <s v="COD"/>
    <n v="4.2"/>
    <x v="4"/>
    <n v="12"/>
    <n v="2024"/>
  </r>
  <r>
    <s v="CUST_204"/>
    <s v="O0265"/>
    <d v="2024-05-05T00:00:00"/>
    <s v="Hyderabad"/>
    <s v="Madhapur"/>
    <s v="Urban Meals"/>
    <s v="Italian"/>
    <s v="Paneer Tikka"/>
    <s v="Veg"/>
    <n v="1"/>
    <n v="421"/>
    <n v="421"/>
    <n v="20"/>
    <s v="COD"/>
    <n v="3.5"/>
    <x v="5"/>
    <n v="19"/>
    <n v="2024"/>
  </r>
  <r>
    <s v="CUST_205"/>
    <s v="O0266"/>
    <d v="2024-06-03T00:00:00"/>
    <s v="Hyderabad"/>
    <s v="Begumpet"/>
    <s v="Café Delight"/>
    <s v="North Indian"/>
    <s v="Pizza"/>
    <s v="Veg"/>
    <n v="5"/>
    <n v="305"/>
    <n v="1525"/>
    <n v="20"/>
    <s v="UPI"/>
    <n v="3"/>
    <x v="7"/>
    <n v="23"/>
    <n v="2024"/>
  </r>
  <r>
    <s v="CUST_205"/>
    <s v="O0267"/>
    <d v="2024-08-19T00:00:00"/>
    <s v="Hyderabad"/>
    <s v="Begumpet"/>
    <s v="Grill Masters"/>
    <s v="Chinese"/>
    <s v="Sandwich"/>
    <s v="Veg"/>
    <n v="1"/>
    <n v="297"/>
    <n v="297"/>
    <n v="44"/>
    <s v="COD"/>
    <n v="3.4"/>
    <x v="9"/>
    <n v="34"/>
    <n v="2024"/>
  </r>
  <r>
    <s v="CUST_205"/>
    <s v="O0268"/>
    <d v="2024-03-31T00:00:00"/>
    <s v="Bangalore"/>
    <s v="Indiranagar"/>
    <s v="Sandwich Stop"/>
    <s v="Fast Food"/>
    <s v="Fried Rice"/>
    <s v="Veg"/>
    <n v="3"/>
    <n v="382"/>
    <n v="1146"/>
    <n v="43"/>
    <s v="UPI"/>
    <n v="4.5"/>
    <x v="4"/>
    <n v="14"/>
    <n v="2024"/>
  </r>
  <r>
    <s v="CUST_205"/>
    <s v="O0269"/>
    <d v="2024-10-18T00:00:00"/>
    <s v="Chennai"/>
    <s v="Tambaram"/>
    <s v="Biryani House"/>
    <s v="Fast Food"/>
    <s v="Momos"/>
    <s v="Veg"/>
    <n v="2"/>
    <n v="145"/>
    <n v="290"/>
    <n v="24"/>
    <s v="COD"/>
    <n v="3.7"/>
    <x v="0"/>
    <n v="42"/>
    <n v="2024"/>
  </r>
  <r>
    <s v="CUST_206"/>
    <s v="O0270"/>
    <d v="2024-02-16T00:00:00"/>
    <s v="Bangalore"/>
    <s v="Jayanagar"/>
    <s v="Tandoori Tales"/>
    <s v="South Indian"/>
    <s v="Pasta"/>
    <s v="Veg"/>
    <n v="4"/>
    <n v="449"/>
    <n v="1796"/>
    <n v="36"/>
    <s v="COD"/>
    <n v="4.8"/>
    <x v="8"/>
    <n v="7"/>
    <n v="2024"/>
  </r>
  <r>
    <s v="CUST_206"/>
    <s v="O0271"/>
    <d v="2024-08-04T00:00:00"/>
    <s v="Hyderabad"/>
    <s v="Begumpet"/>
    <s v="Tandoori Tales"/>
    <s v="Fast Food"/>
    <s v="Paneer Tikka"/>
    <s v="Veg"/>
    <n v="5"/>
    <n v="491"/>
    <n v="2455"/>
    <n v="27"/>
    <s v="UPI"/>
    <n v="3.6"/>
    <x v="9"/>
    <n v="32"/>
    <n v="2024"/>
  </r>
  <r>
    <s v="CUST_206"/>
    <s v="O0272"/>
    <d v="2024-06-18T00:00:00"/>
    <s v="Bangalore"/>
    <s v="BTM Layout"/>
    <s v="Pizza Planet"/>
    <s v="North Indian"/>
    <s v="Sandwich"/>
    <s v="Veg"/>
    <n v="2"/>
    <n v="233"/>
    <n v="466"/>
    <n v="55"/>
    <s v="COD"/>
    <n v="3.6"/>
    <x v="7"/>
    <n v="25"/>
    <n v="2024"/>
  </r>
  <r>
    <s v="CUST_206"/>
    <s v="O0273"/>
    <d v="2024-10-03T00:00:00"/>
    <s v="Mumbai"/>
    <s v="Dadar"/>
    <s v="South Spice"/>
    <s v="Italian"/>
    <s v="Fried Rice"/>
    <s v="Veg"/>
    <n v="4"/>
    <n v="170"/>
    <n v="680"/>
    <n v="52"/>
    <s v="Card"/>
    <n v="3.6"/>
    <x v="0"/>
    <n v="40"/>
    <n v="2024"/>
  </r>
  <r>
    <s v="CUST_206"/>
    <s v="O0274"/>
    <d v="2024-03-06T00:00:00"/>
    <s v="Mumbai"/>
    <s v="Andheri"/>
    <s v="Chinese Bowl"/>
    <s v="Indian"/>
    <s v="Momos"/>
    <s v="Veg"/>
    <n v="3"/>
    <n v="136"/>
    <n v="408"/>
    <n v="52"/>
    <s v="COD"/>
    <n v="3.8"/>
    <x v="4"/>
    <n v="10"/>
    <n v="2024"/>
  </r>
  <r>
    <s v="CUST_207"/>
    <s v="O0275"/>
    <d v="2024-03-10T00:00:00"/>
    <s v="Hyderabad"/>
    <s v="Madhapur"/>
    <s v="Sandwich Stop"/>
    <s v="Fast Food"/>
    <s v="Veg Burger"/>
    <s v="Veg"/>
    <n v="2"/>
    <n v="198"/>
    <n v="396"/>
    <n v="38"/>
    <s v="UPI"/>
    <n v="3.6"/>
    <x v="4"/>
    <n v="11"/>
    <n v="2024"/>
  </r>
  <r>
    <s v="CUST_207"/>
    <s v="O0276"/>
    <d v="2024-08-20T00:00:00"/>
    <s v="Mumbai"/>
    <s v="Goregaon"/>
    <s v="Urban Meals"/>
    <s v="Indian"/>
    <s v="Pasta"/>
    <s v="Veg"/>
    <n v="5"/>
    <n v="328"/>
    <n v="1640"/>
    <n v="20"/>
    <s v="COD"/>
    <n v="3.5"/>
    <x v="9"/>
    <n v="34"/>
    <n v="2024"/>
  </r>
  <r>
    <s v="CUST_207"/>
    <s v="O0277"/>
    <d v="2024-05-01T00:00:00"/>
    <s v="Hyderabad"/>
    <s v="Kukatpally"/>
    <s v="Burger Hub"/>
    <s v="South Indian"/>
    <s v="Paneer Tikka"/>
    <s v="Veg"/>
    <n v="2"/>
    <n v="159"/>
    <n v="318"/>
    <n v="53"/>
    <s v="Card"/>
    <n v="4.8"/>
    <x v="5"/>
    <n v="18"/>
    <n v="2024"/>
  </r>
  <r>
    <s v="CUST_207"/>
    <s v="O0278"/>
    <d v="2024-07-24T00:00:00"/>
    <s v="Hyderabad"/>
    <s v="Madhapur"/>
    <s v="Sandwich Stop"/>
    <s v="Fast Food"/>
    <s v="Chicken Roll"/>
    <s v="Non-Veg"/>
    <n v="3"/>
    <n v="237"/>
    <n v="711"/>
    <n v="34"/>
    <s v="COD"/>
    <n v="3.1"/>
    <x v="1"/>
    <n v="30"/>
    <n v="2024"/>
  </r>
  <r>
    <s v="CUST_208"/>
    <s v="O0279"/>
    <d v="2024-08-31T00:00:00"/>
    <s v="Mumbai"/>
    <s v="Powai"/>
    <s v="Urban Meals"/>
    <s v="Indian"/>
    <s v="Veg Burger"/>
    <s v="Veg"/>
    <n v="5"/>
    <n v="399"/>
    <n v="1995"/>
    <n v="43"/>
    <s v="Card"/>
    <n v="4.4000000000000004"/>
    <x v="9"/>
    <n v="35"/>
    <n v="2024"/>
  </r>
  <r>
    <s v="CUST_208"/>
    <s v="O0280"/>
    <d v="2024-03-29T00:00:00"/>
    <s v="Bangalore"/>
    <s v="Koramangala"/>
    <s v="South Spice"/>
    <s v="North Indian"/>
    <s v="Paneer Tikka"/>
    <s v="Veg"/>
    <n v="5"/>
    <n v="213"/>
    <n v="1065"/>
    <n v="20"/>
    <s v="COD"/>
    <n v="3.3"/>
    <x v="4"/>
    <n v="13"/>
    <n v="2024"/>
  </r>
  <r>
    <s v="CUST_209"/>
    <s v="O0281"/>
    <d v="2024-07-24T00:00:00"/>
    <s v="Mumbai"/>
    <s v="Andheri"/>
    <s v="South Spice"/>
    <s v="Fast Food"/>
    <s v="Veg Burger"/>
    <s v="Veg"/>
    <n v="4"/>
    <n v="137"/>
    <n v="548"/>
    <n v="52"/>
    <s v="Card"/>
    <n v="3.8"/>
    <x v="1"/>
    <n v="30"/>
    <n v="2024"/>
  </r>
  <r>
    <s v="CUST_209"/>
    <s v="O0282"/>
    <d v="2024-03-26T00:00:00"/>
    <s v="Delhi"/>
    <s v="Connaught Place"/>
    <s v="Café Delight"/>
    <s v="South Indian"/>
    <s v="Veg Burger"/>
    <s v="Veg"/>
    <n v="3"/>
    <n v="396"/>
    <n v="1188"/>
    <n v="60"/>
    <s v="Card"/>
    <n v="5"/>
    <x v="4"/>
    <n v="13"/>
    <n v="2024"/>
  </r>
  <r>
    <s v="CUST_209"/>
    <s v="O0283"/>
    <d v="2024-09-25T00:00:00"/>
    <s v="Bangalore"/>
    <s v="Whitefield"/>
    <s v="Grill Masters"/>
    <s v="South Indian"/>
    <s v="Masala Dosa"/>
    <s v="Veg"/>
    <n v="3"/>
    <n v="125"/>
    <n v="375"/>
    <n v="46"/>
    <s v="UPI"/>
    <n v="3.8"/>
    <x v="3"/>
    <n v="39"/>
    <n v="2024"/>
  </r>
  <r>
    <s v="CUST_210"/>
    <s v="O0284"/>
    <d v="2024-08-25T00:00:00"/>
    <s v="Bangalore"/>
    <s v="Jayanagar"/>
    <s v="Grill Masters"/>
    <s v="Italian"/>
    <s v="Fried Rice"/>
    <s v="Veg"/>
    <n v="4"/>
    <n v="460"/>
    <n v="1840"/>
    <n v="58"/>
    <s v="Card"/>
    <n v="4.3"/>
    <x v="9"/>
    <n v="35"/>
    <n v="2024"/>
  </r>
  <r>
    <s v="CUST_210"/>
    <s v="O0285"/>
    <d v="2024-02-24T00:00:00"/>
    <s v="Bangalore"/>
    <s v="Whitefield"/>
    <s v="Tandoori Tales"/>
    <s v="Chinese"/>
    <s v="Veg Burger"/>
    <s v="Veg"/>
    <n v="5"/>
    <n v="107"/>
    <n v="535"/>
    <n v="38"/>
    <s v="Card"/>
    <n v="4.3"/>
    <x v="8"/>
    <n v="8"/>
    <n v="2024"/>
  </r>
  <r>
    <s v="CUST_210"/>
    <s v="O0286"/>
    <d v="2024-04-19T00:00:00"/>
    <s v="Mumbai"/>
    <s v="Powai"/>
    <s v="Grill Masters"/>
    <s v="Indian"/>
    <s v="Chicken Roll"/>
    <s v="Non-Veg"/>
    <n v="4"/>
    <n v="325"/>
    <n v="1300"/>
    <n v="29"/>
    <s v="COD"/>
    <n v="4.7"/>
    <x v="2"/>
    <n v="16"/>
    <n v="2024"/>
  </r>
  <r>
    <s v="CUST_210"/>
    <s v="O0287"/>
    <d v="2024-02-08T00:00:00"/>
    <s v="Chennai"/>
    <s v="Velachery"/>
    <s v="South Spice"/>
    <s v="Fast Food"/>
    <s v="Fried Rice"/>
    <s v="Veg"/>
    <n v="1"/>
    <n v="236"/>
    <n v="236"/>
    <n v="41"/>
    <s v="COD"/>
    <n v="3.2"/>
    <x v="8"/>
    <n v="6"/>
    <n v="2024"/>
  </r>
  <r>
    <s v="CUST_211"/>
    <s v="O0288"/>
    <d v="2024-03-20T00:00:00"/>
    <s v="Mumbai"/>
    <s v="Goregaon"/>
    <s v="Grill Masters"/>
    <s v="Fast Food"/>
    <s v="Pasta"/>
    <s v="Veg"/>
    <n v="1"/>
    <n v="449"/>
    <n v="449"/>
    <n v="43"/>
    <s v="COD"/>
    <n v="4.8"/>
    <x v="4"/>
    <n v="12"/>
    <n v="2024"/>
  </r>
  <r>
    <s v="CUST_211"/>
    <s v="O0289"/>
    <d v="2024-10-19T00:00:00"/>
    <s v="Hyderabad"/>
    <s v="Banjara Hills"/>
    <s v="Pizza Planet"/>
    <s v="North Indian"/>
    <s v="Veg Burger"/>
    <s v="Veg"/>
    <n v="4"/>
    <n v="348"/>
    <n v="1392"/>
    <n v="23"/>
    <s v="COD"/>
    <n v="3.5"/>
    <x v="0"/>
    <n v="42"/>
    <n v="2024"/>
  </r>
  <r>
    <s v="CUST_211"/>
    <s v="O0290"/>
    <d v="2024-08-17T00:00:00"/>
    <s v="Hyderabad"/>
    <s v="Madhapur"/>
    <s v="Tandoori Tales"/>
    <s v="Fast Food"/>
    <s v="Pasta"/>
    <s v="Veg"/>
    <n v="1"/>
    <n v="276"/>
    <n v="276"/>
    <n v="45"/>
    <s v="COD"/>
    <n v="4.3"/>
    <x v="9"/>
    <n v="33"/>
    <n v="2024"/>
  </r>
  <r>
    <s v="CUST_211"/>
    <s v="O0291"/>
    <d v="2024-04-29T00:00:00"/>
    <s v="Chennai"/>
    <s v="Velachery"/>
    <s v="Pizza Planet"/>
    <s v="North Indian"/>
    <s v="Pizza"/>
    <s v="Veg"/>
    <n v="3"/>
    <n v="133"/>
    <n v="399"/>
    <n v="47"/>
    <s v="Card"/>
    <n v="3.7"/>
    <x v="2"/>
    <n v="18"/>
    <n v="2024"/>
  </r>
  <r>
    <s v="CUST_212"/>
    <s v="O0292"/>
    <d v="2024-02-05T00:00:00"/>
    <s v="Delhi"/>
    <s v="Rohini"/>
    <s v="Sandwich Stop"/>
    <s v="South Indian"/>
    <s v="Veg Burger"/>
    <s v="Veg"/>
    <n v="3"/>
    <n v="269"/>
    <n v="807"/>
    <n v="49"/>
    <s v="UPI"/>
    <n v="3"/>
    <x v="8"/>
    <n v="6"/>
    <n v="2024"/>
  </r>
  <r>
    <s v="CUST_212"/>
    <s v="O0293"/>
    <d v="2024-08-09T00:00:00"/>
    <s v="Mumbai"/>
    <s v="Powai"/>
    <s v="Burger Hub"/>
    <s v="Indian"/>
    <s v="Sandwich"/>
    <s v="Veg"/>
    <n v="1"/>
    <n v="166"/>
    <n v="166"/>
    <n v="53"/>
    <s v="Card"/>
    <n v="4.8"/>
    <x v="9"/>
    <n v="32"/>
    <n v="2024"/>
  </r>
  <r>
    <s v="CUST_213"/>
    <s v="O0294"/>
    <d v="2024-02-20T00:00:00"/>
    <s v="Delhi"/>
    <s v="Dwarka"/>
    <s v="Burger Hub"/>
    <s v="North Indian"/>
    <s v="Sandwich"/>
    <s v="Veg"/>
    <n v="2"/>
    <n v="149"/>
    <n v="298"/>
    <n v="53"/>
    <s v="UPI"/>
    <n v="3.5"/>
    <x v="8"/>
    <n v="8"/>
    <n v="2024"/>
  </r>
  <r>
    <s v="CUST_213"/>
    <s v="O0295"/>
    <d v="2024-05-09T00:00:00"/>
    <s v="Bangalore"/>
    <s v="Jayanagar"/>
    <s v="Grill Masters"/>
    <s v="North Indian"/>
    <s v="Sandwich"/>
    <s v="Veg"/>
    <n v="3"/>
    <n v="194"/>
    <n v="582"/>
    <n v="23"/>
    <s v="Card"/>
    <n v="4.0999999999999996"/>
    <x v="5"/>
    <n v="19"/>
    <n v="2024"/>
  </r>
  <r>
    <s v="CUST_213"/>
    <s v="O0296"/>
    <d v="2024-05-28T00:00:00"/>
    <s v="Hyderabad"/>
    <s v="Secunderabad"/>
    <s v="South Spice"/>
    <s v="Italian"/>
    <s v="Sandwich"/>
    <s v="Veg"/>
    <n v="5"/>
    <n v="113"/>
    <n v="565"/>
    <n v="54"/>
    <s v="COD"/>
    <n v="3.6"/>
    <x v="5"/>
    <n v="22"/>
    <n v="2024"/>
  </r>
  <r>
    <s v="CUST_214"/>
    <s v="O0297"/>
    <d v="2024-01-24T00:00:00"/>
    <s v="Chennai"/>
    <s v="Adyar"/>
    <s v="Urban Meals"/>
    <s v="Italian"/>
    <s v="Pasta"/>
    <s v="Veg"/>
    <n v="1"/>
    <n v="362"/>
    <n v="362"/>
    <n v="38"/>
    <s v="COD"/>
    <n v="4.3"/>
    <x v="6"/>
    <n v="4"/>
    <n v="2024"/>
  </r>
  <r>
    <s v="CUST_214"/>
    <s v="O0298"/>
    <d v="2024-05-31T00:00:00"/>
    <s v="Chennai"/>
    <s v="Tambaram"/>
    <s v="Sandwich Stop"/>
    <s v="Italian"/>
    <s v="Fried Rice"/>
    <s v="Veg"/>
    <n v="4"/>
    <n v="207"/>
    <n v="828"/>
    <n v="49"/>
    <s v="Card"/>
    <n v="3.3"/>
    <x v="5"/>
    <n v="22"/>
    <n v="2024"/>
  </r>
  <r>
    <s v="CUST_215"/>
    <s v="O0299"/>
    <d v="2024-03-06T00:00:00"/>
    <s v="Bangalore"/>
    <s v="Indiranagar"/>
    <s v="Grill Masters"/>
    <s v="Italian"/>
    <s v="Fried Rice"/>
    <s v="Veg"/>
    <n v="1"/>
    <n v="104"/>
    <n v="104"/>
    <n v="47"/>
    <s v="UPI"/>
    <n v="4"/>
    <x v="4"/>
    <n v="10"/>
    <n v="2024"/>
  </r>
  <r>
    <s v="CUST_215"/>
    <s v="O0300"/>
    <d v="2024-01-26T00:00:00"/>
    <s v="Bangalore"/>
    <s v="Indiranagar"/>
    <s v="Burger Hub"/>
    <s v="Fast Food"/>
    <s v="Masala Dosa"/>
    <s v="Veg"/>
    <n v="2"/>
    <n v="298"/>
    <n v="596"/>
    <n v="59"/>
    <s v="UPI"/>
    <n v="3.7"/>
    <x v="6"/>
    <n v="4"/>
    <n v="2024"/>
  </r>
  <r>
    <s v="CUST_215"/>
    <s v="O0301"/>
    <d v="2024-10-17T00:00:00"/>
    <s v="Delhi"/>
    <s v="Connaught Place"/>
    <s v="Tandoori Tales"/>
    <s v="Indian"/>
    <s v="Pizza"/>
    <s v="Veg"/>
    <n v="5"/>
    <n v="252"/>
    <n v="1260"/>
    <n v="54"/>
    <s v="UPI"/>
    <n v="3.2"/>
    <x v="0"/>
    <n v="42"/>
    <n v="2024"/>
  </r>
  <r>
    <s v="CUST_215"/>
    <s v="O0302"/>
    <d v="2024-05-09T00:00:00"/>
    <s v="Delhi"/>
    <s v="Karol Bagh"/>
    <s v="Sandwich Stop"/>
    <s v="Indian"/>
    <s v="Masala Dosa"/>
    <s v="Veg"/>
    <n v="1"/>
    <n v="298"/>
    <n v="298"/>
    <n v="26"/>
    <s v="Card"/>
    <n v="3.8"/>
    <x v="5"/>
    <n v="19"/>
    <n v="2024"/>
  </r>
  <r>
    <s v="CUST_216"/>
    <s v="O0303"/>
    <d v="2024-07-13T00:00:00"/>
    <s v="Mumbai"/>
    <s v="Goregaon"/>
    <s v="Tandoori Tales"/>
    <s v="Chinese"/>
    <s v="Chicken Roll"/>
    <s v="Non-Veg"/>
    <n v="2"/>
    <n v="292"/>
    <n v="584"/>
    <n v="45"/>
    <s v="Card"/>
    <n v="3.9"/>
    <x v="1"/>
    <n v="28"/>
    <n v="2024"/>
  </r>
  <r>
    <s v="CUST_216"/>
    <s v="O0304"/>
    <d v="2024-08-09T00:00:00"/>
    <s v="Delhi"/>
    <s v="Karol Bagh"/>
    <s v="Pizza Planet"/>
    <s v="Indian"/>
    <s v="Masala Dosa"/>
    <s v="Veg"/>
    <n v="5"/>
    <n v="154"/>
    <n v="770"/>
    <n v="36"/>
    <s v="COD"/>
    <n v="3.4"/>
    <x v="9"/>
    <n v="32"/>
    <n v="2024"/>
  </r>
  <r>
    <s v="CUST_216"/>
    <s v="O0305"/>
    <d v="2024-03-02T00:00:00"/>
    <s v="Bangalore"/>
    <s v="BTM Layout"/>
    <s v="Grill Masters"/>
    <s v="Indian"/>
    <s v="Paneer Tikka"/>
    <s v="Veg"/>
    <n v="5"/>
    <n v="330"/>
    <n v="1650"/>
    <n v="56"/>
    <s v="COD"/>
    <n v="4.7"/>
    <x v="4"/>
    <n v="9"/>
    <n v="2024"/>
  </r>
  <r>
    <s v="CUST_216"/>
    <s v="O0306"/>
    <d v="2024-01-31T00:00:00"/>
    <s v="Delhi"/>
    <s v="Connaught Place"/>
    <s v="Pizza Planet"/>
    <s v="Chinese"/>
    <s v="Sandwich"/>
    <s v="Veg"/>
    <n v="3"/>
    <n v="381"/>
    <n v="1143"/>
    <n v="20"/>
    <s v="COD"/>
    <n v="4.9000000000000004"/>
    <x v="6"/>
    <n v="5"/>
    <n v="2024"/>
  </r>
  <r>
    <s v="CUST_216"/>
    <s v="O0307"/>
    <d v="2024-04-28T00:00:00"/>
    <s v="Mumbai"/>
    <s v="Dadar"/>
    <s v="Burger Hub"/>
    <s v="North Indian"/>
    <s v="Masala Dosa"/>
    <s v="Veg"/>
    <n v="4"/>
    <n v="214"/>
    <n v="856"/>
    <n v="32"/>
    <s v="COD"/>
    <n v="3.8"/>
    <x v="2"/>
    <n v="18"/>
    <n v="2024"/>
  </r>
  <r>
    <s v="CUST_217"/>
    <s v="O0308"/>
    <d v="2024-05-28T00:00:00"/>
    <s v="Hyderabad"/>
    <s v="Kukatpally"/>
    <s v="Chinese Bowl"/>
    <s v="Chinese"/>
    <s v="Veg Burger"/>
    <s v="Veg"/>
    <n v="4"/>
    <n v="326"/>
    <n v="1304"/>
    <n v="52"/>
    <s v="UPI"/>
    <n v="5"/>
    <x v="5"/>
    <n v="22"/>
    <n v="2024"/>
  </r>
  <r>
    <s v="CUST_217"/>
    <s v="O0309"/>
    <d v="2024-10-15T00:00:00"/>
    <s v="Bangalore"/>
    <s v="Koramangala"/>
    <s v="South Spice"/>
    <s v="Chinese"/>
    <s v="Sandwich"/>
    <s v="Veg"/>
    <n v="2"/>
    <n v="437"/>
    <n v="874"/>
    <n v="34"/>
    <s v="COD"/>
    <n v="3.6"/>
    <x v="0"/>
    <n v="42"/>
    <n v="2024"/>
  </r>
  <r>
    <s v="CUST_217"/>
    <s v="O0310"/>
    <d v="2024-07-16T00:00:00"/>
    <s v="Chennai"/>
    <s v="Adyar"/>
    <s v="Pizza Planet"/>
    <s v="Fast Food"/>
    <s v="Chicken Biryani"/>
    <s v="Non-Veg"/>
    <n v="3"/>
    <n v="481"/>
    <n v="1443"/>
    <n v="31"/>
    <s v="UPI"/>
    <n v="3.6"/>
    <x v="1"/>
    <n v="29"/>
    <n v="2024"/>
  </r>
  <r>
    <s v="CUST_218"/>
    <s v="O0311"/>
    <d v="2024-09-04T00:00:00"/>
    <s v="Hyderabad"/>
    <s v="Banjara Hills"/>
    <s v="Pizza Planet"/>
    <s v="Chinese"/>
    <s v="Pizza"/>
    <s v="Veg"/>
    <n v="1"/>
    <n v="230"/>
    <n v="230"/>
    <n v="44"/>
    <s v="COD"/>
    <n v="3.9"/>
    <x v="3"/>
    <n v="36"/>
    <n v="2024"/>
  </r>
  <r>
    <s v="CUST_218"/>
    <s v="O0312"/>
    <d v="2024-09-03T00:00:00"/>
    <s v="Hyderabad"/>
    <s v="Madhapur"/>
    <s v="Grill Masters"/>
    <s v="Fast Food"/>
    <s v="Chicken Roll"/>
    <s v="Non-Veg"/>
    <n v="5"/>
    <n v="251"/>
    <n v="1255"/>
    <n v="31"/>
    <s v="Card"/>
    <n v="3.7"/>
    <x v="3"/>
    <n v="36"/>
    <n v="2024"/>
  </r>
  <r>
    <s v="CUST_219"/>
    <s v="O0313"/>
    <d v="2024-10-19T00:00:00"/>
    <s v="Bangalore"/>
    <s v="Whitefield"/>
    <s v="Chinese Bowl"/>
    <s v="Chinese"/>
    <s v="Sandwich"/>
    <s v="Veg"/>
    <n v="1"/>
    <n v="161"/>
    <n v="161"/>
    <n v="20"/>
    <s v="Card"/>
    <n v="3.4"/>
    <x v="0"/>
    <n v="42"/>
    <n v="2024"/>
  </r>
  <r>
    <s v="CUST_219"/>
    <s v="O0314"/>
    <d v="2024-05-28T00:00:00"/>
    <s v="Mumbai"/>
    <s v="Powai"/>
    <s v="Grill Masters"/>
    <s v="Italian"/>
    <s v="Momos"/>
    <s v="Veg"/>
    <n v="5"/>
    <n v="355"/>
    <n v="1775"/>
    <n v="55"/>
    <s v="Card"/>
    <n v="3.2"/>
    <x v="5"/>
    <n v="22"/>
    <n v="2024"/>
  </r>
  <r>
    <s v="CUST_219"/>
    <s v="O0315"/>
    <d v="2024-02-29T00:00:00"/>
    <s v="Mumbai"/>
    <s v="Goregaon"/>
    <s v="South Spice"/>
    <s v="Chinese"/>
    <s v="Momos"/>
    <s v="Veg"/>
    <n v="1"/>
    <n v="170"/>
    <n v="170"/>
    <n v="39"/>
    <s v="UPI"/>
    <n v="4.2"/>
    <x v="8"/>
    <n v="9"/>
    <n v="2024"/>
  </r>
  <r>
    <s v="CUST_219"/>
    <s v="O0316"/>
    <d v="2024-07-08T00:00:00"/>
    <s v="Delhi"/>
    <s v="Saket"/>
    <s v="Café Delight"/>
    <s v="Chinese"/>
    <s v="Sandwich"/>
    <s v="Veg"/>
    <n v="5"/>
    <n v="331"/>
    <n v="1655"/>
    <n v="50"/>
    <s v="UPI"/>
    <n v="4.4000000000000004"/>
    <x v="1"/>
    <n v="28"/>
    <n v="2024"/>
  </r>
  <r>
    <s v="CUST_219"/>
    <s v="O0317"/>
    <d v="2024-07-17T00:00:00"/>
    <s v="Bangalore"/>
    <s v="BTM Layout"/>
    <s v="Chinese Bowl"/>
    <s v="Chinese"/>
    <s v="Momos"/>
    <s v="Veg"/>
    <n v="3"/>
    <n v="372"/>
    <n v="1116"/>
    <n v="37"/>
    <s v="Card"/>
    <n v="3.3"/>
    <x v="1"/>
    <n v="29"/>
    <n v="2024"/>
  </r>
  <r>
    <s v="CUST_220"/>
    <s v="O0318"/>
    <d v="2024-05-27T00:00:00"/>
    <s v="Mumbai"/>
    <s v="Goregaon"/>
    <s v="Tandoori Tales"/>
    <s v="South Indian"/>
    <s v="Paneer Tikka"/>
    <s v="Veg"/>
    <n v="2"/>
    <n v="134"/>
    <n v="268"/>
    <n v="32"/>
    <s v="COD"/>
    <n v="3.7"/>
    <x v="5"/>
    <n v="22"/>
    <n v="2024"/>
  </r>
  <r>
    <s v="CUST_220"/>
    <s v="O0319"/>
    <d v="2024-07-16T00:00:00"/>
    <s v="Mumbai"/>
    <s v="Dadar"/>
    <s v="Burger Hub"/>
    <s v="Indian"/>
    <s v="Veg Burger"/>
    <s v="Veg"/>
    <n v="1"/>
    <n v="132"/>
    <n v="132"/>
    <n v="35"/>
    <s v="Card"/>
    <n v="3.5"/>
    <x v="1"/>
    <n v="29"/>
    <n v="2024"/>
  </r>
  <r>
    <s v="CUST_220"/>
    <s v="O0320"/>
    <d v="2024-02-27T00:00:00"/>
    <s v="Hyderabad"/>
    <s v="Banjara Hills"/>
    <s v="Burger Hub"/>
    <s v="Chinese"/>
    <s v="Sandwich"/>
    <s v="Veg"/>
    <n v="5"/>
    <n v="412"/>
    <n v="2060"/>
    <n v="44"/>
    <s v="COD"/>
    <n v="4.3"/>
    <x v="8"/>
    <n v="9"/>
    <n v="2024"/>
  </r>
  <r>
    <s v="CUST_221"/>
    <s v="O0321"/>
    <d v="2024-02-22T00:00:00"/>
    <s v="Bangalore"/>
    <s v="Whitefield"/>
    <s v="Chinese Bowl"/>
    <s v="North Indian"/>
    <s v="Paneer Tikka"/>
    <s v="Veg"/>
    <n v="1"/>
    <n v="463"/>
    <n v="463"/>
    <n v="26"/>
    <s v="COD"/>
    <n v="3.4"/>
    <x v="8"/>
    <n v="8"/>
    <n v="2024"/>
  </r>
  <r>
    <s v="CUST_221"/>
    <s v="O0322"/>
    <d v="2024-04-09T00:00:00"/>
    <s v="Mumbai"/>
    <s v="Andheri"/>
    <s v="Tandoori Tales"/>
    <s v="Fast Food"/>
    <s v="Momos"/>
    <s v="Veg"/>
    <n v="4"/>
    <n v="487"/>
    <n v="1948"/>
    <n v="20"/>
    <s v="UPI"/>
    <n v="3.6"/>
    <x v="2"/>
    <n v="15"/>
    <n v="2024"/>
  </r>
  <r>
    <s v="CUST_222"/>
    <s v="O0323"/>
    <d v="2024-03-31T00:00:00"/>
    <s v="Bangalore"/>
    <s v="Jayanagar"/>
    <s v="Biryani House"/>
    <s v="Chinese"/>
    <s v="Chicken Roll"/>
    <s v="Non-Veg"/>
    <n v="5"/>
    <n v="158"/>
    <n v="790"/>
    <n v="56"/>
    <s v="COD"/>
    <n v="4.5"/>
    <x v="4"/>
    <n v="14"/>
    <n v="2024"/>
  </r>
  <r>
    <s v="CUST_222"/>
    <s v="O0324"/>
    <d v="2024-08-26T00:00:00"/>
    <s v="Bangalore"/>
    <s v="Indiranagar"/>
    <s v="Burger Hub"/>
    <s v="Fast Food"/>
    <s v="Chicken Biryani"/>
    <s v="Non-Veg"/>
    <n v="2"/>
    <n v="246"/>
    <n v="492"/>
    <n v="37"/>
    <s v="Card"/>
    <n v="3.5"/>
    <x v="9"/>
    <n v="35"/>
    <n v="2024"/>
  </r>
  <r>
    <s v="CUST_222"/>
    <s v="O0325"/>
    <d v="2024-01-03T00:00:00"/>
    <s v="Delhi"/>
    <s v="Rohini"/>
    <s v="South Spice"/>
    <s v="Italian"/>
    <s v="Momos"/>
    <s v="Veg"/>
    <n v="5"/>
    <n v="248"/>
    <n v="1240"/>
    <n v="45"/>
    <s v="COD"/>
    <n v="3.9"/>
    <x v="6"/>
    <n v="1"/>
    <n v="2024"/>
  </r>
  <r>
    <s v="CUST_222"/>
    <s v="O0326"/>
    <d v="2024-05-06T00:00:00"/>
    <s v="Delhi"/>
    <s v="Karol Bagh"/>
    <s v="Burger Hub"/>
    <s v="Fast Food"/>
    <s v="Masala Dosa"/>
    <s v="Veg"/>
    <n v="4"/>
    <n v="195"/>
    <n v="780"/>
    <n v="38"/>
    <s v="UPI"/>
    <n v="4.5"/>
    <x v="5"/>
    <n v="19"/>
    <n v="2024"/>
  </r>
  <r>
    <s v="CUST_223"/>
    <s v="O0327"/>
    <d v="2024-08-25T00:00:00"/>
    <s v="Bangalore"/>
    <s v="Whitefield"/>
    <s v="Sandwich Stop"/>
    <s v="North Indian"/>
    <s v="Chicken Biryani"/>
    <s v="Non-Veg"/>
    <n v="4"/>
    <n v="173"/>
    <n v="692"/>
    <n v="49"/>
    <s v="UPI"/>
    <n v="4.5"/>
    <x v="9"/>
    <n v="35"/>
    <n v="2024"/>
  </r>
  <r>
    <s v="CUST_223"/>
    <s v="O0328"/>
    <d v="2024-01-03T00:00:00"/>
    <s v="Hyderabad"/>
    <s v="Secunderabad"/>
    <s v="Pizza Planet"/>
    <s v="South Indian"/>
    <s v="Veg Burger"/>
    <s v="Veg"/>
    <n v="3"/>
    <n v="299"/>
    <n v="897"/>
    <n v="28"/>
    <s v="COD"/>
    <n v="3.8"/>
    <x v="6"/>
    <n v="1"/>
    <n v="2024"/>
  </r>
  <r>
    <s v="CUST_223"/>
    <s v="O0329"/>
    <d v="2024-01-10T00:00:00"/>
    <s v="Bangalore"/>
    <s v="Indiranagar"/>
    <s v="Burger Hub"/>
    <s v="Indian"/>
    <s v="Pizza"/>
    <s v="Veg"/>
    <n v="5"/>
    <n v="372"/>
    <n v="1860"/>
    <n v="55"/>
    <s v="UPI"/>
    <n v="3.9"/>
    <x v="6"/>
    <n v="2"/>
    <n v="2024"/>
  </r>
  <r>
    <s v="CUST_223"/>
    <s v="O0330"/>
    <d v="2024-04-01T00:00:00"/>
    <s v="Bangalore"/>
    <s v="BTM Layout"/>
    <s v="Urban Meals"/>
    <s v="North Indian"/>
    <s v="Masala Dosa"/>
    <s v="Veg"/>
    <n v="4"/>
    <n v="173"/>
    <n v="692"/>
    <n v="60"/>
    <s v="UPI"/>
    <n v="3.8"/>
    <x v="2"/>
    <n v="14"/>
    <n v="2024"/>
  </r>
  <r>
    <s v="CUST_223"/>
    <s v="O0331"/>
    <d v="2024-07-18T00:00:00"/>
    <s v="Delhi"/>
    <s v="Karol Bagh"/>
    <s v="Sandwich Stop"/>
    <s v="Chinese"/>
    <s v="Pasta"/>
    <s v="Veg"/>
    <n v="4"/>
    <n v="309"/>
    <n v="1236"/>
    <n v="35"/>
    <s v="UPI"/>
    <n v="3.7"/>
    <x v="1"/>
    <n v="29"/>
    <n v="2024"/>
  </r>
  <r>
    <s v="CUST_224"/>
    <s v="O0332"/>
    <d v="2024-08-22T00:00:00"/>
    <s v="Hyderabad"/>
    <s v="Secunderabad"/>
    <s v="Sandwich Stop"/>
    <s v="Fast Food"/>
    <s v="Veg Burger"/>
    <s v="Veg"/>
    <n v="4"/>
    <n v="157"/>
    <n v="628"/>
    <n v="46"/>
    <s v="COD"/>
    <n v="4.5999999999999996"/>
    <x v="9"/>
    <n v="34"/>
    <n v="2024"/>
  </r>
  <r>
    <s v="CUST_224"/>
    <s v="O0333"/>
    <d v="2024-07-13T00:00:00"/>
    <s v="Mumbai"/>
    <s v="Bandra"/>
    <s v="Tandoori Tales"/>
    <s v="North Indian"/>
    <s v="Sandwich"/>
    <s v="Veg"/>
    <n v="3"/>
    <n v="281"/>
    <n v="843"/>
    <n v="24"/>
    <s v="COD"/>
    <n v="4.5999999999999996"/>
    <x v="1"/>
    <n v="28"/>
    <n v="2024"/>
  </r>
  <r>
    <s v="CUST_225"/>
    <s v="O0334"/>
    <d v="2024-02-12T00:00:00"/>
    <s v="Chennai"/>
    <s v="Anna Nagar"/>
    <s v="Biryani House"/>
    <s v="Indian"/>
    <s v="Sandwich"/>
    <s v="Veg"/>
    <n v="1"/>
    <n v="309"/>
    <n v="309"/>
    <n v="24"/>
    <s v="Card"/>
    <n v="3.2"/>
    <x v="8"/>
    <n v="7"/>
    <n v="2024"/>
  </r>
  <r>
    <s v="CUST_225"/>
    <s v="O0335"/>
    <d v="2024-08-22T00:00:00"/>
    <s v="Hyderabad"/>
    <s v="Kukatpally"/>
    <s v="Pizza Planet"/>
    <s v="South Indian"/>
    <s v="Pizza"/>
    <s v="Veg"/>
    <n v="2"/>
    <n v="317"/>
    <n v="634"/>
    <n v="20"/>
    <s v="Card"/>
    <n v="4.2"/>
    <x v="9"/>
    <n v="34"/>
    <n v="2024"/>
  </r>
  <r>
    <s v="CUST_225"/>
    <s v="O0336"/>
    <d v="2024-02-19T00:00:00"/>
    <s v="Delhi"/>
    <s v="Dwarka"/>
    <s v="Café Delight"/>
    <s v="Chinese"/>
    <s v="Paneer Tikka"/>
    <s v="Veg"/>
    <n v="5"/>
    <n v="236"/>
    <n v="1180"/>
    <n v="50"/>
    <s v="COD"/>
    <n v="3.4"/>
    <x v="8"/>
    <n v="8"/>
    <n v="2024"/>
  </r>
  <r>
    <s v="CUST_226"/>
    <s v="O0337"/>
    <d v="2024-09-07T00:00:00"/>
    <s v="Delhi"/>
    <s v="Dwarka"/>
    <s v="Urban Meals"/>
    <s v="South Indian"/>
    <s v="Fried Rice"/>
    <s v="Veg"/>
    <n v="3"/>
    <n v="268"/>
    <n v="804"/>
    <n v="21"/>
    <s v="UPI"/>
    <n v="4.8"/>
    <x v="3"/>
    <n v="36"/>
    <n v="2024"/>
  </r>
  <r>
    <s v="CUST_226"/>
    <s v="O0338"/>
    <d v="2024-03-01T00:00:00"/>
    <s v="Delhi"/>
    <s v="Connaught Place"/>
    <s v="Grill Masters"/>
    <s v="Fast Food"/>
    <s v="Chicken Roll"/>
    <s v="Non-Veg"/>
    <n v="3"/>
    <n v="144"/>
    <n v="432"/>
    <n v="25"/>
    <s v="UPI"/>
    <n v="4.9000000000000004"/>
    <x v="4"/>
    <n v="9"/>
    <n v="2024"/>
  </r>
  <r>
    <s v="CUST_226"/>
    <s v="O0339"/>
    <d v="2024-07-18T00:00:00"/>
    <s v="Bangalore"/>
    <s v="Jayanagar"/>
    <s v="South Spice"/>
    <s v="Indian"/>
    <s v="Fried Rice"/>
    <s v="Veg"/>
    <n v="3"/>
    <n v="253"/>
    <n v="759"/>
    <n v="47"/>
    <s v="COD"/>
    <n v="4.5999999999999996"/>
    <x v="1"/>
    <n v="29"/>
    <n v="2024"/>
  </r>
  <r>
    <s v="CUST_226"/>
    <s v="O0340"/>
    <d v="2024-07-24T00:00:00"/>
    <s v="Mumbai"/>
    <s v="Andheri"/>
    <s v="Biryani House"/>
    <s v="Fast Food"/>
    <s v="Chicken Biryani"/>
    <s v="Non-Veg"/>
    <n v="3"/>
    <n v="400"/>
    <n v="1200"/>
    <n v="42"/>
    <s v="Card"/>
    <n v="4.9000000000000004"/>
    <x v="1"/>
    <n v="30"/>
    <n v="2024"/>
  </r>
  <r>
    <s v="CUST_226"/>
    <s v="O0341"/>
    <d v="2024-02-25T00:00:00"/>
    <s v="Chennai"/>
    <s v="Velachery"/>
    <s v="Pizza Planet"/>
    <s v="Italian"/>
    <s v="Veg Burger"/>
    <s v="Veg"/>
    <n v="4"/>
    <n v="348"/>
    <n v="1392"/>
    <n v="27"/>
    <s v="Card"/>
    <n v="3.3"/>
    <x v="8"/>
    <n v="9"/>
    <n v="2024"/>
  </r>
  <r>
    <s v="CUST_227"/>
    <s v="O0342"/>
    <d v="2024-07-01T00:00:00"/>
    <s v="Mumbai"/>
    <s v="Powai"/>
    <s v="South Spice"/>
    <s v="Italian"/>
    <s v="Masala Dosa"/>
    <s v="Veg"/>
    <n v="2"/>
    <n v="159"/>
    <n v="318"/>
    <n v="44"/>
    <s v="COD"/>
    <n v="3.2"/>
    <x v="1"/>
    <n v="27"/>
    <n v="2024"/>
  </r>
  <r>
    <s v="CUST_227"/>
    <s v="O0343"/>
    <d v="2024-01-06T00:00:00"/>
    <s v="Bangalore"/>
    <s v="BTM Layout"/>
    <s v="Tandoori Tales"/>
    <s v="Italian"/>
    <s v="Sandwich"/>
    <s v="Veg"/>
    <n v="3"/>
    <n v="353"/>
    <n v="1059"/>
    <n v="20"/>
    <s v="Card"/>
    <n v="4.9000000000000004"/>
    <x v="6"/>
    <n v="1"/>
    <n v="2024"/>
  </r>
  <r>
    <s v="CUST_227"/>
    <s v="O0344"/>
    <d v="2024-06-22T00:00:00"/>
    <s v="Mumbai"/>
    <s v="Powai"/>
    <s v="Café Delight"/>
    <s v="Indian"/>
    <s v="Chicken Roll"/>
    <s v="Non-Veg"/>
    <n v="1"/>
    <n v="302"/>
    <n v="302"/>
    <n v="20"/>
    <s v="COD"/>
    <n v="4.2"/>
    <x v="7"/>
    <n v="25"/>
    <n v="2024"/>
  </r>
  <r>
    <s v="CUST_227"/>
    <s v="O0345"/>
    <d v="2024-06-22T00:00:00"/>
    <s v="Delhi"/>
    <s v="Saket"/>
    <s v="Café Delight"/>
    <s v="Fast Food"/>
    <s v="Fried Rice"/>
    <s v="Veg"/>
    <n v="3"/>
    <n v="148"/>
    <n v="444"/>
    <n v="23"/>
    <s v="COD"/>
    <n v="4.8"/>
    <x v="7"/>
    <n v="25"/>
    <n v="2024"/>
  </r>
  <r>
    <s v="CUST_227"/>
    <s v="O0346"/>
    <d v="2024-08-05T00:00:00"/>
    <s v="Hyderabad"/>
    <s v="Madhapur"/>
    <s v="Sandwich Stop"/>
    <s v="North Indian"/>
    <s v="Momos"/>
    <s v="Veg"/>
    <n v="3"/>
    <n v="360"/>
    <n v="1080"/>
    <n v="26"/>
    <s v="COD"/>
    <n v="4.8"/>
    <x v="9"/>
    <n v="32"/>
    <n v="2024"/>
  </r>
  <r>
    <s v="CUST_228"/>
    <s v="O0347"/>
    <d v="2024-06-10T00:00:00"/>
    <s v="Chennai"/>
    <s v="Adyar"/>
    <s v="South Spice"/>
    <s v="Italian"/>
    <s v="Chicken Roll"/>
    <s v="Non-Veg"/>
    <n v="5"/>
    <n v="147"/>
    <n v="735"/>
    <n v="28"/>
    <s v="COD"/>
    <n v="4.7"/>
    <x v="7"/>
    <n v="24"/>
    <n v="2024"/>
  </r>
  <r>
    <s v="CUST_228"/>
    <s v="O0348"/>
    <d v="2024-05-03T00:00:00"/>
    <s v="Bangalore"/>
    <s v="Koramangala"/>
    <s v="Grill Masters"/>
    <s v="South Indian"/>
    <s v="Sandwich"/>
    <s v="Veg"/>
    <n v="5"/>
    <n v="272"/>
    <n v="1360"/>
    <n v="60"/>
    <s v="Card"/>
    <n v="3.8"/>
    <x v="5"/>
    <n v="18"/>
    <n v="2024"/>
  </r>
  <r>
    <s v="CUST_228"/>
    <s v="O0349"/>
    <d v="2024-06-10T00:00:00"/>
    <s v="Bangalore"/>
    <s v="BTM Layout"/>
    <s v="Tandoori Tales"/>
    <s v="Fast Food"/>
    <s v="Fried Rice"/>
    <s v="Veg"/>
    <n v="4"/>
    <n v="228"/>
    <n v="912"/>
    <n v="28"/>
    <s v="UPI"/>
    <n v="4.7"/>
    <x v="7"/>
    <n v="24"/>
    <n v="2024"/>
  </r>
  <r>
    <s v="CUST_228"/>
    <s v="O0350"/>
    <d v="2024-01-29T00:00:00"/>
    <s v="Bangalore"/>
    <s v="BTM Layout"/>
    <s v="Café Delight"/>
    <s v="Chinese"/>
    <s v="Pasta"/>
    <s v="Veg"/>
    <n v="5"/>
    <n v="125"/>
    <n v="625"/>
    <n v="33"/>
    <s v="UPI"/>
    <n v="3"/>
    <x v="6"/>
    <n v="5"/>
    <n v="2024"/>
  </r>
  <r>
    <s v="CUST_228"/>
    <s v="O0351"/>
    <d v="2024-04-04T00:00:00"/>
    <s v="Mumbai"/>
    <s v="Powai"/>
    <s v="Chinese Bowl"/>
    <s v="Fast Food"/>
    <s v="Fried Rice"/>
    <s v="Veg"/>
    <n v="3"/>
    <n v="285"/>
    <n v="855"/>
    <n v="59"/>
    <s v="COD"/>
    <n v="4.5"/>
    <x v="2"/>
    <n v="14"/>
    <n v="2024"/>
  </r>
  <r>
    <s v="CUST_229"/>
    <s v="O0352"/>
    <d v="2024-07-07T00:00:00"/>
    <s v="Bangalore"/>
    <s v="BTM Layout"/>
    <s v="Pizza Planet"/>
    <s v="Indian"/>
    <s v="Sandwich"/>
    <s v="Veg"/>
    <n v="3"/>
    <n v="198"/>
    <n v="594"/>
    <n v="53"/>
    <s v="Card"/>
    <n v="3.3"/>
    <x v="1"/>
    <n v="28"/>
    <n v="2024"/>
  </r>
  <r>
    <s v="CUST_229"/>
    <s v="O0353"/>
    <d v="2024-09-18T00:00:00"/>
    <s v="Bangalore"/>
    <s v="Whitefield"/>
    <s v="Chinese Bowl"/>
    <s v="Fast Food"/>
    <s v="Pasta"/>
    <s v="Veg"/>
    <n v="1"/>
    <n v="360"/>
    <n v="360"/>
    <n v="24"/>
    <s v="COD"/>
    <n v="4.4000000000000004"/>
    <x v="3"/>
    <n v="38"/>
    <n v="2024"/>
  </r>
  <r>
    <s v="CUST_229"/>
    <s v="O0354"/>
    <d v="2024-03-17T00:00:00"/>
    <s v="Hyderabad"/>
    <s v="Begumpet"/>
    <s v="Burger Hub"/>
    <s v="Fast Food"/>
    <s v="Masala Dosa"/>
    <s v="Veg"/>
    <n v="2"/>
    <n v="271"/>
    <n v="542"/>
    <n v="59"/>
    <s v="UPI"/>
    <n v="3.1"/>
    <x v="4"/>
    <n v="12"/>
    <n v="2024"/>
  </r>
  <r>
    <s v="CUST_229"/>
    <s v="O0355"/>
    <d v="2024-03-13T00:00:00"/>
    <s v="Chennai"/>
    <s v="Anna Nagar"/>
    <s v="Grill Masters"/>
    <s v="Italian"/>
    <s v="Pizza"/>
    <s v="Veg"/>
    <n v="3"/>
    <n v="318"/>
    <n v="954"/>
    <n v="43"/>
    <s v="UPI"/>
    <n v="3.3"/>
    <x v="4"/>
    <n v="11"/>
    <n v="2024"/>
  </r>
  <r>
    <s v="CUST_229"/>
    <s v="O0356"/>
    <d v="2024-08-29T00:00:00"/>
    <s v="Chennai"/>
    <s v="Tambaram"/>
    <s v="Burger Hub"/>
    <s v="North Indian"/>
    <s v="Fried Rice"/>
    <s v="Veg"/>
    <n v="1"/>
    <n v="498"/>
    <n v="498"/>
    <n v="34"/>
    <s v="UPI"/>
    <n v="3.9"/>
    <x v="9"/>
    <n v="35"/>
    <n v="2024"/>
  </r>
  <r>
    <s v="CUST_230"/>
    <s v="O0357"/>
    <d v="2024-10-12T00:00:00"/>
    <s v="Bangalore"/>
    <s v="Jayanagar"/>
    <s v="Urban Meals"/>
    <s v="Fast Food"/>
    <s v="Momos"/>
    <s v="Veg"/>
    <n v="1"/>
    <n v="144"/>
    <n v="144"/>
    <n v="24"/>
    <s v="UPI"/>
    <n v="4.3"/>
    <x v="0"/>
    <n v="41"/>
    <n v="2024"/>
  </r>
  <r>
    <s v="CUST_230"/>
    <s v="O0358"/>
    <d v="2024-02-25T00:00:00"/>
    <s v="Mumbai"/>
    <s v="Bandra"/>
    <s v="Tandoori Tales"/>
    <s v="South Indian"/>
    <s v="Momos"/>
    <s v="Veg"/>
    <n v="5"/>
    <n v="202"/>
    <n v="1010"/>
    <n v="40"/>
    <s v="Card"/>
    <n v="5"/>
    <x v="8"/>
    <n v="9"/>
    <n v="2024"/>
  </r>
  <r>
    <s v="CUST_231"/>
    <s v="O0359"/>
    <d v="2024-08-29T00:00:00"/>
    <s v="Mumbai"/>
    <s v="Goregaon"/>
    <s v="Sandwich Stop"/>
    <s v="Italian"/>
    <s v="Veg Burger"/>
    <s v="Veg"/>
    <n v="2"/>
    <n v="305"/>
    <n v="610"/>
    <n v="30"/>
    <s v="Card"/>
    <n v="4.0999999999999996"/>
    <x v="9"/>
    <n v="35"/>
    <n v="2024"/>
  </r>
  <r>
    <s v="CUST_231"/>
    <s v="O0360"/>
    <d v="2024-03-12T00:00:00"/>
    <s v="Delhi"/>
    <s v="Karol Bagh"/>
    <s v="Urban Meals"/>
    <s v="Fast Food"/>
    <s v="Pizza"/>
    <s v="Veg"/>
    <n v="3"/>
    <n v="156"/>
    <n v="468"/>
    <n v="32"/>
    <s v="Card"/>
    <n v="3.4"/>
    <x v="4"/>
    <n v="11"/>
    <n v="2024"/>
  </r>
  <r>
    <s v="CUST_231"/>
    <s v="O0361"/>
    <d v="2024-05-30T00:00:00"/>
    <s v="Bangalore"/>
    <s v="Koramangala"/>
    <s v="Pizza Planet"/>
    <s v="Chinese"/>
    <s v="Chicken Roll"/>
    <s v="Non-Veg"/>
    <n v="3"/>
    <n v="296"/>
    <n v="888"/>
    <n v="41"/>
    <s v="UPI"/>
    <n v="3.5"/>
    <x v="5"/>
    <n v="22"/>
    <n v="2024"/>
  </r>
  <r>
    <s v="CUST_231"/>
    <s v="O0362"/>
    <d v="2024-07-02T00:00:00"/>
    <s v="Delhi"/>
    <s v="Saket"/>
    <s v="Chinese Bowl"/>
    <s v="Indian"/>
    <s v="Veg Burger"/>
    <s v="Veg"/>
    <n v="2"/>
    <n v="377"/>
    <n v="754"/>
    <n v="30"/>
    <s v="Card"/>
    <n v="3.6"/>
    <x v="1"/>
    <n v="27"/>
    <n v="2024"/>
  </r>
  <r>
    <s v="CUST_232"/>
    <s v="O0363"/>
    <d v="2024-07-21T00:00:00"/>
    <s v="Chennai"/>
    <s v="Adyar"/>
    <s v="Café Delight"/>
    <s v="South Indian"/>
    <s v="Pizza"/>
    <s v="Veg"/>
    <n v="2"/>
    <n v="483"/>
    <n v="966"/>
    <n v="43"/>
    <s v="UPI"/>
    <n v="3.6"/>
    <x v="1"/>
    <n v="30"/>
    <n v="2024"/>
  </r>
  <r>
    <s v="CUST_232"/>
    <s v="O0364"/>
    <d v="2024-01-25T00:00:00"/>
    <s v="Mumbai"/>
    <s v="Dadar"/>
    <s v="Urban Meals"/>
    <s v="South Indian"/>
    <s v="Momos"/>
    <s v="Veg"/>
    <n v="3"/>
    <n v="286"/>
    <n v="858"/>
    <n v="58"/>
    <s v="UPI"/>
    <n v="3.6"/>
    <x v="6"/>
    <n v="4"/>
    <n v="2024"/>
  </r>
  <r>
    <s v="CUST_232"/>
    <s v="O0365"/>
    <d v="2024-07-25T00:00:00"/>
    <s v="Mumbai"/>
    <s v="Dadar"/>
    <s v="Biryani House"/>
    <s v="South Indian"/>
    <s v="Chicken Roll"/>
    <s v="Non-Veg"/>
    <n v="1"/>
    <n v="496"/>
    <n v="496"/>
    <n v="41"/>
    <s v="COD"/>
    <n v="3.7"/>
    <x v="1"/>
    <n v="30"/>
    <n v="2024"/>
  </r>
  <r>
    <s v="CUST_233"/>
    <s v="O0366"/>
    <d v="2024-01-22T00:00:00"/>
    <s v="Mumbai"/>
    <s v="Powai"/>
    <s v="Urban Meals"/>
    <s v="Fast Food"/>
    <s v="Momos"/>
    <s v="Veg"/>
    <n v="4"/>
    <n v="378"/>
    <n v="1512"/>
    <n v="33"/>
    <s v="Card"/>
    <n v="4.2"/>
    <x v="6"/>
    <n v="4"/>
    <n v="2024"/>
  </r>
  <r>
    <s v="CUST_233"/>
    <s v="O0367"/>
    <d v="2024-03-13T00:00:00"/>
    <s v="Chennai"/>
    <s v="Anna Nagar"/>
    <s v="Café Delight"/>
    <s v="South Indian"/>
    <s v="Pasta"/>
    <s v="Veg"/>
    <n v="2"/>
    <n v="216"/>
    <n v="432"/>
    <n v="52"/>
    <s v="Card"/>
    <n v="3.5"/>
    <x v="4"/>
    <n v="11"/>
    <n v="2024"/>
  </r>
  <r>
    <s v="CUST_233"/>
    <s v="O0368"/>
    <d v="2024-01-10T00:00:00"/>
    <s v="Delhi"/>
    <s v="Dwarka"/>
    <s v="Biryani House"/>
    <s v="Italian"/>
    <s v="Momos"/>
    <s v="Veg"/>
    <n v="3"/>
    <n v="203"/>
    <n v="609"/>
    <n v="25"/>
    <s v="Card"/>
    <n v="3"/>
    <x v="6"/>
    <n v="2"/>
    <n v="2024"/>
  </r>
  <r>
    <s v="CUST_233"/>
    <s v="O0369"/>
    <d v="2024-06-30T00:00:00"/>
    <s v="Delhi"/>
    <s v="Karol Bagh"/>
    <s v="Sandwich Stop"/>
    <s v="Indian"/>
    <s v="Momos"/>
    <s v="Veg"/>
    <n v="1"/>
    <n v="427"/>
    <n v="427"/>
    <n v="48"/>
    <s v="COD"/>
    <n v="4.3"/>
    <x v="7"/>
    <n v="27"/>
    <n v="2024"/>
  </r>
  <r>
    <s v="CUST_233"/>
    <s v="O0370"/>
    <d v="2024-05-16T00:00:00"/>
    <s v="Bangalore"/>
    <s v="Indiranagar"/>
    <s v="Pizza Planet"/>
    <s v="Italian"/>
    <s v="Pasta"/>
    <s v="Veg"/>
    <n v="4"/>
    <n v="314"/>
    <n v="1256"/>
    <n v="23"/>
    <s v="Card"/>
    <n v="4.5999999999999996"/>
    <x v="5"/>
    <n v="20"/>
    <n v="2024"/>
  </r>
  <r>
    <s v="CUST_234"/>
    <s v="O0371"/>
    <d v="2024-01-27T00:00:00"/>
    <s v="Bangalore"/>
    <s v="Indiranagar"/>
    <s v="Pizza Planet"/>
    <s v="Indian"/>
    <s v="Fried Rice"/>
    <s v="Veg"/>
    <n v="4"/>
    <n v="268"/>
    <n v="1072"/>
    <n v="50"/>
    <s v="COD"/>
    <n v="3.8"/>
    <x v="6"/>
    <n v="4"/>
    <n v="2024"/>
  </r>
  <r>
    <s v="CUST_234"/>
    <s v="O0372"/>
    <d v="2024-04-21T00:00:00"/>
    <s v="Hyderabad"/>
    <s v="Secunderabad"/>
    <s v="Tandoori Tales"/>
    <s v="Chinese"/>
    <s v="Pasta"/>
    <s v="Veg"/>
    <n v="2"/>
    <n v="346"/>
    <n v="692"/>
    <n v="41"/>
    <s v="Card"/>
    <n v="4.3"/>
    <x v="2"/>
    <n v="17"/>
    <n v="2024"/>
  </r>
  <r>
    <s v="CUST_234"/>
    <s v="O0373"/>
    <d v="2024-01-21T00:00:00"/>
    <s v="Delhi"/>
    <s v="Karol Bagh"/>
    <s v="Urban Meals"/>
    <s v="North Indian"/>
    <s v="Momos"/>
    <s v="Veg"/>
    <n v="1"/>
    <n v="193"/>
    <n v="193"/>
    <n v="53"/>
    <s v="Card"/>
    <n v="4.4000000000000004"/>
    <x v="6"/>
    <n v="4"/>
    <n v="2024"/>
  </r>
  <r>
    <s v="CUST_234"/>
    <s v="O0374"/>
    <d v="2024-06-26T00:00:00"/>
    <s v="Delhi"/>
    <s v="Rohini"/>
    <s v="Burger Hub"/>
    <s v="Indian"/>
    <s v="Veg Burger"/>
    <s v="Veg"/>
    <n v="2"/>
    <n v="490"/>
    <n v="980"/>
    <n v="22"/>
    <s v="COD"/>
    <n v="3.9"/>
    <x v="7"/>
    <n v="26"/>
    <n v="2024"/>
  </r>
  <r>
    <s v="CUST_235"/>
    <s v="O0375"/>
    <d v="2024-06-21T00:00:00"/>
    <s v="Hyderabad"/>
    <s v="Begumpet"/>
    <s v="Chinese Bowl"/>
    <s v="Italian"/>
    <s v="Paneer Tikka"/>
    <s v="Veg"/>
    <n v="4"/>
    <n v="222"/>
    <n v="888"/>
    <n v="41"/>
    <s v="UPI"/>
    <n v="3.6"/>
    <x v="7"/>
    <n v="25"/>
    <n v="2024"/>
  </r>
  <r>
    <s v="CUST_235"/>
    <s v="O0376"/>
    <d v="2024-02-10T00:00:00"/>
    <s v="Chennai"/>
    <s v="Adyar"/>
    <s v="Urban Meals"/>
    <s v="Chinese"/>
    <s v="Pizza"/>
    <s v="Veg"/>
    <n v="4"/>
    <n v="426"/>
    <n v="1704"/>
    <n v="51"/>
    <s v="UPI"/>
    <n v="3.7"/>
    <x v="8"/>
    <n v="6"/>
    <n v="2024"/>
  </r>
  <r>
    <s v="CUST_235"/>
    <s v="O0377"/>
    <d v="2024-08-18T00:00:00"/>
    <s v="Chennai"/>
    <s v="Adyar"/>
    <s v="Chinese Bowl"/>
    <s v="South Indian"/>
    <s v="Veg Burger"/>
    <s v="Veg"/>
    <n v="4"/>
    <n v="285"/>
    <n v="1140"/>
    <n v="48"/>
    <s v="Card"/>
    <n v="3.3"/>
    <x v="9"/>
    <n v="34"/>
    <n v="2024"/>
  </r>
  <r>
    <s v="CUST_235"/>
    <s v="O0378"/>
    <d v="2024-05-14T00:00:00"/>
    <s v="Mumbai"/>
    <s v="Powai"/>
    <s v="Pizza Planet"/>
    <s v="Fast Food"/>
    <s v="Paneer Tikka"/>
    <s v="Veg"/>
    <n v="4"/>
    <n v="158"/>
    <n v="632"/>
    <n v="49"/>
    <s v="UPI"/>
    <n v="4.4000000000000004"/>
    <x v="5"/>
    <n v="20"/>
    <n v="2024"/>
  </r>
  <r>
    <s v="CUST_236"/>
    <s v="O0379"/>
    <d v="2024-10-09T00:00:00"/>
    <s v="Delhi"/>
    <s v="Saket"/>
    <s v="Tandoori Tales"/>
    <s v="Indian"/>
    <s v="Momos"/>
    <s v="Veg"/>
    <n v="3"/>
    <n v="357"/>
    <n v="1071"/>
    <n v="24"/>
    <s v="UPI"/>
    <n v="4.2"/>
    <x v="0"/>
    <n v="41"/>
    <n v="2024"/>
  </r>
  <r>
    <s v="CUST_236"/>
    <s v="O0380"/>
    <d v="2024-04-19T00:00:00"/>
    <s v="Mumbai"/>
    <s v="Dadar"/>
    <s v="Grill Masters"/>
    <s v="Fast Food"/>
    <s v="Sandwich"/>
    <s v="Veg"/>
    <n v="5"/>
    <n v="171"/>
    <n v="855"/>
    <n v="29"/>
    <s v="COD"/>
    <n v="4.9000000000000004"/>
    <x v="2"/>
    <n v="16"/>
    <n v="2024"/>
  </r>
  <r>
    <s v="CUST_236"/>
    <s v="O0381"/>
    <d v="2024-05-06T00:00:00"/>
    <s v="Delhi"/>
    <s v="Dwarka"/>
    <s v="Tandoori Tales"/>
    <s v="Chinese"/>
    <s v="Fried Rice"/>
    <s v="Veg"/>
    <n v="1"/>
    <n v="189"/>
    <n v="189"/>
    <n v="26"/>
    <s v="UPI"/>
    <n v="3.6"/>
    <x v="5"/>
    <n v="19"/>
    <n v="2024"/>
  </r>
  <r>
    <s v="CUST_236"/>
    <s v="O0382"/>
    <d v="2024-02-10T00:00:00"/>
    <s v="Delhi"/>
    <s v="Connaught Place"/>
    <s v="Tandoori Tales"/>
    <s v="South Indian"/>
    <s v="Paneer Tikka"/>
    <s v="Veg"/>
    <n v="1"/>
    <n v="245"/>
    <n v="245"/>
    <n v="26"/>
    <s v="UPI"/>
    <n v="4.9000000000000004"/>
    <x v="8"/>
    <n v="6"/>
    <n v="2024"/>
  </r>
  <r>
    <s v="CUST_236"/>
    <s v="O0383"/>
    <d v="2024-09-22T00:00:00"/>
    <s v="Delhi"/>
    <s v="Dwarka"/>
    <s v="Burger Hub"/>
    <s v="South Indian"/>
    <s v="Chicken Roll"/>
    <s v="Non-Veg"/>
    <n v="3"/>
    <n v="165"/>
    <n v="495"/>
    <n v="26"/>
    <s v="UPI"/>
    <n v="4.0999999999999996"/>
    <x v="3"/>
    <n v="39"/>
    <n v="2024"/>
  </r>
  <r>
    <s v="CUST_237"/>
    <s v="O0384"/>
    <d v="2024-09-05T00:00:00"/>
    <s v="Hyderabad"/>
    <s v="Kukatpally"/>
    <s v="Chinese Bowl"/>
    <s v="Indian"/>
    <s v="Pasta"/>
    <s v="Veg"/>
    <n v="4"/>
    <n v="305"/>
    <n v="1220"/>
    <n v="25"/>
    <s v="UPI"/>
    <n v="3.8"/>
    <x v="3"/>
    <n v="36"/>
    <n v="2024"/>
  </r>
  <r>
    <s v="CUST_237"/>
    <s v="O0385"/>
    <d v="2024-10-25T00:00:00"/>
    <s v="Bangalore"/>
    <s v="Koramangala"/>
    <s v="Tandoori Tales"/>
    <s v="Chinese"/>
    <s v="Masala Dosa"/>
    <s v="Veg"/>
    <n v="4"/>
    <n v="295"/>
    <n v="1180"/>
    <n v="36"/>
    <s v="COD"/>
    <n v="3.2"/>
    <x v="0"/>
    <n v="43"/>
    <n v="2024"/>
  </r>
  <r>
    <s v="CUST_237"/>
    <s v="O0386"/>
    <d v="2024-01-18T00:00:00"/>
    <s v="Chennai"/>
    <s v="Velachery"/>
    <s v="Sandwich Stop"/>
    <s v="Italian"/>
    <s v="Paneer Tikka"/>
    <s v="Veg"/>
    <n v="2"/>
    <n v="391"/>
    <n v="782"/>
    <n v="28"/>
    <s v="UPI"/>
    <n v="3.3"/>
    <x v="6"/>
    <n v="3"/>
    <n v="2024"/>
  </r>
  <r>
    <s v="CUST_237"/>
    <s v="O0387"/>
    <d v="2024-06-19T00:00:00"/>
    <s v="Bangalore"/>
    <s v="Koramangala"/>
    <s v="Biryani House"/>
    <s v="Chinese"/>
    <s v="Chicken Biryani"/>
    <s v="Non-Veg"/>
    <n v="5"/>
    <n v="350"/>
    <n v="1750"/>
    <n v="54"/>
    <s v="COD"/>
    <n v="3.4"/>
    <x v="7"/>
    <n v="25"/>
    <n v="2024"/>
  </r>
  <r>
    <s v="CUST_237"/>
    <s v="O0388"/>
    <d v="2024-09-18T00:00:00"/>
    <s v="Bangalore"/>
    <s v="Koramangala"/>
    <s v="Chinese Bowl"/>
    <s v="Chinese"/>
    <s v="Chicken Roll"/>
    <s v="Non-Veg"/>
    <n v="4"/>
    <n v="463"/>
    <n v="1852"/>
    <n v="30"/>
    <s v="Card"/>
    <n v="3"/>
    <x v="3"/>
    <n v="38"/>
    <n v="2024"/>
  </r>
  <r>
    <s v="CUST_238"/>
    <s v="O0389"/>
    <d v="2024-06-07T00:00:00"/>
    <s v="Chennai"/>
    <s v="Velachery"/>
    <s v="Café Delight"/>
    <s v="South Indian"/>
    <s v="Momos"/>
    <s v="Veg"/>
    <n v="4"/>
    <n v="445"/>
    <n v="1780"/>
    <n v="37"/>
    <s v="Card"/>
    <n v="4.3"/>
    <x v="7"/>
    <n v="23"/>
    <n v="2024"/>
  </r>
  <r>
    <s v="CUST_238"/>
    <s v="O0390"/>
    <d v="2024-02-03T00:00:00"/>
    <s v="Chennai"/>
    <s v="Anna Nagar"/>
    <s v="Grill Masters"/>
    <s v="Italian"/>
    <s v="Sandwich"/>
    <s v="Veg"/>
    <n v="3"/>
    <n v="384"/>
    <n v="1152"/>
    <n v="25"/>
    <s v="COD"/>
    <n v="3"/>
    <x v="8"/>
    <n v="5"/>
    <n v="2024"/>
  </r>
  <r>
    <s v="CUST_238"/>
    <s v="O0391"/>
    <d v="2024-07-16T00:00:00"/>
    <s v="Hyderabad"/>
    <s v="Banjara Hills"/>
    <s v="Burger Hub"/>
    <s v="Italian"/>
    <s v="Pizza"/>
    <s v="Veg"/>
    <n v="1"/>
    <n v="260"/>
    <n v="260"/>
    <n v="59"/>
    <s v="Card"/>
    <n v="4.0999999999999996"/>
    <x v="1"/>
    <n v="29"/>
    <n v="2024"/>
  </r>
  <r>
    <s v="CUST_239"/>
    <s v="O0392"/>
    <d v="2024-08-04T00:00:00"/>
    <s v="Delhi"/>
    <s v="Saket"/>
    <s v="Biryani House"/>
    <s v="Indian"/>
    <s v="Chicken Roll"/>
    <s v="Non-Veg"/>
    <n v="4"/>
    <n v="131"/>
    <n v="524"/>
    <n v="48"/>
    <s v="UPI"/>
    <n v="4"/>
    <x v="9"/>
    <n v="32"/>
    <n v="2024"/>
  </r>
  <r>
    <s v="CUST_239"/>
    <s v="O0393"/>
    <d v="2024-10-11T00:00:00"/>
    <s v="Hyderabad"/>
    <s v="Banjara Hills"/>
    <s v="Burger Hub"/>
    <s v="Italian"/>
    <s v="Pizza"/>
    <s v="Veg"/>
    <n v="2"/>
    <n v="380"/>
    <n v="760"/>
    <n v="39"/>
    <s v="Card"/>
    <n v="4.5999999999999996"/>
    <x v="0"/>
    <n v="41"/>
    <n v="2024"/>
  </r>
  <r>
    <s v="CUST_239"/>
    <s v="O0394"/>
    <d v="2024-10-12T00:00:00"/>
    <s v="Mumbai"/>
    <s v="Andheri"/>
    <s v="Pizza Planet"/>
    <s v="South Indian"/>
    <s v="Chicken Biryani"/>
    <s v="Non-Veg"/>
    <n v="5"/>
    <n v="360"/>
    <n v="1800"/>
    <n v="44"/>
    <s v="COD"/>
    <n v="4.5"/>
    <x v="0"/>
    <n v="41"/>
    <n v="2024"/>
  </r>
  <r>
    <s v="CUST_239"/>
    <s v="O0395"/>
    <d v="2024-02-17T00:00:00"/>
    <s v="Mumbai"/>
    <s v="Bandra"/>
    <s v="Sandwich Stop"/>
    <s v="Fast Food"/>
    <s v="Pasta"/>
    <s v="Veg"/>
    <n v="4"/>
    <n v="471"/>
    <n v="1884"/>
    <n v="45"/>
    <s v="Card"/>
    <n v="4.0999999999999996"/>
    <x v="8"/>
    <n v="7"/>
    <n v="2024"/>
  </r>
  <r>
    <s v="CUST_239"/>
    <s v="O0396"/>
    <d v="2024-03-27T00:00:00"/>
    <s v="Bangalore"/>
    <s v="Whitefield"/>
    <s v="Grill Masters"/>
    <s v="Italian"/>
    <s v="Paneer Tikka"/>
    <s v="Veg"/>
    <n v="2"/>
    <n v="472"/>
    <n v="944"/>
    <n v="21"/>
    <s v="COD"/>
    <n v="3.3"/>
    <x v="4"/>
    <n v="13"/>
    <n v="2024"/>
  </r>
  <r>
    <s v="CUST_240"/>
    <s v="O0397"/>
    <d v="2024-04-27T00:00:00"/>
    <s v="Delhi"/>
    <s v="Connaught Place"/>
    <s v="Grill Masters"/>
    <s v="South Indian"/>
    <s v="Pasta"/>
    <s v="Veg"/>
    <n v="4"/>
    <n v="458"/>
    <n v="1832"/>
    <n v="55"/>
    <s v="COD"/>
    <n v="3.6"/>
    <x v="2"/>
    <n v="17"/>
    <n v="2024"/>
  </r>
  <r>
    <s v="CUST_240"/>
    <s v="O0398"/>
    <d v="2024-08-06T00:00:00"/>
    <s v="Chennai"/>
    <s v="Velachery"/>
    <s v="Tandoori Tales"/>
    <s v="South Indian"/>
    <s v="Fried Rice"/>
    <s v="Veg"/>
    <n v="5"/>
    <n v="171"/>
    <n v="855"/>
    <n v="23"/>
    <s v="Card"/>
    <n v="3.9"/>
    <x v="9"/>
    <n v="32"/>
    <n v="2024"/>
  </r>
  <r>
    <s v="CUST_240"/>
    <s v="O0399"/>
    <d v="2024-03-02T00:00:00"/>
    <s v="Delhi"/>
    <s v="Karol Bagh"/>
    <s v="Tandoori Tales"/>
    <s v="Italian"/>
    <s v="Chicken Roll"/>
    <s v="Non-Veg"/>
    <n v="1"/>
    <n v="473"/>
    <n v="473"/>
    <n v="23"/>
    <s v="UPI"/>
    <n v="3.4"/>
    <x v="4"/>
    <n v="9"/>
    <n v="2024"/>
  </r>
  <r>
    <s v="CUST_240"/>
    <s v="O0400"/>
    <d v="2024-08-13T00:00:00"/>
    <s v="Chennai"/>
    <s v="T Nagar"/>
    <s v="Pizza Planet"/>
    <s v="Indian"/>
    <s v="Pizza"/>
    <s v="Veg"/>
    <n v="5"/>
    <n v="214"/>
    <n v="1070"/>
    <n v="53"/>
    <s v="COD"/>
    <n v="3.6"/>
    <x v="9"/>
    <n v="33"/>
    <n v="2024"/>
  </r>
  <r>
    <s v="CUST_240"/>
    <s v="O0401"/>
    <d v="2024-04-01T00:00:00"/>
    <s v="Mumbai"/>
    <s v="Powai"/>
    <s v="Burger Hub"/>
    <s v="Italian"/>
    <s v="Chicken Biryani"/>
    <s v="Non-Veg"/>
    <n v="5"/>
    <n v="374"/>
    <n v="1870"/>
    <n v="50"/>
    <s v="Card"/>
    <n v="4.3"/>
    <x v="2"/>
    <n v="14"/>
    <n v="2024"/>
  </r>
  <r>
    <s v="CUST_241"/>
    <s v="O0402"/>
    <d v="2024-01-19T00:00:00"/>
    <s v="Bangalore"/>
    <s v="BTM Layout"/>
    <s v="Café Delight"/>
    <s v="Italian"/>
    <s v="Sandwich"/>
    <s v="Veg"/>
    <n v="5"/>
    <n v="462"/>
    <n v="2310"/>
    <n v="59"/>
    <s v="Card"/>
    <n v="3.7"/>
    <x v="6"/>
    <n v="3"/>
    <n v="2024"/>
  </r>
  <r>
    <s v="CUST_241"/>
    <s v="O0403"/>
    <d v="2024-09-04T00:00:00"/>
    <s v="Bangalore"/>
    <s v="Indiranagar"/>
    <s v="South Spice"/>
    <s v="South Indian"/>
    <s v="Sandwich"/>
    <s v="Veg"/>
    <n v="1"/>
    <n v="454"/>
    <n v="454"/>
    <n v="29"/>
    <s v="COD"/>
    <n v="3.7"/>
    <x v="3"/>
    <n v="36"/>
    <n v="2024"/>
  </r>
  <r>
    <s v="CUST_242"/>
    <s v="O0404"/>
    <d v="2024-03-10T00:00:00"/>
    <s v="Bangalore"/>
    <s v="Koramangala"/>
    <s v="Café Delight"/>
    <s v="Chinese"/>
    <s v="Sandwich"/>
    <s v="Veg"/>
    <n v="4"/>
    <n v="116"/>
    <n v="464"/>
    <n v="20"/>
    <s v="UPI"/>
    <n v="4.0999999999999996"/>
    <x v="4"/>
    <n v="11"/>
    <n v="2024"/>
  </r>
  <r>
    <s v="CUST_242"/>
    <s v="O0405"/>
    <d v="2024-03-02T00:00:00"/>
    <s v="Hyderabad"/>
    <s v="Kukatpally"/>
    <s v="Chinese Bowl"/>
    <s v="Fast Food"/>
    <s v="Veg Burger"/>
    <s v="Veg"/>
    <n v="2"/>
    <n v="195"/>
    <n v="390"/>
    <n v="58"/>
    <s v="COD"/>
    <n v="4.3"/>
    <x v="4"/>
    <n v="9"/>
    <n v="2024"/>
  </r>
  <r>
    <s v="CUST_242"/>
    <s v="O0406"/>
    <d v="2024-01-01T00:00:00"/>
    <s v="Hyderabad"/>
    <s v="Banjara Hills"/>
    <s v="Chinese Bowl"/>
    <s v="Fast Food"/>
    <s v="Fried Rice"/>
    <s v="Veg"/>
    <n v="2"/>
    <n v="442"/>
    <n v="884"/>
    <n v="40"/>
    <s v="Card"/>
    <n v="4.9000000000000004"/>
    <x v="6"/>
    <n v="1"/>
    <n v="2024"/>
  </r>
  <r>
    <s v="CUST_242"/>
    <s v="O0407"/>
    <d v="2024-06-24T00:00:00"/>
    <s v="Hyderabad"/>
    <s v="Madhapur"/>
    <s v="Burger Hub"/>
    <s v="North Indian"/>
    <s v="Sandwich"/>
    <s v="Veg"/>
    <n v="1"/>
    <n v="158"/>
    <n v="158"/>
    <n v="46"/>
    <s v="UPI"/>
    <n v="4.5"/>
    <x v="7"/>
    <n v="26"/>
    <n v="2024"/>
  </r>
  <r>
    <s v="CUST_243"/>
    <s v="O0408"/>
    <d v="2024-05-10T00:00:00"/>
    <s v="Mumbai"/>
    <s v="Dadar"/>
    <s v="South Spice"/>
    <s v="North Indian"/>
    <s v="Chicken Biryani"/>
    <s v="Non-Veg"/>
    <n v="2"/>
    <n v="274"/>
    <n v="548"/>
    <n v="36"/>
    <s v="Card"/>
    <n v="4.0999999999999996"/>
    <x v="5"/>
    <n v="19"/>
    <n v="2024"/>
  </r>
  <r>
    <s v="CUST_243"/>
    <s v="O0409"/>
    <d v="2024-09-03T00:00:00"/>
    <s v="Mumbai"/>
    <s v="Powai"/>
    <s v="Biryani House"/>
    <s v="Chinese"/>
    <s v="Pasta"/>
    <s v="Veg"/>
    <n v="3"/>
    <n v="359"/>
    <n v="1077"/>
    <n v="53"/>
    <s v="Card"/>
    <n v="4.0999999999999996"/>
    <x v="3"/>
    <n v="36"/>
    <n v="2024"/>
  </r>
  <r>
    <s v="CUST_243"/>
    <s v="O0410"/>
    <d v="2024-03-29T00:00:00"/>
    <s v="Bangalore"/>
    <s v="BTM Layout"/>
    <s v="Grill Masters"/>
    <s v="South Indian"/>
    <s v="Momos"/>
    <s v="Veg"/>
    <n v="1"/>
    <n v="362"/>
    <n v="362"/>
    <n v="55"/>
    <s v="UPI"/>
    <n v="3.9"/>
    <x v="4"/>
    <n v="13"/>
    <n v="2024"/>
  </r>
  <r>
    <s v="CUST_243"/>
    <s v="O0411"/>
    <d v="2024-03-06T00:00:00"/>
    <s v="Bangalore"/>
    <s v="Whitefield"/>
    <s v="Urban Meals"/>
    <s v="North Indian"/>
    <s v="Momos"/>
    <s v="Veg"/>
    <n v="4"/>
    <n v="431"/>
    <n v="1724"/>
    <n v="45"/>
    <s v="Card"/>
    <n v="4.8"/>
    <x v="4"/>
    <n v="10"/>
    <n v="2024"/>
  </r>
  <r>
    <s v="CUST_244"/>
    <s v="O0412"/>
    <d v="2024-10-02T00:00:00"/>
    <s v="Delhi"/>
    <s v="Rohini"/>
    <s v="Pizza Planet"/>
    <s v="Indian"/>
    <s v="Masala Dosa"/>
    <s v="Veg"/>
    <n v="2"/>
    <n v="407"/>
    <n v="814"/>
    <n v="52"/>
    <s v="UPI"/>
    <n v="4.3"/>
    <x v="0"/>
    <n v="40"/>
    <n v="2024"/>
  </r>
  <r>
    <s v="CUST_244"/>
    <s v="O0413"/>
    <d v="2024-02-13T00:00:00"/>
    <s v="Mumbai"/>
    <s v="Powai"/>
    <s v="Pizza Planet"/>
    <s v="Chinese"/>
    <s v="Sandwich"/>
    <s v="Veg"/>
    <n v="2"/>
    <n v="147"/>
    <n v="294"/>
    <n v="60"/>
    <s v="UPI"/>
    <n v="4.0999999999999996"/>
    <x v="8"/>
    <n v="7"/>
    <n v="2024"/>
  </r>
  <r>
    <s v="CUST_244"/>
    <s v="O0414"/>
    <d v="2024-03-19T00:00:00"/>
    <s v="Delhi"/>
    <s v="Dwarka"/>
    <s v="Sandwich Stop"/>
    <s v="Fast Food"/>
    <s v="Paneer Tikka"/>
    <s v="Veg"/>
    <n v="2"/>
    <n v="376"/>
    <n v="752"/>
    <n v="48"/>
    <s v="UPI"/>
    <n v="4.3"/>
    <x v="4"/>
    <n v="12"/>
    <n v="2024"/>
  </r>
  <r>
    <s v="CUST_245"/>
    <s v="O0415"/>
    <d v="2024-04-30T00:00:00"/>
    <s v="Delhi"/>
    <s v="Rohini"/>
    <s v="Pizza Planet"/>
    <s v="Italian"/>
    <s v="Pizza"/>
    <s v="Veg"/>
    <n v="4"/>
    <n v="482"/>
    <n v="1928"/>
    <n v="46"/>
    <s v="COD"/>
    <n v="3.9"/>
    <x v="2"/>
    <n v="18"/>
    <n v="2024"/>
  </r>
  <r>
    <s v="CUST_245"/>
    <s v="O0416"/>
    <d v="2024-09-12T00:00:00"/>
    <s v="Chennai"/>
    <s v="Velachery"/>
    <s v="Burger Hub"/>
    <s v="North Indian"/>
    <s v="Paneer Tikka"/>
    <s v="Veg"/>
    <n v="3"/>
    <n v="293"/>
    <n v="879"/>
    <n v="51"/>
    <s v="COD"/>
    <n v="4.5999999999999996"/>
    <x v="3"/>
    <n v="37"/>
    <n v="2024"/>
  </r>
  <r>
    <s v="CUST_245"/>
    <s v="O0417"/>
    <d v="2024-08-01T00:00:00"/>
    <s v="Chennai"/>
    <s v="Tambaram"/>
    <s v="Tandoori Tales"/>
    <s v="Italian"/>
    <s v="Momos"/>
    <s v="Veg"/>
    <n v="2"/>
    <n v="157"/>
    <n v="314"/>
    <n v="59"/>
    <s v="UPI"/>
    <n v="4.9000000000000004"/>
    <x v="9"/>
    <n v="31"/>
    <n v="2024"/>
  </r>
  <r>
    <s v="CUST_245"/>
    <s v="O0418"/>
    <d v="2024-02-12T00:00:00"/>
    <s v="Bangalore"/>
    <s v="Indiranagar"/>
    <s v="South Spice"/>
    <s v="North Indian"/>
    <s v="Fried Rice"/>
    <s v="Veg"/>
    <n v="2"/>
    <n v="268"/>
    <n v="536"/>
    <n v="57"/>
    <s v="COD"/>
    <n v="4.5999999999999996"/>
    <x v="8"/>
    <n v="7"/>
    <n v="2024"/>
  </r>
  <r>
    <s v="CUST_245"/>
    <s v="O0419"/>
    <d v="2024-01-22T00:00:00"/>
    <s v="Hyderabad"/>
    <s v="Madhapur"/>
    <s v="Pizza Planet"/>
    <s v="Fast Food"/>
    <s v="Pasta"/>
    <s v="Veg"/>
    <n v="5"/>
    <n v="169"/>
    <n v="845"/>
    <n v="53"/>
    <s v="UPI"/>
    <n v="3.7"/>
    <x v="6"/>
    <n v="4"/>
    <n v="2024"/>
  </r>
  <r>
    <s v="CUST_246"/>
    <s v="O0420"/>
    <d v="2024-02-10T00:00:00"/>
    <s v="Delhi"/>
    <s v="Dwarka"/>
    <s v="Café Delight"/>
    <s v="North Indian"/>
    <s v="Chicken Biryani"/>
    <s v="Non-Veg"/>
    <n v="1"/>
    <n v="356"/>
    <n v="356"/>
    <n v="38"/>
    <s v="UPI"/>
    <n v="4.0999999999999996"/>
    <x v="8"/>
    <n v="6"/>
    <n v="2024"/>
  </r>
  <r>
    <s v="CUST_246"/>
    <s v="O0421"/>
    <d v="2024-08-05T00:00:00"/>
    <s v="Bangalore"/>
    <s v="Jayanagar"/>
    <s v="Tandoori Tales"/>
    <s v="South Indian"/>
    <s v="Chicken Biryani"/>
    <s v="Non-Veg"/>
    <n v="2"/>
    <n v="143"/>
    <n v="286"/>
    <n v="20"/>
    <s v="UPI"/>
    <n v="3.3"/>
    <x v="9"/>
    <n v="32"/>
    <n v="2024"/>
  </r>
  <r>
    <s v="CUST_246"/>
    <s v="O0422"/>
    <d v="2024-03-20T00:00:00"/>
    <s v="Bangalore"/>
    <s v="Koramangala"/>
    <s v="Grill Masters"/>
    <s v="Italian"/>
    <s v="Chicken Roll"/>
    <s v="Non-Veg"/>
    <n v="5"/>
    <n v="391"/>
    <n v="1955"/>
    <n v="38"/>
    <s v="UPI"/>
    <n v="3.8"/>
    <x v="4"/>
    <n v="12"/>
    <n v="2024"/>
  </r>
  <r>
    <s v="CUST_247"/>
    <s v="O0423"/>
    <d v="2024-02-16T00:00:00"/>
    <s v="Chennai"/>
    <s v="Velachery"/>
    <s v="South Spice"/>
    <s v="Fast Food"/>
    <s v="Chicken Biryani"/>
    <s v="Non-Veg"/>
    <n v="1"/>
    <n v="490"/>
    <n v="490"/>
    <n v="39"/>
    <s v="Card"/>
    <n v="3.8"/>
    <x v="8"/>
    <n v="7"/>
    <n v="2024"/>
  </r>
  <r>
    <s v="CUST_247"/>
    <s v="O0424"/>
    <d v="2024-08-16T00:00:00"/>
    <s v="Delhi"/>
    <s v="Connaught Place"/>
    <s v="Pizza Planet"/>
    <s v="Indian"/>
    <s v="Pizza"/>
    <s v="Veg"/>
    <n v="3"/>
    <n v="308"/>
    <n v="924"/>
    <n v="52"/>
    <s v="UPI"/>
    <n v="4.4000000000000004"/>
    <x v="9"/>
    <n v="33"/>
    <n v="2024"/>
  </r>
  <r>
    <s v="CUST_247"/>
    <s v="O0425"/>
    <d v="2024-07-04T00:00:00"/>
    <s v="Delhi"/>
    <s v="Karol Bagh"/>
    <s v="Grill Masters"/>
    <s v="Italian"/>
    <s v="Paneer Tikka"/>
    <s v="Veg"/>
    <n v="5"/>
    <n v="402"/>
    <n v="2010"/>
    <n v="57"/>
    <s v="Card"/>
    <n v="4.9000000000000004"/>
    <x v="1"/>
    <n v="27"/>
    <n v="2024"/>
  </r>
  <r>
    <s v="CUST_247"/>
    <s v="O0426"/>
    <d v="2024-05-03T00:00:00"/>
    <s v="Bangalore"/>
    <s v="Jayanagar"/>
    <s v="Biryani House"/>
    <s v="Italian"/>
    <s v="Chicken Roll"/>
    <s v="Non-Veg"/>
    <n v="5"/>
    <n v="162"/>
    <n v="810"/>
    <n v="46"/>
    <s v="Card"/>
    <n v="3.3"/>
    <x v="5"/>
    <n v="18"/>
    <n v="2024"/>
  </r>
  <r>
    <s v="CUST_247"/>
    <s v="O0427"/>
    <d v="2024-08-13T00:00:00"/>
    <s v="Chennai"/>
    <s v="T Nagar"/>
    <s v="Grill Masters"/>
    <s v="Chinese"/>
    <s v="Paneer Tikka"/>
    <s v="Veg"/>
    <n v="5"/>
    <n v="321"/>
    <n v="1605"/>
    <n v="55"/>
    <s v="UPI"/>
    <n v="3.7"/>
    <x v="9"/>
    <n v="33"/>
    <n v="2024"/>
  </r>
  <r>
    <s v="CUST_248"/>
    <s v="O0428"/>
    <d v="2024-04-16T00:00:00"/>
    <s v="Bangalore"/>
    <s v="BTM Layout"/>
    <s v="Chinese Bowl"/>
    <s v="Italian"/>
    <s v="Chicken Roll"/>
    <s v="Non-Veg"/>
    <n v="1"/>
    <n v="483"/>
    <n v="483"/>
    <n v="44"/>
    <s v="UPI"/>
    <n v="4.0999999999999996"/>
    <x v="2"/>
    <n v="16"/>
    <n v="2024"/>
  </r>
  <r>
    <s v="CUST_248"/>
    <s v="O0429"/>
    <d v="2024-07-08T00:00:00"/>
    <s v="Bangalore"/>
    <s v="Koramangala"/>
    <s v="Biryani House"/>
    <s v="Italian"/>
    <s v="Chicken Biryani"/>
    <s v="Non-Veg"/>
    <n v="3"/>
    <n v="272"/>
    <n v="816"/>
    <n v="39"/>
    <s v="COD"/>
    <n v="4.4000000000000004"/>
    <x v="1"/>
    <n v="28"/>
    <n v="2024"/>
  </r>
  <r>
    <s v="CUST_248"/>
    <s v="O0430"/>
    <d v="2024-08-19T00:00:00"/>
    <s v="Mumbai"/>
    <s v="Powai"/>
    <s v="Urban Meals"/>
    <s v="North Indian"/>
    <s v="Pizza"/>
    <s v="Veg"/>
    <n v="5"/>
    <n v="134"/>
    <n v="670"/>
    <n v="31"/>
    <s v="COD"/>
    <n v="3.5"/>
    <x v="9"/>
    <n v="34"/>
    <n v="2024"/>
  </r>
  <r>
    <s v="CUST_248"/>
    <s v="O0431"/>
    <d v="2024-05-05T00:00:00"/>
    <s v="Bangalore"/>
    <s v="Jayanagar"/>
    <s v="Urban Meals"/>
    <s v="Fast Food"/>
    <s v="Fried Rice"/>
    <s v="Veg"/>
    <n v="3"/>
    <n v="263"/>
    <n v="789"/>
    <n v="31"/>
    <s v="UPI"/>
    <n v="4.9000000000000004"/>
    <x v="5"/>
    <n v="19"/>
    <n v="2024"/>
  </r>
  <r>
    <s v="CUST_249"/>
    <s v="O0432"/>
    <d v="2024-02-13T00:00:00"/>
    <s v="Chennai"/>
    <s v="Anna Nagar"/>
    <s v="Biryani House"/>
    <s v="Chinese"/>
    <s v="Paneer Tikka"/>
    <s v="Veg"/>
    <n v="2"/>
    <n v="456"/>
    <n v="912"/>
    <n v="44"/>
    <s v="COD"/>
    <n v="3.5"/>
    <x v="8"/>
    <n v="7"/>
    <n v="2024"/>
  </r>
  <r>
    <s v="CUST_249"/>
    <s v="O0433"/>
    <d v="2024-06-01T00:00:00"/>
    <s v="Chennai"/>
    <s v="T Nagar"/>
    <s v="Grill Masters"/>
    <s v="Indian"/>
    <s v="Paneer Tikka"/>
    <s v="Veg"/>
    <n v="3"/>
    <n v="104"/>
    <n v="312"/>
    <n v="35"/>
    <s v="COD"/>
    <n v="4.3"/>
    <x v="7"/>
    <n v="22"/>
    <n v="2024"/>
  </r>
  <r>
    <s v="CUST_250"/>
    <s v="O0434"/>
    <d v="2024-07-24T00:00:00"/>
    <s v="Chennai"/>
    <s v="Adyar"/>
    <s v="Urban Meals"/>
    <s v="North Indian"/>
    <s v="Momos"/>
    <s v="Veg"/>
    <n v="1"/>
    <n v="103"/>
    <n v="103"/>
    <n v="42"/>
    <s v="Card"/>
    <n v="3.3"/>
    <x v="1"/>
    <n v="30"/>
    <n v="2024"/>
  </r>
  <r>
    <s v="CUST_250"/>
    <s v="O0435"/>
    <d v="2024-10-17T00:00:00"/>
    <s v="Bangalore"/>
    <s v="Indiranagar"/>
    <s v="Tandoori Tales"/>
    <s v="Indian"/>
    <s v="Sandwich"/>
    <s v="Veg"/>
    <n v="1"/>
    <n v="164"/>
    <n v="164"/>
    <n v="46"/>
    <s v="Card"/>
    <n v="3.4"/>
    <x v="0"/>
    <n v="42"/>
    <n v="2024"/>
  </r>
  <r>
    <s v="CUST_250"/>
    <s v="O0436"/>
    <d v="2024-10-23T00:00:00"/>
    <s v="Hyderabad"/>
    <s v="Kukatpally"/>
    <s v="Café Delight"/>
    <s v="South Indian"/>
    <s v="Chicken Roll"/>
    <s v="Non-Veg"/>
    <n v="1"/>
    <n v="277"/>
    <n v="277"/>
    <n v="20"/>
    <s v="Card"/>
    <n v="3.5"/>
    <x v="0"/>
    <n v="43"/>
    <n v="2024"/>
  </r>
  <r>
    <s v="CUST_251"/>
    <s v="O0437"/>
    <d v="2024-07-18T00:00:00"/>
    <s v="Bangalore"/>
    <s v="Jayanagar"/>
    <s v="South Spice"/>
    <s v="North Indian"/>
    <s v="Chicken Roll"/>
    <s v="Non-Veg"/>
    <n v="5"/>
    <n v="254"/>
    <n v="1270"/>
    <n v="29"/>
    <s v="UPI"/>
    <n v="4.2"/>
    <x v="1"/>
    <n v="29"/>
    <n v="2024"/>
  </r>
  <r>
    <s v="CUST_251"/>
    <s v="O0438"/>
    <d v="2024-04-21T00:00:00"/>
    <s v="Chennai"/>
    <s v="Tambaram"/>
    <s v="Urban Meals"/>
    <s v="North Indian"/>
    <s v="Fried Rice"/>
    <s v="Veg"/>
    <n v="1"/>
    <n v="326"/>
    <n v="326"/>
    <n v="26"/>
    <s v="Card"/>
    <n v="4.7"/>
    <x v="2"/>
    <n v="17"/>
    <n v="2024"/>
  </r>
  <r>
    <s v="CUST_251"/>
    <s v="O0439"/>
    <d v="2024-04-08T00:00:00"/>
    <s v="Mumbai"/>
    <s v="Bandra"/>
    <s v="Biryani House"/>
    <s v="Fast Food"/>
    <s v="Fried Rice"/>
    <s v="Veg"/>
    <n v="1"/>
    <n v="391"/>
    <n v="391"/>
    <n v="41"/>
    <s v="Card"/>
    <n v="4.5"/>
    <x v="2"/>
    <n v="15"/>
    <n v="2024"/>
  </r>
  <r>
    <s v="CUST_252"/>
    <s v="O0440"/>
    <d v="2024-02-19T00:00:00"/>
    <s v="Mumbai"/>
    <s v="Andheri"/>
    <s v="Grill Masters"/>
    <s v="South Indian"/>
    <s v="Masala Dosa"/>
    <s v="Veg"/>
    <n v="2"/>
    <n v="485"/>
    <n v="970"/>
    <n v="51"/>
    <s v="UPI"/>
    <n v="3.1"/>
    <x v="8"/>
    <n v="8"/>
    <n v="2024"/>
  </r>
  <r>
    <s v="CUST_252"/>
    <s v="O0441"/>
    <d v="2024-02-16T00:00:00"/>
    <s v="Delhi"/>
    <s v="Dwarka"/>
    <s v="Burger Hub"/>
    <s v="Italian"/>
    <s v="Masala Dosa"/>
    <s v="Veg"/>
    <n v="1"/>
    <n v="321"/>
    <n v="321"/>
    <n v="33"/>
    <s v="COD"/>
    <n v="4.9000000000000004"/>
    <x v="8"/>
    <n v="7"/>
    <n v="2024"/>
  </r>
  <r>
    <s v="CUST_253"/>
    <s v="O0442"/>
    <d v="2024-09-12T00:00:00"/>
    <s v="Bangalore"/>
    <s v="Indiranagar"/>
    <s v="South Spice"/>
    <s v="South Indian"/>
    <s v="Paneer Tikka"/>
    <s v="Veg"/>
    <n v="2"/>
    <n v="205"/>
    <n v="410"/>
    <n v="36"/>
    <s v="UPI"/>
    <n v="4.3"/>
    <x v="3"/>
    <n v="37"/>
    <n v="2024"/>
  </r>
  <r>
    <s v="CUST_253"/>
    <s v="O0443"/>
    <d v="2024-10-26T00:00:00"/>
    <s v="Mumbai"/>
    <s v="Goregaon"/>
    <s v="Sandwich Stop"/>
    <s v="Italian"/>
    <s v="Pasta"/>
    <s v="Veg"/>
    <n v="4"/>
    <n v="295"/>
    <n v="1180"/>
    <n v="36"/>
    <s v="UPI"/>
    <n v="3.1"/>
    <x v="0"/>
    <n v="43"/>
    <n v="2024"/>
  </r>
  <r>
    <s v="CUST_253"/>
    <s v="O0444"/>
    <d v="2024-07-31T00:00:00"/>
    <s v="Mumbai"/>
    <s v="Goregaon"/>
    <s v="Urban Meals"/>
    <s v="Indian"/>
    <s v="Masala Dosa"/>
    <s v="Veg"/>
    <n v="4"/>
    <n v="133"/>
    <n v="532"/>
    <n v="58"/>
    <s v="UPI"/>
    <n v="3.3"/>
    <x v="1"/>
    <n v="31"/>
    <n v="2024"/>
  </r>
  <r>
    <s v="CUST_253"/>
    <s v="O0445"/>
    <d v="2024-01-11T00:00:00"/>
    <s v="Bangalore"/>
    <s v="Jayanagar"/>
    <s v="Urban Meals"/>
    <s v="Chinese"/>
    <s v="Masala Dosa"/>
    <s v="Veg"/>
    <n v="2"/>
    <n v="323"/>
    <n v="646"/>
    <n v="35"/>
    <s v="UPI"/>
    <n v="4.8"/>
    <x v="6"/>
    <n v="2"/>
    <n v="2024"/>
  </r>
  <r>
    <s v="CUST_254"/>
    <s v="O0446"/>
    <d v="2024-09-19T00:00:00"/>
    <s v="Chennai"/>
    <s v="T Nagar"/>
    <s v="South Spice"/>
    <s v="Indian"/>
    <s v="Chicken Biryani"/>
    <s v="Non-Veg"/>
    <n v="5"/>
    <n v="169"/>
    <n v="845"/>
    <n v="60"/>
    <s v="Card"/>
    <n v="4.2"/>
    <x v="3"/>
    <n v="38"/>
    <n v="2024"/>
  </r>
  <r>
    <s v="CUST_254"/>
    <s v="O0447"/>
    <d v="2024-03-27T00:00:00"/>
    <s v="Mumbai"/>
    <s v="Goregaon"/>
    <s v="Burger Hub"/>
    <s v="Italian"/>
    <s v="Fried Rice"/>
    <s v="Veg"/>
    <n v="3"/>
    <n v="105"/>
    <n v="315"/>
    <n v="24"/>
    <s v="UPI"/>
    <n v="4.5"/>
    <x v="4"/>
    <n v="13"/>
    <n v="2024"/>
  </r>
  <r>
    <s v="CUST_254"/>
    <s v="O0448"/>
    <d v="2024-04-09T00:00:00"/>
    <s v="Bangalore"/>
    <s v="Jayanagar"/>
    <s v="Biryani House"/>
    <s v="Chinese"/>
    <s v="Pasta"/>
    <s v="Veg"/>
    <n v="2"/>
    <n v="356"/>
    <n v="712"/>
    <n v="45"/>
    <s v="Card"/>
    <n v="3.3"/>
    <x v="2"/>
    <n v="15"/>
    <n v="2024"/>
  </r>
  <r>
    <s v="CUST_254"/>
    <s v="O0449"/>
    <d v="2024-01-20T00:00:00"/>
    <s v="Chennai"/>
    <s v="Adyar"/>
    <s v="Biryani House"/>
    <s v="South Indian"/>
    <s v="Veg Burger"/>
    <s v="Veg"/>
    <n v="3"/>
    <n v="224"/>
    <n v="672"/>
    <n v="22"/>
    <s v="Card"/>
    <n v="4.3"/>
    <x v="6"/>
    <n v="3"/>
    <n v="2024"/>
  </r>
  <r>
    <s v="CUST_255"/>
    <s v="O0450"/>
    <d v="2024-06-27T00:00:00"/>
    <s v="Bangalore"/>
    <s v="Jayanagar"/>
    <s v="Sandwich Stop"/>
    <s v="South Indian"/>
    <s v="Chicken Biryani"/>
    <s v="Non-Veg"/>
    <n v="2"/>
    <n v="239"/>
    <n v="478"/>
    <n v="26"/>
    <s v="UPI"/>
    <n v="4.9000000000000004"/>
    <x v="7"/>
    <n v="26"/>
    <n v="2024"/>
  </r>
  <r>
    <s v="CUST_255"/>
    <s v="O0451"/>
    <d v="2024-08-29T00:00:00"/>
    <s v="Chennai"/>
    <s v="Adyar"/>
    <s v="Burger Hub"/>
    <s v="Italian"/>
    <s v="Momos"/>
    <s v="Veg"/>
    <n v="5"/>
    <n v="303"/>
    <n v="1515"/>
    <n v="43"/>
    <s v="COD"/>
    <n v="3.1"/>
    <x v="9"/>
    <n v="35"/>
    <n v="2024"/>
  </r>
  <r>
    <s v="CUST_255"/>
    <s v="O0452"/>
    <d v="2024-06-03T00:00:00"/>
    <s v="Chennai"/>
    <s v="Adyar"/>
    <s v="South Spice"/>
    <s v="Fast Food"/>
    <s v="Sandwich"/>
    <s v="Veg"/>
    <n v="3"/>
    <n v="384"/>
    <n v="1152"/>
    <n v="38"/>
    <s v="Card"/>
    <n v="3.3"/>
    <x v="7"/>
    <n v="23"/>
    <n v="2024"/>
  </r>
  <r>
    <s v="CUST_255"/>
    <s v="O0453"/>
    <d v="2024-08-18T00:00:00"/>
    <s v="Delhi"/>
    <s v="Dwarka"/>
    <s v="Café Delight"/>
    <s v="South Indian"/>
    <s v="Momos"/>
    <s v="Veg"/>
    <n v="4"/>
    <n v="200"/>
    <n v="800"/>
    <n v="47"/>
    <s v="UPI"/>
    <n v="3"/>
    <x v="9"/>
    <n v="34"/>
    <n v="2024"/>
  </r>
  <r>
    <s v="CUST_255"/>
    <s v="O0454"/>
    <d v="2024-09-22T00:00:00"/>
    <s v="Mumbai"/>
    <s v="Powai"/>
    <s v="Tandoori Tales"/>
    <s v="South Indian"/>
    <s v="Veg Burger"/>
    <s v="Veg"/>
    <n v="2"/>
    <n v="161"/>
    <n v="322"/>
    <n v="54"/>
    <s v="UPI"/>
    <n v="4.5999999999999996"/>
    <x v="3"/>
    <n v="39"/>
    <n v="2024"/>
  </r>
  <r>
    <s v="CUST_256"/>
    <s v="O0455"/>
    <d v="2024-01-03T00:00:00"/>
    <s v="Chennai"/>
    <s v="Anna Nagar"/>
    <s v="Burger Hub"/>
    <s v="Indian"/>
    <s v="Paneer Tikka"/>
    <s v="Veg"/>
    <n v="5"/>
    <n v="365"/>
    <n v="1825"/>
    <n v="53"/>
    <s v="Card"/>
    <n v="4.2"/>
    <x v="6"/>
    <n v="1"/>
    <n v="2024"/>
  </r>
  <r>
    <s v="CUST_256"/>
    <s v="O0456"/>
    <d v="2024-07-31T00:00:00"/>
    <s v="Mumbai"/>
    <s v="Bandra"/>
    <s v="Tandoori Tales"/>
    <s v="North Indian"/>
    <s v="Fried Rice"/>
    <s v="Veg"/>
    <n v="3"/>
    <n v="156"/>
    <n v="468"/>
    <n v="22"/>
    <s v="Card"/>
    <n v="4.3"/>
    <x v="1"/>
    <n v="31"/>
    <n v="2024"/>
  </r>
  <r>
    <s v="CUST_257"/>
    <s v="O0457"/>
    <d v="2024-04-06T00:00:00"/>
    <s v="Mumbai"/>
    <s v="Powai"/>
    <s v="Grill Masters"/>
    <s v="Chinese"/>
    <s v="Masala Dosa"/>
    <s v="Veg"/>
    <n v="2"/>
    <n v="394"/>
    <n v="788"/>
    <n v="40"/>
    <s v="UPI"/>
    <n v="3.2"/>
    <x v="2"/>
    <n v="14"/>
    <n v="2024"/>
  </r>
  <r>
    <s v="CUST_257"/>
    <s v="O0458"/>
    <d v="2024-02-15T00:00:00"/>
    <s v="Chennai"/>
    <s v="Adyar"/>
    <s v="Café Delight"/>
    <s v="North Indian"/>
    <s v="Sandwich"/>
    <s v="Veg"/>
    <n v="2"/>
    <n v="200"/>
    <n v="400"/>
    <n v="50"/>
    <s v="COD"/>
    <n v="4.8"/>
    <x v="8"/>
    <n v="7"/>
    <n v="2024"/>
  </r>
  <r>
    <s v="CUST_257"/>
    <s v="O0459"/>
    <d v="2024-07-21T00:00:00"/>
    <s v="Mumbai"/>
    <s v="Dadar"/>
    <s v="Café Delight"/>
    <s v="South Indian"/>
    <s v="Sandwich"/>
    <s v="Veg"/>
    <n v="1"/>
    <n v="416"/>
    <n v="416"/>
    <n v="51"/>
    <s v="Card"/>
    <n v="3.8"/>
    <x v="1"/>
    <n v="30"/>
    <n v="2024"/>
  </r>
  <r>
    <s v="CUST_257"/>
    <s v="O0460"/>
    <d v="2024-06-11T00:00:00"/>
    <s v="Delhi"/>
    <s v="Saket"/>
    <s v="Grill Masters"/>
    <s v="Chinese"/>
    <s v="Momos"/>
    <s v="Veg"/>
    <n v="1"/>
    <n v="180"/>
    <n v="180"/>
    <n v="51"/>
    <s v="Card"/>
    <n v="4.4000000000000004"/>
    <x v="7"/>
    <n v="24"/>
    <n v="2024"/>
  </r>
  <r>
    <s v="CUST_257"/>
    <s v="O0461"/>
    <d v="2024-10-12T00:00:00"/>
    <s v="Bangalore"/>
    <s v="Whitefield"/>
    <s v="Pizza Planet"/>
    <s v="South Indian"/>
    <s v="Chicken Roll"/>
    <s v="Non-Veg"/>
    <n v="3"/>
    <n v="288"/>
    <n v="864"/>
    <n v="48"/>
    <s v="UPI"/>
    <n v="4.5"/>
    <x v="0"/>
    <n v="41"/>
    <n v="2024"/>
  </r>
  <r>
    <s v="CUST_258"/>
    <s v="O0462"/>
    <d v="2024-06-05T00:00:00"/>
    <s v="Delhi"/>
    <s v="Karol Bagh"/>
    <s v="Urban Meals"/>
    <s v="Chinese"/>
    <s v="Chicken Biryani"/>
    <s v="Non-Veg"/>
    <n v="4"/>
    <n v="109"/>
    <n v="436"/>
    <n v="53"/>
    <s v="COD"/>
    <n v="3.4"/>
    <x v="7"/>
    <n v="23"/>
    <n v="2024"/>
  </r>
  <r>
    <s v="CUST_258"/>
    <s v="O0463"/>
    <d v="2024-06-13T00:00:00"/>
    <s v="Mumbai"/>
    <s v="Dadar"/>
    <s v="Chinese Bowl"/>
    <s v="South Indian"/>
    <s v="Chicken Biryani"/>
    <s v="Non-Veg"/>
    <n v="3"/>
    <n v="104"/>
    <n v="312"/>
    <n v="27"/>
    <s v="Card"/>
    <n v="4.4000000000000004"/>
    <x v="7"/>
    <n v="24"/>
    <n v="2024"/>
  </r>
  <r>
    <s v="CUST_259"/>
    <s v="O0464"/>
    <d v="2024-10-04T00:00:00"/>
    <s v="Bangalore"/>
    <s v="Jayanagar"/>
    <s v="Urban Meals"/>
    <s v="Italian"/>
    <s v="Pasta"/>
    <s v="Veg"/>
    <n v="4"/>
    <n v="225"/>
    <n v="900"/>
    <n v="25"/>
    <s v="UPI"/>
    <n v="3.8"/>
    <x v="0"/>
    <n v="40"/>
    <n v="2024"/>
  </r>
  <r>
    <s v="CUST_259"/>
    <s v="O0465"/>
    <d v="2024-03-06T00:00:00"/>
    <s v="Delhi"/>
    <s v="Saket"/>
    <s v="Tandoori Tales"/>
    <s v="South Indian"/>
    <s v="Pizza"/>
    <s v="Veg"/>
    <n v="2"/>
    <n v="106"/>
    <n v="212"/>
    <n v="55"/>
    <s v="COD"/>
    <n v="4.5999999999999996"/>
    <x v="4"/>
    <n v="10"/>
    <n v="2024"/>
  </r>
  <r>
    <s v="CUST_259"/>
    <s v="O0466"/>
    <d v="2024-02-27T00:00:00"/>
    <s v="Delhi"/>
    <s v="Saket"/>
    <s v="Urban Meals"/>
    <s v="Fast Food"/>
    <s v="Sandwich"/>
    <s v="Veg"/>
    <n v="5"/>
    <n v="337"/>
    <n v="1685"/>
    <n v="20"/>
    <s v="COD"/>
    <n v="3.1"/>
    <x v="8"/>
    <n v="9"/>
    <n v="2024"/>
  </r>
  <r>
    <s v="CUST_259"/>
    <s v="O0467"/>
    <d v="2024-02-02T00:00:00"/>
    <s v="Hyderabad"/>
    <s v="Banjara Hills"/>
    <s v="Pizza Planet"/>
    <s v="Chinese"/>
    <s v="Momos"/>
    <s v="Veg"/>
    <n v="3"/>
    <n v="332"/>
    <n v="996"/>
    <n v="35"/>
    <s v="UPI"/>
    <n v="3"/>
    <x v="8"/>
    <n v="5"/>
    <n v="2024"/>
  </r>
  <r>
    <s v="CUST_259"/>
    <s v="O0468"/>
    <d v="2024-05-14T00:00:00"/>
    <s v="Hyderabad"/>
    <s v="Secunderabad"/>
    <s v="South Spice"/>
    <s v="Chinese"/>
    <s v="Chicken Roll"/>
    <s v="Non-Veg"/>
    <n v="1"/>
    <n v="344"/>
    <n v="344"/>
    <n v="26"/>
    <s v="COD"/>
    <n v="4"/>
    <x v="5"/>
    <n v="20"/>
    <n v="2024"/>
  </r>
  <r>
    <s v="CUST_260"/>
    <s v="O0469"/>
    <d v="2024-04-08T00:00:00"/>
    <s v="Chennai"/>
    <s v="Anna Nagar"/>
    <s v="Café Delight"/>
    <s v="Fast Food"/>
    <s v="Pizza"/>
    <s v="Veg"/>
    <n v="1"/>
    <n v="408"/>
    <n v="408"/>
    <n v="56"/>
    <s v="UPI"/>
    <n v="3.6"/>
    <x v="2"/>
    <n v="15"/>
    <n v="2024"/>
  </r>
  <r>
    <s v="CUST_260"/>
    <s v="O0470"/>
    <d v="2024-10-03T00:00:00"/>
    <s v="Chennai"/>
    <s v="Anna Nagar"/>
    <s v="South Spice"/>
    <s v="Indian"/>
    <s v="Veg Burger"/>
    <s v="Veg"/>
    <n v="5"/>
    <n v="187"/>
    <n v="935"/>
    <n v="36"/>
    <s v="COD"/>
    <n v="4.4000000000000004"/>
    <x v="0"/>
    <n v="40"/>
    <n v="2024"/>
  </r>
  <r>
    <s v="CUST_260"/>
    <s v="O0471"/>
    <d v="2024-03-03T00:00:00"/>
    <s v="Chennai"/>
    <s v="T Nagar"/>
    <s v="Chinese Bowl"/>
    <s v="South Indian"/>
    <s v="Veg Burger"/>
    <s v="Veg"/>
    <n v="4"/>
    <n v="222"/>
    <n v="888"/>
    <n v="31"/>
    <s v="UPI"/>
    <n v="4.8"/>
    <x v="4"/>
    <n v="10"/>
    <n v="2024"/>
  </r>
  <r>
    <s v="CUST_260"/>
    <s v="O0472"/>
    <d v="2024-02-05T00:00:00"/>
    <s v="Bangalore"/>
    <s v="Koramangala"/>
    <s v="South Spice"/>
    <s v="Indian"/>
    <s v="Pasta"/>
    <s v="Veg"/>
    <n v="1"/>
    <n v="360"/>
    <n v="360"/>
    <n v="46"/>
    <s v="UPI"/>
    <n v="4"/>
    <x v="8"/>
    <n v="6"/>
    <n v="2024"/>
  </r>
  <r>
    <s v="CUST_261"/>
    <s v="O0473"/>
    <d v="2024-09-25T00:00:00"/>
    <s v="Delhi"/>
    <s v="Connaught Place"/>
    <s v="Burger Hub"/>
    <s v="Chinese"/>
    <s v="Sandwich"/>
    <s v="Veg"/>
    <n v="3"/>
    <n v="425"/>
    <n v="1275"/>
    <n v="57"/>
    <s v="UPI"/>
    <n v="3.4"/>
    <x v="3"/>
    <n v="39"/>
    <n v="2024"/>
  </r>
  <r>
    <s v="CUST_261"/>
    <s v="O0474"/>
    <d v="2024-05-10T00:00:00"/>
    <s v="Chennai"/>
    <s v="T Nagar"/>
    <s v="Burger Hub"/>
    <s v="Italian"/>
    <s v="Chicken Roll"/>
    <s v="Non-Veg"/>
    <n v="3"/>
    <n v="398"/>
    <n v="1194"/>
    <n v="47"/>
    <s v="COD"/>
    <n v="3.2"/>
    <x v="5"/>
    <n v="19"/>
    <n v="2024"/>
  </r>
  <r>
    <s v="CUST_262"/>
    <s v="O0475"/>
    <d v="2024-10-11T00:00:00"/>
    <s v="Bangalore"/>
    <s v="BTM Layout"/>
    <s v="Burger Hub"/>
    <s v="Indian"/>
    <s v="Pizza"/>
    <s v="Veg"/>
    <n v="3"/>
    <n v="172"/>
    <n v="516"/>
    <n v="47"/>
    <s v="COD"/>
    <n v="3.8"/>
    <x v="0"/>
    <n v="41"/>
    <n v="2024"/>
  </r>
  <r>
    <s v="CUST_262"/>
    <s v="O0476"/>
    <d v="2024-09-03T00:00:00"/>
    <s v="Bangalore"/>
    <s v="BTM Layout"/>
    <s v="Grill Masters"/>
    <s v="Italian"/>
    <s v="Paneer Tikka"/>
    <s v="Veg"/>
    <n v="1"/>
    <n v="141"/>
    <n v="141"/>
    <n v="46"/>
    <s v="Card"/>
    <n v="4.5"/>
    <x v="3"/>
    <n v="36"/>
    <n v="2024"/>
  </r>
  <r>
    <s v="CUST_262"/>
    <s v="O0477"/>
    <d v="2024-01-23T00:00:00"/>
    <s v="Bangalore"/>
    <s v="Indiranagar"/>
    <s v="Pizza Planet"/>
    <s v="North Indian"/>
    <s v="Fried Rice"/>
    <s v="Veg"/>
    <n v="1"/>
    <n v="158"/>
    <n v="158"/>
    <n v="53"/>
    <s v="UPI"/>
    <n v="4.0999999999999996"/>
    <x v="6"/>
    <n v="4"/>
    <n v="2024"/>
  </r>
  <r>
    <s v="CUST_262"/>
    <s v="O0478"/>
    <d v="2024-01-12T00:00:00"/>
    <s v="Bangalore"/>
    <s v="Indiranagar"/>
    <s v="Urban Meals"/>
    <s v="Fast Food"/>
    <s v="Chicken Biryani"/>
    <s v="Non-Veg"/>
    <n v="4"/>
    <n v="284"/>
    <n v="1136"/>
    <n v="35"/>
    <s v="Card"/>
    <n v="4.7"/>
    <x v="6"/>
    <n v="2"/>
    <n v="2024"/>
  </r>
  <r>
    <s v="CUST_263"/>
    <s v="O0479"/>
    <d v="2024-04-16T00:00:00"/>
    <s v="Delhi"/>
    <s v="Karol Bagh"/>
    <s v="Sandwich Stop"/>
    <s v="North Indian"/>
    <s v="Veg Burger"/>
    <s v="Veg"/>
    <n v="4"/>
    <n v="498"/>
    <n v="1992"/>
    <n v="22"/>
    <s v="COD"/>
    <n v="3.3"/>
    <x v="2"/>
    <n v="16"/>
    <n v="2024"/>
  </r>
  <r>
    <s v="CUST_263"/>
    <s v="O0480"/>
    <d v="2024-02-20T00:00:00"/>
    <s v="Delhi"/>
    <s v="Dwarka"/>
    <s v="Café Delight"/>
    <s v="Italian"/>
    <s v="Masala Dosa"/>
    <s v="Veg"/>
    <n v="3"/>
    <n v="298"/>
    <n v="894"/>
    <n v="20"/>
    <s v="Card"/>
    <n v="4.4000000000000004"/>
    <x v="8"/>
    <n v="8"/>
    <n v="2024"/>
  </r>
  <r>
    <s v="CUST_263"/>
    <s v="O0481"/>
    <d v="2024-01-26T00:00:00"/>
    <s v="Mumbai"/>
    <s v="Andheri"/>
    <s v="Grill Masters"/>
    <s v="Chinese"/>
    <s v="Chicken Biryani"/>
    <s v="Non-Veg"/>
    <n v="5"/>
    <n v="390"/>
    <n v="1950"/>
    <n v="38"/>
    <s v="Card"/>
    <n v="4.2"/>
    <x v="6"/>
    <n v="4"/>
    <n v="2024"/>
  </r>
  <r>
    <s v="CUST_263"/>
    <s v="O0482"/>
    <d v="2024-07-22T00:00:00"/>
    <s v="Bangalore"/>
    <s v="BTM Layout"/>
    <s v="Biryani House"/>
    <s v="South Indian"/>
    <s v="Pasta"/>
    <s v="Veg"/>
    <n v="5"/>
    <n v="180"/>
    <n v="900"/>
    <n v="37"/>
    <s v="COD"/>
    <n v="4.7"/>
    <x v="1"/>
    <n v="30"/>
    <n v="2024"/>
  </r>
  <r>
    <s v="CUST_264"/>
    <s v="O0483"/>
    <d v="2024-07-08T00:00:00"/>
    <s v="Bangalore"/>
    <s v="BTM Layout"/>
    <s v="Sandwich Stop"/>
    <s v="Italian"/>
    <s v="Chicken Roll"/>
    <s v="Non-Veg"/>
    <n v="1"/>
    <n v="198"/>
    <n v="198"/>
    <n v="52"/>
    <s v="Card"/>
    <n v="4.0999999999999996"/>
    <x v="1"/>
    <n v="28"/>
    <n v="2024"/>
  </r>
  <r>
    <s v="CUST_264"/>
    <s v="O0484"/>
    <d v="2024-06-02T00:00:00"/>
    <s v="Mumbai"/>
    <s v="Powai"/>
    <s v="Biryani House"/>
    <s v="Fast Food"/>
    <s v="Sandwich"/>
    <s v="Veg"/>
    <n v="3"/>
    <n v="299"/>
    <n v="897"/>
    <n v="45"/>
    <s v="Card"/>
    <n v="4.0999999999999996"/>
    <x v="7"/>
    <n v="23"/>
    <n v="2024"/>
  </r>
  <r>
    <s v="CUST_265"/>
    <s v="O0485"/>
    <d v="2024-05-19T00:00:00"/>
    <s v="Bangalore"/>
    <s v="Indiranagar"/>
    <s v="Pizza Planet"/>
    <s v="Indian"/>
    <s v="Sandwich"/>
    <s v="Veg"/>
    <n v="2"/>
    <n v="438"/>
    <n v="876"/>
    <n v="37"/>
    <s v="Card"/>
    <n v="4.5"/>
    <x v="5"/>
    <n v="21"/>
    <n v="2024"/>
  </r>
  <r>
    <s v="CUST_265"/>
    <s v="O0486"/>
    <d v="2024-07-22T00:00:00"/>
    <s v="Hyderabad"/>
    <s v="Madhapur"/>
    <s v="Urban Meals"/>
    <s v="Chinese"/>
    <s v="Paneer Tikka"/>
    <s v="Veg"/>
    <n v="5"/>
    <n v="257"/>
    <n v="1285"/>
    <n v="54"/>
    <s v="UPI"/>
    <n v="3.6"/>
    <x v="1"/>
    <n v="30"/>
    <n v="2024"/>
  </r>
  <r>
    <s v="CUST_265"/>
    <s v="O0487"/>
    <d v="2024-02-02T00:00:00"/>
    <s v="Delhi"/>
    <s v="Connaught Place"/>
    <s v="Biryani House"/>
    <s v="Fast Food"/>
    <s v="Veg Burger"/>
    <s v="Veg"/>
    <n v="3"/>
    <n v="272"/>
    <n v="816"/>
    <n v="30"/>
    <s v="Card"/>
    <n v="5"/>
    <x v="8"/>
    <n v="5"/>
    <n v="2024"/>
  </r>
  <r>
    <s v="CUST_266"/>
    <s v="O0488"/>
    <d v="2024-06-03T00:00:00"/>
    <s v="Mumbai"/>
    <s v="Dadar"/>
    <s v="Chinese Bowl"/>
    <s v="South Indian"/>
    <s v="Momos"/>
    <s v="Veg"/>
    <n v="2"/>
    <n v="249"/>
    <n v="498"/>
    <n v="31"/>
    <s v="UPI"/>
    <n v="3.7"/>
    <x v="7"/>
    <n v="23"/>
    <n v="2024"/>
  </r>
  <r>
    <s v="CUST_266"/>
    <s v="O0489"/>
    <d v="2024-01-19T00:00:00"/>
    <s v="Chennai"/>
    <s v="Anna Nagar"/>
    <s v="South Spice"/>
    <s v="Chinese"/>
    <s v="Chicken Biryani"/>
    <s v="Non-Veg"/>
    <n v="5"/>
    <n v="297"/>
    <n v="1485"/>
    <n v="21"/>
    <s v="COD"/>
    <n v="3.4"/>
    <x v="6"/>
    <n v="3"/>
    <n v="2024"/>
  </r>
  <r>
    <s v="CUST_266"/>
    <s v="O0490"/>
    <d v="2024-03-05T00:00:00"/>
    <s v="Bangalore"/>
    <s v="BTM Layout"/>
    <s v="Biryani House"/>
    <s v="North Indian"/>
    <s v="Fried Rice"/>
    <s v="Veg"/>
    <n v="4"/>
    <n v="402"/>
    <n v="1608"/>
    <n v="22"/>
    <s v="UPI"/>
    <n v="3"/>
    <x v="4"/>
    <n v="10"/>
    <n v="2024"/>
  </r>
  <r>
    <s v="CUST_267"/>
    <s v="O0491"/>
    <d v="2024-05-05T00:00:00"/>
    <s v="Chennai"/>
    <s v="Tambaram"/>
    <s v="Grill Masters"/>
    <s v="Italian"/>
    <s v="Chicken Roll"/>
    <s v="Non-Veg"/>
    <n v="2"/>
    <n v="266"/>
    <n v="532"/>
    <n v="51"/>
    <s v="UPI"/>
    <n v="3.9"/>
    <x v="5"/>
    <n v="19"/>
    <n v="2024"/>
  </r>
  <r>
    <s v="CUST_267"/>
    <s v="O0492"/>
    <d v="2024-06-23T00:00:00"/>
    <s v="Bangalore"/>
    <s v="Koramangala"/>
    <s v="Grill Masters"/>
    <s v="Chinese"/>
    <s v="Chicken Roll"/>
    <s v="Non-Veg"/>
    <n v="5"/>
    <n v="336"/>
    <n v="1680"/>
    <n v="53"/>
    <s v="UPI"/>
    <n v="3.1"/>
    <x v="7"/>
    <n v="26"/>
    <n v="2024"/>
  </r>
  <r>
    <s v="CUST_267"/>
    <s v="O0493"/>
    <d v="2024-03-16T00:00:00"/>
    <s v="Chennai"/>
    <s v="Tambaram"/>
    <s v="Café Delight"/>
    <s v="North Indian"/>
    <s v="Sandwich"/>
    <s v="Veg"/>
    <n v="1"/>
    <n v="139"/>
    <n v="139"/>
    <n v="59"/>
    <s v="UPI"/>
    <n v="5"/>
    <x v="4"/>
    <n v="11"/>
    <n v="2024"/>
  </r>
  <r>
    <s v="CUST_267"/>
    <s v="O0494"/>
    <d v="2024-08-19T00:00:00"/>
    <s v="Mumbai"/>
    <s v="Powai"/>
    <s v="Burger Hub"/>
    <s v="North Indian"/>
    <s v="Chicken Roll"/>
    <s v="Non-Veg"/>
    <n v="4"/>
    <n v="194"/>
    <n v="776"/>
    <n v="56"/>
    <s v="UPI"/>
    <n v="4.4000000000000004"/>
    <x v="9"/>
    <n v="34"/>
    <n v="2024"/>
  </r>
  <r>
    <s v="CUST_268"/>
    <s v="O0495"/>
    <d v="2024-02-16T00:00:00"/>
    <s v="Mumbai"/>
    <s v="Dadar"/>
    <s v="Biryani House"/>
    <s v="Chinese"/>
    <s v="Chicken Roll"/>
    <s v="Non-Veg"/>
    <n v="2"/>
    <n v="245"/>
    <n v="490"/>
    <n v="25"/>
    <s v="COD"/>
    <n v="4"/>
    <x v="8"/>
    <n v="7"/>
    <n v="2024"/>
  </r>
  <r>
    <s v="CUST_268"/>
    <s v="O0496"/>
    <d v="2024-04-17T00:00:00"/>
    <s v="Chennai"/>
    <s v="T Nagar"/>
    <s v="Chinese Bowl"/>
    <s v="Italian"/>
    <s v="Momos"/>
    <s v="Veg"/>
    <n v="2"/>
    <n v="308"/>
    <n v="616"/>
    <n v="28"/>
    <s v="Card"/>
    <n v="3.5"/>
    <x v="2"/>
    <n v="16"/>
    <n v="2024"/>
  </r>
  <r>
    <s v="CUST_269"/>
    <s v="O0497"/>
    <d v="2024-09-23T00:00:00"/>
    <s v="Delhi"/>
    <s v="Karol Bagh"/>
    <s v="South Spice"/>
    <s v="Italian"/>
    <s v="Pasta"/>
    <s v="Veg"/>
    <n v="3"/>
    <n v="167"/>
    <n v="501"/>
    <n v="48"/>
    <s v="COD"/>
    <n v="3.1"/>
    <x v="3"/>
    <n v="39"/>
    <n v="2024"/>
  </r>
  <r>
    <s v="CUST_269"/>
    <s v="O0498"/>
    <d v="2024-01-17T00:00:00"/>
    <s v="Delhi"/>
    <s v="Saket"/>
    <s v="Tandoori Tales"/>
    <s v="South Indian"/>
    <s v="Pasta"/>
    <s v="Veg"/>
    <n v="3"/>
    <n v="122"/>
    <n v="366"/>
    <n v="28"/>
    <s v="Card"/>
    <n v="3.9"/>
    <x v="6"/>
    <n v="3"/>
    <n v="2024"/>
  </r>
  <r>
    <s v="CUST_270"/>
    <s v="O0499"/>
    <d v="2024-01-08T00:00:00"/>
    <s v="Chennai"/>
    <s v="T Nagar"/>
    <s v="South Spice"/>
    <s v="Fast Food"/>
    <s v="Sandwich"/>
    <s v="Veg"/>
    <n v="4"/>
    <n v="298"/>
    <n v="1192"/>
    <n v="20"/>
    <s v="UPI"/>
    <n v="3.9"/>
    <x v="6"/>
    <n v="2"/>
    <n v="2024"/>
  </r>
  <r>
    <s v="CUST_270"/>
    <s v="O0500"/>
    <d v="2024-05-02T00:00:00"/>
    <s v="Bangalore"/>
    <s v="Koramangala"/>
    <s v="Burger Hub"/>
    <s v="South Indian"/>
    <s v="Pizza"/>
    <s v="Veg"/>
    <n v="1"/>
    <n v="458"/>
    <n v="458"/>
    <n v="49"/>
    <s v="UPI"/>
    <n v="3.1"/>
    <x v="5"/>
    <n v="18"/>
    <n v="2024"/>
  </r>
  <r>
    <s v="CUST_271"/>
    <s v="O0501"/>
    <d v="2024-10-14T00:00:00"/>
    <s v="Chennai"/>
    <s v="Anna Nagar"/>
    <s v="Café Delight"/>
    <s v="Italian"/>
    <s v="Momos"/>
    <s v="Veg"/>
    <n v="1"/>
    <n v="461"/>
    <n v="461"/>
    <n v="30"/>
    <s v="UPI"/>
    <n v="4.0999999999999996"/>
    <x v="0"/>
    <n v="42"/>
    <n v="2024"/>
  </r>
  <r>
    <s v="CUST_271"/>
    <s v="O0502"/>
    <d v="2024-07-15T00:00:00"/>
    <s v="Chennai"/>
    <s v="Velachery"/>
    <s v="Grill Masters"/>
    <s v="Chinese"/>
    <s v="Pasta"/>
    <s v="Veg"/>
    <n v="3"/>
    <n v="457"/>
    <n v="1371"/>
    <n v="42"/>
    <s v="UPI"/>
    <n v="3.4"/>
    <x v="1"/>
    <n v="29"/>
    <n v="2024"/>
  </r>
  <r>
    <s v="CUST_271"/>
    <s v="O0503"/>
    <d v="2024-04-30T00:00:00"/>
    <s v="Mumbai"/>
    <s v="Dadar"/>
    <s v="Burger Hub"/>
    <s v="North Indian"/>
    <s v="Veg Burger"/>
    <s v="Veg"/>
    <n v="3"/>
    <n v="373"/>
    <n v="1119"/>
    <n v="32"/>
    <s v="COD"/>
    <n v="4.3"/>
    <x v="2"/>
    <n v="18"/>
    <n v="2024"/>
  </r>
  <r>
    <s v="CUST_271"/>
    <s v="O0504"/>
    <d v="2024-09-20T00:00:00"/>
    <s v="Chennai"/>
    <s v="Velachery"/>
    <s v="Tandoori Tales"/>
    <s v="South Indian"/>
    <s v="Masala Dosa"/>
    <s v="Veg"/>
    <n v="3"/>
    <n v="424"/>
    <n v="1272"/>
    <n v="44"/>
    <s v="Card"/>
    <n v="4.0999999999999996"/>
    <x v="3"/>
    <n v="38"/>
    <n v="2024"/>
  </r>
  <r>
    <s v="CUST_272"/>
    <s v="O0505"/>
    <d v="2024-03-08T00:00:00"/>
    <s v="Mumbai"/>
    <s v="Andheri"/>
    <s v="Chinese Bowl"/>
    <s v="Chinese"/>
    <s v="Momos"/>
    <s v="Veg"/>
    <n v="5"/>
    <n v="313"/>
    <n v="1565"/>
    <n v="30"/>
    <s v="COD"/>
    <n v="4.7"/>
    <x v="4"/>
    <n v="10"/>
    <n v="2024"/>
  </r>
  <r>
    <s v="CUST_272"/>
    <s v="O0506"/>
    <d v="2024-09-03T00:00:00"/>
    <s v="Delhi"/>
    <s v="Connaught Place"/>
    <s v="Urban Meals"/>
    <s v="Indian"/>
    <s v="Momos"/>
    <s v="Veg"/>
    <n v="1"/>
    <n v="431"/>
    <n v="431"/>
    <n v="54"/>
    <s v="Card"/>
    <n v="3"/>
    <x v="3"/>
    <n v="36"/>
    <n v="2024"/>
  </r>
  <r>
    <s v="CUST_272"/>
    <s v="O0507"/>
    <d v="2024-05-20T00:00:00"/>
    <s v="Hyderabad"/>
    <s v="Begumpet"/>
    <s v="Café Delight"/>
    <s v="South Indian"/>
    <s v="Fried Rice"/>
    <s v="Veg"/>
    <n v="4"/>
    <n v="495"/>
    <n v="1980"/>
    <n v="33"/>
    <s v="COD"/>
    <n v="4"/>
    <x v="5"/>
    <n v="21"/>
    <n v="2024"/>
  </r>
  <r>
    <s v="CUST_272"/>
    <s v="O0508"/>
    <d v="2024-03-24T00:00:00"/>
    <s v="Delhi"/>
    <s v="Rohini"/>
    <s v="Grill Masters"/>
    <s v="Italian"/>
    <s v="Sandwich"/>
    <s v="Veg"/>
    <n v="4"/>
    <n v="318"/>
    <n v="1272"/>
    <n v="46"/>
    <s v="COD"/>
    <n v="3.7"/>
    <x v="4"/>
    <n v="13"/>
    <n v="2024"/>
  </r>
  <r>
    <s v="CUST_272"/>
    <s v="O0509"/>
    <d v="2024-01-19T00:00:00"/>
    <s v="Mumbai"/>
    <s v="Andheri"/>
    <s v="Café Delight"/>
    <s v="Chinese"/>
    <s v="Pizza"/>
    <s v="Veg"/>
    <n v="2"/>
    <n v="220"/>
    <n v="440"/>
    <n v="46"/>
    <s v="UPI"/>
    <n v="4.2"/>
    <x v="6"/>
    <n v="3"/>
    <n v="2024"/>
  </r>
  <r>
    <s v="CUST_273"/>
    <s v="O0510"/>
    <d v="2024-04-01T00:00:00"/>
    <s v="Bangalore"/>
    <s v="BTM Layout"/>
    <s v="Urban Meals"/>
    <s v="North Indian"/>
    <s v="Chicken Biryani"/>
    <s v="Non-Veg"/>
    <n v="5"/>
    <n v="158"/>
    <n v="790"/>
    <n v="46"/>
    <s v="COD"/>
    <n v="3.2"/>
    <x v="2"/>
    <n v="14"/>
    <n v="2024"/>
  </r>
  <r>
    <s v="CUST_273"/>
    <s v="O0511"/>
    <d v="2024-10-15T00:00:00"/>
    <s v="Bangalore"/>
    <s v="Whitefield"/>
    <s v="Chinese Bowl"/>
    <s v="Italian"/>
    <s v="Pasta"/>
    <s v="Veg"/>
    <n v="3"/>
    <n v="264"/>
    <n v="792"/>
    <n v="21"/>
    <s v="UPI"/>
    <n v="3.9"/>
    <x v="0"/>
    <n v="42"/>
    <n v="2024"/>
  </r>
  <r>
    <s v="CUST_273"/>
    <s v="O0512"/>
    <d v="2024-05-29T00:00:00"/>
    <s v="Hyderabad"/>
    <s v="Kukatpally"/>
    <s v="South Spice"/>
    <s v="South Indian"/>
    <s v="Paneer Tikka"/>
    <s v="Veg"/>
    <n v="4"/>
    <n v="387"/>
    <n v="1548"/>
    <n v="52"/>
    <s v="COD"/>
    <n v="4"/>
    <x v="5"/>
    <n v="22"/>
    <n v="2024"/>
  </r>
  <r>
    <s v="CUST_273"/>
    <s v="O0513"/>
    <d v="2024-04-30T00:00:00"/>
    <s v="Hyderabad"/>
    <s v="Madhapur"/>
    <s v="Sandwich Stop"/>
    <s v="Chinese"/>
    <s v="Pizza"/>
    <s v="Veg"/>
    <n v="1"/>
    <n v="313"/>
    <n v="313"/>
    <n v="40"/>
    <s v="Card"/>
    <n v="3.7"/>
    <x v="2"/>
    <n v="18"/>
    <n v="2024"/>
  </r>
  <r>
    <s v="CUST_274"/>
    <s v="O0514"/>
    <d v="2024-06-19T00:00:00"/>
    <s v="Mumbai"/>
    <s v="Bandra"/>
    <s v="Biryani House"/>
    <s v="Fast Food"/>
    <s v="Chicken Biryani"/>
    <s v="Non-Veg"/>
    <n v="1"/>
    <n v="241"/>
    <n v="241"/>
    <n v="35"/>
    <s v="Card"/>
    <n v="4.3"/>
    <x v="7"/>
    <n v="25"/>
    <n v="2024"/>
  </r>
  <r>
    <s v="CUST_274"/>
    <s v="O0515"/>
    <d v="2024-02-23T00:00:00"/>
    <s v="Bangalore"/>
    <s v="Indiranagar"/>
    <s v="Sandwich Stop"/>
    <s v="South Indian"/>
    <s v="Sandwich"/>
    <s v="Veg"/>
    <n v="2"/>
    <n v="199"/>
    <n v="398"/>
    <n v="47"/>
    <s v="COD"/>
    <n v="3.6"/>
    <x v="8"/>
    <n v="8"/>
    <n v="2024"/>
  </r>
  <r>
    <s v="CUST_275"/>
    <s v="O0516"/>
    <d v="2024-01-22T00:00:00"/>
    <s v="Mumbai"/>
    <s v="Goregaon"/>
    <s v="Urban Meals"/>
    <s v="Italian"/>
    <s v="Pasta"/>
    <s v="Veg"/>
    <n v="2"/>
    <n v="309"/>
    <n v="618"/>
    <n v="23"/>
    <s v="Card"/>
    <n v="3.6"/>
    <x v="6"/>
    <n v="4"/>
    <n v="2024"/>
  </r>
  <r>
    <s v="CUST_275"/>
    <s v="O0517"/>
    <d v="2024-05-16T00:00:00"/>
    <s v="Delhi"/>
    <s v="Rohini"/>
    <s v="Urban Meals"/>
    <s v="Fast Food"/>
    <s v="Masala Dosa"/>
    <s v="Veg"/>
    <n v="5"/>
    <n v="111"/>
    <n v="555"/>
    <n v="30"/>
    <s v="Card"/>
    <n v="4.0999999999999996"/>
    <x v="5"/>
    <n v="20"/>
    <n v="2024"/>
  </r>
  <r>
    <s v="CUST_275"/>
    <s v="O0518"/>
    <d v="2024-08-29T00:00:00"/>
    <s v="Chennai"/>
    <s v="Anna Nagar"/>
    <s v="Urban Meals"/>
    <s v="Indian"/>
    <s v="Fried Rice"/>
    <s v="Veg"/>
    <n v="5"/>
    <n v="223"/>
    <n v="1115"/>
    <n v="23"/>
    <s v="COD"/>
    <n v="3.7"/>
    <x v="9"/>
    <n v="35"/>
    <n v="2024"/>
  </r>
  <r>
    <s v="CUST_276"/>
    <s v="O0519"/>
    <d v="2024-03-06T00:00:00"/>
    <s v="Mumbai"/>
    <s v="Goregaon"/>
    <s v="Café Delight"/>
    <s v="Indian"/>
    <s v="Pizza"/>
    <s v="Veg"/>
    <n v="2"/>
    <n v="153"/>
    <n v="306"/>
    <n v="24"/>
    <s v="UPI"/>
    <n v="4.2"/>
    <x v="4"/>
    <n v="10"/>
    <n v="2024"/>
  </r>
  <r>
    <s v="CUST_276"/>
    <s v="O0520"/>
    <d v="2024-09-24T00:00:00"/>
    <s v="Delhi"/>
    <s v="Karol Bagh"/>
    <s v="Burger Hub"/>
    <s v="Chinese"/>
    <s v="Fried Rice"/>
    <s v="Veg"/>
    <n v="2"/>
    <n v="291"/>
    <n v="582"/>
    <n v="40"/>
    <s v="Card"/>
    <n v="4.8"/>
    <x v="3"/>
    <n v="39"/>
    <n v="2024"/>
  </r>
  <r>
    <s v="CUST_276"/>
    <s v="O0521"/>
    <d v="2024-07-07T00:00:00"/>
    <s v="Delhi"/>
    <s v="Rohini"/>
    <s v="Biryani House"/>
    <s v="Italian"/>
    <s v="Veg Burger"/>
    <s v="Veg"/>
    <n v="1"/>
    <n v="276"/>
    <n v="276"/>
    <n v="51"/>
    <s v="Card"/>
    <n v="4.0999999999999996"/>
    <x v="1"/>
    <n v="28"/>
    <n v="2024"/>
  </r>
  <r>
    <s v="CUST_276"/>
    <s v="O0522"/>
    <d v="2024-09-30T00:00:00"/>
    <s v="Bangalore"/>
    <s v="Indiranagar"/>
    <s v="Pizza Planet"/>
    <s v="South Indian"/>
    <s v="Fried Rice"/>
    <s v="Veg"/>
    <n v="3"/>
    <n v="389"/>
    <n v="1167"/>
    <n v="41"/>
    <s v="COD"/>
    <n v="3.6"/>
    <x v="3"/>
    <n v="40"/>
    <n v="2024"/>
  </r>
  <r>
    <s v="CUST_276"/>
    <s v="O0523"/>
    <d v="2024-04-30T00:00:00"/>
    <s v="Chennai"/>
    <s v="Anna Nagar"/>
    <s v="South Spice"/>
    <s v="Fast Food"/>
    <s v="Fried Rice"/>
    <s v="Veg"/>
    <n v="2"/>
    <n v="213"/>
    <n v="426"/>
    <n v="27"/>
    <s v="COD"/>
    <n v="3.6"/>
    <x v="2"/>
    <n v="18"/>
    <n v="2024"/>
  </r>
  <r>
    <s v="CUST_277"/>
    <s v="O0524"/>
    <d v="2024-04-27T00:00:00"/>
    <s v="Hyderabad"/>
    <s v="Begumpet"/>
    <s v="Burger Hub"/>
    <s v="Chinese"/>
    <s v="Pizza"/>
    <s v="Veg"/>
    <n v="4"/>
    <n v="448"/>
    <n v="1792"/>
    <n v="40"/>
    <s v="UPI"/>
    <n v="4.5"/>
    <x v="2"/>
    <n v="17"/>
    <n v="2024"/>
  </r>
  <r>
    <s v="CUST_277"/>
    <s v="O0525"/>
    <d v="2024-06-08T00:00:00"/>
    <s v="Delhi"/>
    <s v="Karol Bagh"/>
    <s v="Grill Masters"/>
    <s v="Italian"/>
    <s v="Momos"/>
    <s v="Veg"/>
    <n v="5"/>
    <n v="148"/>
    <n v="740"/>
    <n v="43"/>
    <s v="COD"/>
    <n v="3.9"/>
    <x v="7"/>
    <n v="23"/>
    <n v="2024"/>
  </r>
  <r>
    <s v="CUST_278"/>
    <s v="O0526"/>
    <d v="2024-06-21T00:00:00"/>
    <s v="Mumbai"/>
    <s v="Bandra"/>
    <s v="Café Delight"/>
    <s v="Chinese"/>
    <s v="Sandwich"/>
    <s v="Veg"/>
    <n v="5"/>
    <n v="269"/>
    <n v="1345"/>
    <n v="21"/>
    <s v="Card"/>
    <n v="4.3"/>
    <x v="7"/>
    <n v="25"/>
    <n v="2024"/>
  </r>
  <r>
    <s v="CUST_278"/>
    <s v="O0527"/>
    <d v="2024-01-28T00:00:00"/>
    <s v="Bangalore"/>
    <s v="Indiranagar"/>
    <s v="Urban Meals"/>
    <s v="Indian"/>
    <s v="Veg Burger"/>
    <s v="Veg"/>
    <n v="1"/>
    <n v="471"/>
    <n v="471"/>
    <n v="38"/>
    <s v="Card"/>
    <n v="3.4"/>
    <x v="6"/>
    <n v="5"/>
    <n v="2024"/>
  </r>
  <r>
    <s v="CUST_278"/>
    <s v="O0528"/>
    <d v="2024-09-18T00:00:00"/>
    <s v="Hyderabad"/>
    <s v="Begumpet"/>
    <s v="Grill Masters"/>
    <s v="Indian"/>
    <s v="Fried Rice"/>
    <s v="Veg"/>
    <n v="4"/>
    <n v="105"/>
    <n v="420"/>
    <n v="28"/>
    <s v="Card"/>
    <n v="4.8"/>
    <x v="3"/>
    <n v="38"/>
    <n v="2024"/>
  </r>
  <r>
    <s v="CUST_279"/>
    <s v="O0529"/>
    <d v="2024-03-16T00:00:00"/>
    <s v="Delhi"/>
    <s v="Dwarka"/>
    <s v="Urban Meals"/>
    <s v="Fast Food"/>
    <s v="Sandwich"/>
    <s v="Veg"/>
    <n v="3"/>
    <n v="334"/>
    <n v="1002"/>
    <n v="54"/>
    <s v="COD"/>
    <n v="4.7"/>
    <x v="4"/>
    <n v="11"/>
    <n v="2024"/>
  </r>
  <r>
    <s v="CUST_279"/>
    <s v="O0530"/>
    <d v="2024-08-08T00:00:00"/>
    <s v="Chennai"/>
    <s v="T Nagar"/>
    <s v="Pizza Planet"/>
    <s v="South Indian"/>
    <s v="Sandwich"/>
    <s v="Veg"/>
    <n v="3"/>
    <n v="316"/>
    <n v="948"/>
    <n v="46"/>
    <s v="UPI"/>
    <n v="4.8"/>
    <x v="9"/>
    <n v="32"/>
    <n v="2024"/>
  </r>
  <r>
    <s v="CUST_279"/>
    <s v="O0531"/>
    <d v="2024-04-08T00:00:00"/>
    <s v="Hyderabad"/>
    <s v="Begumpet"/>
    <s v="Biryani House"/>
    <s v="South Indian"/>
    <s v="Momos"/>
    <s v="Veg"/>
    <n v="5"/>
    <n v="349"/>
    <n v="1745"/>
    <n v="38"/>
    <s v="COD"/>
    <n v="3.5"/>
    <x v="2"/>
    <n v="15"/>
    <n v="2024"/>
  </r>
  <r>
    <s v="CUST_279"/>
    <s v="O0532"/>
    <d v="2024-09-23T00:00:00"/>
    <s v="Mumbai"/>
    <s v="Powai"/>
    <s v="Café Delight"/>
    <s v="Italian"/>
    <s v="Pizza"/>
    <s v="Veg"/>
    <n v="5"/>
    <n v="139"/>
    <n v="695"/>
    <n v="28"/>
    <s v="UPI"/>
    <n v="4"/>
    <x v="3"/>
    <n v="39"/>
    <n v="2024"/>
  </r>
  <r>
    <s v="CUST_280"/>
    <s v="O0533"/>
    <d v="2024-10-12T00:00:00"/>
    <s v="Mumbai"/>
    <s v="Andheri"/>
    <s v="Burger Hub"/>
    <s v="South Indian"/>
    <s v="Paneer Tikka"/>
    <s v="Veg"/>
    <n v="1"/>
    <n v="491"/>
    <n v="491"/>
    <n v="57"/>
    <s v="UPI"/>
    <n v="3.9"/>
    <x v="0"/>
    <n v="41"/>
    <n v="2024"/>
  </r>
  <r>
    <s v="CUST_280"/>
    <s v="O0534"/>
    <d v="2024-07-04T00:00:00"/>
    <s v="Bangalore"/>
    <s v="Whitefield"/>
    <s v="Biryani House"/>
    <s v="North Indian"/>
    <s v="Sandwich"/>
    <s v="Veg"/>
    <n v="4"/>
    <n v="481"/>
    <n v="1924"/>
    <n v="51"/>
    <s v="UPI"/>
    <n v="3.7"/>
    <x v="1"/>
    <n v="27"/>
    <n v="2024"/>
  </r>
  <r>
    <s v="CUST_281"/>
    <s v="O0535"/>
    <d v="2024-04-17T00:00:00"/>
    <s v="Delhi"/>
    <s v="Rohini"/>
    <s v="Urban Meals"/>
    <s v="South Indian"/>
    <s v="Veg Burger"/>
    <s v="Veg"/>
    <n v="4"/>
    <n v="402"/>
    <n v="1608"/>
    <n v="41"/>
    <s v="UPI"/>
    <n v="4.2"/>
    <x v="2"/>
    <n v="16"/>
    <n v="2024"/>
  </r>
  <r>
    <s v="CUST_281"/>
    <s v="O0536"/>
    <d v="2024-06-25T00:00:00"/>
    <s v="Chennai"/>
    <s v="Adyar"/>
    <s v="Café Delight"/>
    <s v="South Indian"/>
    <s v="Masala Dosa"/>
    <s v="Veg"/>
    <n v="4"/>
    <n v="133"/>
    <n v="532"/>
    <n v="21"/>
    <s v="COD"/>
    <n v="3.6"/>
    <x v="7"/>
    <n v="26"/>
    <n v="2024"/>
  </r>
  <r>
    <s v="CUST_281"/>
    <s v="O0537"/>
    <d v="2024-05-30T00:00:00"/>
    <s v="Bangalore"/>
    <s v="Jayanagar"/>
    <s v="Burger Hub"/>
    <s v="Chinese"/>
    <s v="Sandwich"/>
    <s v="Veg"/>
    <n v="3"/>
    <n v="185"/>
    <n v="555"/>
    <n v="46"/>
    <s v="Card"/>
    <n v="4"/>
    <x v="5"/>
    <n v="22"/>
    <n v="2024"/>
  </r>
  <r>
    <s v="CUST_282"/>
    <s v="O0538"/>
    <d v="2024-10-01T00:00:00"/>
    <s v="Mumbai"/>
    <s v="Goregaon"/>
    <s v="Pizza Planet"/>
    <s v="North Indian"/>
    <s v="Veg Burger"/>
    <s v="Veg"/>
    <n v="3"/>
    <n v="329"/>
    <n v="987"/>
    <n v="39"/>
    <s v="COD"/>
    <n v="4.5"/>
    <x v="0"/>
    <n v="40"/>
    <n v="2024"/>
  </r>
  <r>
    <s v="CUST_282"/>
    <s v="O0539"/>
    <d v="2024-01-17T00:00:00"/>
    <s v="Mumbai"/>
    <s v="Bandra"/>
    <s v="Pizza Planet"/>
    <s v="Italian"/>
    <s v="Chicken Biryani"/>
    <s v="Non-Veg"/>
    <n v="1"/>
    <n v="298"/>
    <n v="298"/>
    <n v="47"/>
    <s v="COD"/>
    <n v="4.7"/>
    <x v="6"/>
    <n v="3"/>
    <n v="2024"/>
  </r>
  <r>
    <s v="CUST_282"/>
    <s v="O0540"/>
    <d v="2024-05-31T00:00:00"/>
    <s v="Bangalore"/>
    <s v="Jayanagar"/>
    <s v="Urban Meals"/>
    <s v="Indian"/>
    <s v="Pizza"/>
    <s v="Veg"/>
    <n v="3"/>
    <n v="305"/>
    <n v="915"/>
    <n v="55"/>
    <s v="UPI"/>
    <n v="3.3"/>
    <x v="5"/>
    <n v="22"/>
    <n v="2024"/>
  </r>
  <r>
    <s v="CUST_282"/>
    <s v="O0541"/>
    <d v="2024-07-12T00:00:00"/>
    <s v="Delhi"/>
    <s v="Saket"/>
    <s v="Biryani House"/>
    <s v="North Indian"/>
    <s v="Fried Rice"/>
    <s v="Veg"/>
    <n v="5"/>
    <n v="227"/>
    <n v="1135"/>
    <n v="28"/>
    <s v="Card"/>
    <n v="3.4"/>
    <x v="1"/>
    <n v="28"/>
    <n v="2024"/>
  </r>
  <r>
    <s v="CUST_282"/>
    <s v="O0542"/>
    <d v="2024-01-11T00:00:00"/>
    <s v="Chennai"/>
    <s v="Tambaram"/>
    <s v="Tandoori Tales"/>
    <s v="South Indian"/>
    <s v="Fried Rice"/>
    <s v="Veg"/>
    <n v="4"/>
    <n v="131"/>
    <n v="524"/>
    <n v="44"/>
    <s v="UPI"/>
    <n v="3.3"/>
    <x v="6"/>
    <n v="2"/>
    <n v="2024"/>
  </r>
  <r>
    <s v="CUST_283"/>
    <s v="O0543"/>
    <d v="2024-04-04T00:00:00"/>
    <s v="Mumbai"/>
    <s v="Goregaon"/>
    <s v="Sandwich Stop"/>
    <s v="Italian"/>
    <s v="Momos"/>
    <s v="Veg"/>
    <n v="3"/>
    <n v="272"/>
    <n v="816"/>
    <n v="42"/>
    <s v="UPI"/>
    <n v="3.4"/>
    <x v="2"/>
    <n v="14"/>
    <n v="2024"/>
  </r>
  <r>
    <s v="CUST_283"/>
    <s v="O0544"/>
    <d v="2024-07-21T00:00:00"/>
    <s v="Chennai"/>
    <s v="T Nagar"/>
    <s v="Sandwich Stop"/>
    <s v="South Indian"/>
    <s v="Pasta"/>
    <s v="Veg"/>
    <n v="4"/>
    <n v="273"/>
    <n v="1092"/>
    <n v="42"/>
    <s v="UPI"/>
    <n v="5"/>
    <x v="1"/>
    <n v="30"/>
    <n v="2024"/>
  </r>
  <r>
    <s v="CUST_283"/>
    <s v="O0545"/>
    <d v="2024-10-16T00:00:00"/>
    <s v="Delhi"/>
    <s v="Dwarka"/>
    <s v="Pizza Planet"/>
    <s v="Chinese"/>
    <s v="Chicken Biryani"/>
    <s v="Non-Veg"/>
    <n v="2"/>
    <n v="433"/>
    <n v="866"/>
    <n v="59"/>
    <s v="COD"/>
    <n v="4.2"/>
    <x v="0"/>
    <n v="42"/>
    <n v="2024"/>
  </r>
  <r>
    <s v="CUST_283"/>
    <s v="O0546"/>
    <d v="2024-09-11T00:00:00"/>
    <s v="Bangalore"/>
    <s v="Jayanagar"/>
    <s v="Burger Hub"/>
    <s v="Fast Food"/>
    <s v="Veg Burger"/>
    <s v="Veg"/>
    <n v="5"/>
    <n v="445"/>
    <n v="2225"/>
    <n v="39"/>
    <s v="Card"/>
    <n v="3.4"/>
    <x v="3"/>
    <n v="37"/>
    <n v="2024"/>
  </r>
  <r>
    <s v="CUST_284"/>
    <s v="O0547"/>
    <d v="2024-04-07T00:00:00"/>
    <s v="Hyderabad"/>
    <s v="Kukatpally"/>
    <s v="Café Delight"/>
    <s v="Chinese"/>
    <s v="Paneer Tikka"/>
    <s v="Veg"/>
    <n v="2"/>
    <n v="418"/>
    <n v="836"/>
    <n v="20"/>
    <s v="Card"/>
    <n v="4.7"/>
    <x v="2"/>
    <n v="15"/>
    <n v="2024"/>
  </r>
  <r>
    <s v="CUST_284"/>
    <s v="O0548"/>
    <d v="2024-07-09T00:00:00"/>
    <s v="Hyderabad"/>
    <s v="Begumpet"/>
    <s v="Sandwich Stop"/>
    <s v="Chinese"/>
    <s v="Sandwich"/>
    <s v="Veg"/>
    <n v="2"/>
    <n v="214"/>
    <n v="428"/>
    <n v="21"/>
    <s v="COD"/>
    <n v="4.7"/>
    <x v="1"/>
    <n v="28"/>
    <n v="2024"/>
  </r>
  <r>
    <s v="CUST_284"/>
    <s v="O0549"/>
    <d v="2024-04-29T00:00:00"/>
    <s v="Chennai"/>
    <s v="Tambaram"/>
    <s v="Pizza Planet"/>
    <s v="South Indian"/>
    <s v="Chicken Roll"/>
    <s v="Non-Veg"/>
    <n v="1"/>
    <n v="336"/>
    <n v="336"/>
    <n v="40"/>
    <s v="UPI"/>
    <n v="4.8"/>
    <x v="2"/>
    <n v="18"/>
    <n v="2024"/>
  </r>
  <r>
    <s v="CUST_284"/>
    <s v="O0550"/>
    <d v="2024-06-24T00:00:00"/>
    <s v="Bangalore"/>
    <s v="Jayanagar"/>
    <s v="Biryani House"/>
    <s v="Chinese"/>
    <s v="Chicken Biryani"/>
    <s v="Non-Veg"/>
    <n v="3"/>
    <n v="464"/>
    <n v="1392"/>
    <n v="56"/>
    <s v="Card"/>
    <n v="4.5"/>
    <x v="7"/>
    <n v="26"/>
    <n v="2024"/>
  </r>
  <r>
    <s v="CUST_284"/>
    <s v="O0551"/>
    <d v="2024-07-16T00:00:00"/>
    <s v="Chennai"/>
    <s v="Velachery"/>
    <s v="Biryani House"/>
    <s v="Chinese"/>
    <s v="Veg Burger"/>
    <s v="Veg"/>
    <n v="1"/>
    <n v="395"/>
    <n v="395"/>
    <n v="41"/>
    <s v="UPI"/>
    <n v="4.8"/>
    <x v="1"/>
    <n v="29"/>
    <n v="2024"/>
  </r>
  <r>
    <s v="CUST_285"/>
    <s v="O0552"/>
    <d v="2024-04-22T00:00:00"/>
    <s v="Bangalore"/>
    <s v="Indiranagar"/>
    <s v="Chinese Bowl"/>
    <s v="Italian"/>
    <s v="Masala Dosa"/>
    <s v="Veg"/>
    <n v="5"/>
    <n v="432"/>
    <n v="2160"/>
    <n v="41"/>
    <s v="UPI"/>
    <n v="3.4"/>
    <x v="2"/>
    <n v="17"/>
    <n v="2024"/>
  </r>
  <r>
    <s v="CUST_285"/>
    <s v="O0553"/>
    <d v="2024-02-01T00:00:00"/>
    <s v="Hyderabad"/>
    <s v="Madhapur"/>
    <s v="Pizza Planet"/>
    <s v="Indian"/>
    <s v="Pasta"/>
    <s v="Veg"/>
    <n v="1"/>
    <n v="394"/>
    <n v="394"/>
    <n v="46"/>
    <s v="UPI"/>
    <n v="4.4000000000000004"/>
    <x v="8"/>
    <n v="5"/>
    <n v="2024"/>
  </r>
  <r>
    <s v="CUST_285"/>
    <s v="O0554"/>
    <d v="2024-10-16T00:00:00"/>
    <s v="Delhi"/>
    <s v="Dwarka"/>
    <s v="Burger Hub"/>
    <s v="Italian"/>
    <s v="Fried Rice"/>
    <s v="Veg"/>
    <n v="4"/>
    <n v="264"/>
    <n v="1056"/>
    <n v="55"/>
    <s v="COD"/>
    <n v="4"/>
    <x v="0"/>
    <n v="42"/>
    <n v="2024"/>
  </r>
  <r>
    <s v="CUST_285"/>
    <s v="O0555"/>
    <d v="2024-05-19T00:00:00"/>
    <s v="Hyderabad"/>
    <s v="Secunderabad"/>
    <s v="Biryani House"/>
    <s v="Indian"/>
    <s v="Fried Rice"/>
    <s v="Veg"/>
    <n v="3"/>
    <n v="256"/>
    <n v="768"/>
    <n v="43"/>
    <s v="COD"/>
    <n v="3.9"/>
    <x v="5"/>
    <n v="21"/>
    <n v="2024"/>
  </r>
  <r>
    <s v="CUST_286"/>
    <s v="O0556"/>
    <d v="2024-09-10T00:00:00"/>
    <s v="Hyderabad"/>
    <s v="Madhapur"/>
    <s v="Chinese Bowl"/>
    <s v="Chinese"/>
    <s v="Paneer Tikka"/>
    <s v="Veg"/>
    <n v="4"/>
    <n v="178"/>
    <n v="712"/>
    <n v="53"/>
    <s v="Card"/>
    <n v="4.8"/>
    <x v="3"/>
    <n v="37"/>
    <n v="2024"/>
  </r>
  <r>
    <s v="CUST_286"/>
    <s v="O0557"/>
    <d v="2024-03-21T00:00:00"/>
    <s v="Hyderabad"/>
    <s v="Begumpet"/>
    <s v="Chinese Bowl"/>
    <s v="Italian"/>
    <s v="Veg Burger"/>
    <s v="Veg"/>
    <n v="1"/>
    <n v="481"/>
    <n v="481"/>
    <n v="41"/>
    <s v="UPI"/>
    <n v="4.0999999999999996"/>
    <x v="4"/>
    <n v="12"/>
    <n v="2024"/>
  </r>
  <r>
    <s v="CUST_287"/>
    <s v="O0558"/>
    <d v="2024-07-17T00:00:00"/>
    <s v="Bangalore"/>
    <s v="Indiranagar"/>
    <s v="Sandwich Stop"/>
    <s v="North Indian"/>
    <s v="Sandwich"/>
    <s v="Veg"/>
    <n v="3"/>
    <n v="200"/>
    <n v="600"/>
    <n v="36"/>
    <s v="COD"/>
    <n v="3.5"/>
    <x v="1"/>
    <n v="29"/>
    <n v="2024"/>
  </r>
  <r>
    <s v="CUST_287"/>
    <s v="O0559"/>
    <d v="2024-10-22T00:00:00"/>
    <s v="Hyderabad"/>
    <s v="Banjara Hills"/>
    <s v="South Spice"/>
    <s v="South Indian"/>
    <s v="Paneer Tikka"/>
    <s v="Veg"/>
    <n v="2"/>
    <n v="441"/>
    <n v="882"/>
    <n v="36"/>
    <s v="Card"/>
    <n v="4"/>
    <x v="0"/>
    <n v="43"/>
    <n v="2024"/>
  </r>
  <r>
    <s v="CUST_287"/>
    <s v="O0560"/>
    <d v="2024-10-02T00:00:00"/>
    <s v="Mumbai"/>
    <s v="Goregaon"/>
    <s v="Biryani House"/>
    <s v="North Indian"/>
    <s v="Veg Burger"/>
    <s v="Veg"/>
    <n v="4"/>
    <n v="441"/>
    <n v="1764"/>
    <n v="28"/>
    <s v="COD"/>
    <n v="4"/>
    <x v="0"/>
    <n v="40"/>
    <n v="2024"/>
  </r>
  <r>
    <s v="CUST_287"/>
    <s v="O0561"/>
    <d v="2024-05-25T00:00:00"/>
    <s v="Mumbai"/>
    <s v="Powai"/>
    <s v="Grill Masters"/>
    <s v="Chinese"/>
    <s v="Masala Dosa"/>
    <s v="Veg"/>
    <n v="3"/>
    <n v="251"/>
    <n v="753"/>
    <n v="33"/>
    <s v="UPI"/>
    <n v="4.7"/>
    <x v="5"/>
    <n v="21"/>
    <n v="2024"/>
  </r>
  <r>
    <s v="CUST_287"/>
    <s v="O0562"/>
    <d v="2024-04-07T00:00:00"/>
    <s v="Bangalore"/>
    <s v="Koramangala"/>
    <s v="Sandwich Stop"/>
    <s v="Indian"/>
    <s v="Chicken Roll"/>
    <s v="Non-Veg"/>
    <n v="2"/>
    <n v="180"/>
    <n v="360"/>
    <n v="30"/>
    <s v="Card"/>
    <n v="3.9"/>
    <x v="2"/>
    <n v="15"/>
    <n v="2024"/>
  </r>
  <r>
    <s v="CUST_288"/>
    <s v="O0563"/>
    <d v="2024-01-04T00:00:00"/>
    <s v="Mumbai"/>
    <s v="Bandra"/>
    <s v="Chinese Bowl"/>
    <s v="Indian"/>
    <s v="Pasta"/>
    <s v="Veg"/>
    <n v="2"/>
    <n v="421"/>
    <n v="842"/>
    <n v="34"/>
    <s v="Card"/>
    <n v="4.4000000000000004"/>
    <x v="6"/>
    <n v="1"/>
    <n v="2024"/>
  </r>
  <r>
    <s v="CUST_288"/>
    <s v="O0564"/>
    <d v="2024-08-31T00:00:00"/>
    <s v="Delhi"/>
    <s v="Dwarka"/>
    <s v="Burger Hub"/>
    <s v="Indian"/>
    <s v="Sandwich"/>
    <s v="Veg"/>
    <n v="4"/>
    <n v="213"/>
    <n v="852"/>
    <n v="40"/>
    <s v="COD"/>
    <n v="3.6"/>
    <x v="9"/>
    <n v="35"/>
    <n v="2024"/>
  </r>
  <r>
    <s v="CUST_288"/>
    <s v="O0565"/>
    <d v="2024-09-23T00:00:00"/>
    <s v="Bangalore"/>
    <s v="Koramangala"/>
    <s v="Urban Meals"/>
    <s v="Chinese"/>
    <s v="Chicken Roll"/>
    <s v="Non-Veg"/>
    <n v="1"/>
    <n v="322"/>
    <n v="322"/>
    <n v="24"/>
    <s v="Card"/>
    <n v="4.2"/>
    <x v="3"/>
    <n v="39"/>
    <n v="2024"/>
  </r>
  <r>
    <s v="CUST_288"/>
    <s v="O0566"/>
    <d v="2024-03-06T00:00:00"/>
    <s v="Delhi"/>
    <s v="Rohini"/>
    <s v="Chinese Bowl"/>
    <s v="Fast Food"/>
    <s v="Momos"/>
    <s v="Veg"/>
    <n v="2"/>
    <n v="166"/>
    <n v="332"/>
    <n v="33"/>
    <s v="COD"/>
    <n v="4.2"/>
    <x v="4"/>
    <n v="10"/>
    <n v="2024"/>
  </r>
  <r>
    <s v="CUST_288"/>
    <s v="O0567"/>
    <d v="2024-04-16T00:00:00"/>
    <s v="Delhi"/>
    <s v="Saket"/>
    <s v="Burger Hub"/>
    <s v="North Indian"/>
    <s v="Sandwich"/>
    <s v="Veg"/>
    <n v="2"/>
    <n v="305"/>
    <n v="610"/>
    <n v="37"/>
    <s v="COD"/>
    <n v="4.0999999999999996"/>
    <x v="2"/>
    <n v="16"/>
    <n v="2024"/>
  </r>
  <r>
    <s v="CUST_289"/>
    <s v="O0568"/>
    <d v="2024-01-07T00:00:00"/>
    <s v="Mumbai"/>
    <s v="Bandra"/>
    <s v="Pizza Planet"/>
    <s v="Chinese"/>
    <s v="Pizza"/>
    <s v="Veg"/>
    <n v="2"/>
    <n v="280"/>
    <n v="560"/>
    <n v="32"/>
    <s v="COD"/>
    <n v="4.2"/>
    <x v="6"/>
    <n v="2"/>
    <n v="2024"/>
  </r>
  <r>
    <s v="CUST_289"/>
    <s v="O0569"/>
    <d v="2024-06-26T00:00:00"/>
    <s v="Mumbai"/>
    <s v="Bandra"/>
    <s v="Pizza Planet"/>
    <s v="North Indian"/>
    <s v="Veg Burger"/>
    <s v="Veg"/>
    <n v="1"/>
    <n v="408"/>
    <n v="408"/>
    <n v="51"/>
    <s v="UPI"/>
    <n v="4.0999999999999996"/>
    <x v="7"/>
    <n v="26"/>
    <n v="2024"/>
  </r>
  <r>
    <s v="CUST_289"/>
    <s v="O0570"/>
    <d v="2024-08-10T00:00:00"/>
    <s v="Mumbai"/>
    <s v="Powai"/>
    <s v="Burger Hub"/>
    <s v="Fast Food"/>
    <s v="Pasta"/>
    <s v="Veg"/>
    <n v="4"/>
    <n v="203"/>
    <n v="812"/>
    <n v="58"/>
    <s v="Card"/>
    <n v="3.3"/>
    <x v="9"/>
    <n v="32"/>
    <n v="2024"/>
  </r>
  <r>
    <s v="CUST_289"/>
    <s v="O0571"/>
    <d v="2024-04-14T00:00:00"/>
    <s v="Chennai"/>
    <s v="Anna Nagar"/>
    <s v="Pizza Planet"/>
    <s v="Indian"/>
    <s v="Masala Dosa"/>
    <s v="Veg"/>
    <n v="5"/>
    <n v="487"/>
    <n v="2435"/>
    <n v="48"/>
    <s v="COD"/>
    <n v="4.4000000000000004"/>
    <x v="2"/>
    <n v="16"/>
    <n v="2024"/>
  </r>
  <r>
    <s v="CUST_290"/>
    <s v="O0572"/>
    <d v="2024-02-01T00:00:00"/>
    <s v="Bangalore"/>
    <s v="Indiranagar"/>
    <s v="Biryani House"/>
    <s v="South Indian"/>
    <s v="Paneer Tikka"/>
    <s v="Veg"/>
    <n v="1"/>
    <n v="292"/>
    <n v="292"/>
    <n v="21"/>
    <s v="UPI"/>
    <n v="3.8"/>
    <x v="8"/>
    <n v="5"/>
    <n v="2024"/>
  </r>
  <r>
    <s v="CUST_290"/>
    <s v="O0573"/>
    <d v="2024-09-21T00:00:00"/>
    <s v="Delhi"/>
    <s v="Rohini"/>
    <s v="Sandwich Stop"/>
    <s v="Italian"/>
    <s v="Momos"/>
    <s v="Veg"/>
    <n v="3"/>
    <n v="401"/>
    <n v="1203"/>
    <n v="40"/>
    <s v="UPI"/>
    <n v="4.2"/>
    <x v="3"/>
    <n v="38"/>
    <n v="2024"/>
  </r>
  <r>
    <s v="CUST_290"/>
    <s v="O0574"/>
    <d v="2024-05-15T00:00:00"/>
    <s v="Bangalore"/>
    <s v="Jayanagar"/>
    <s v="Burger Hub"/>
    <s v="Italian"/>
    <s v="Veg Burger"/>
    <s v="Veg"/>
    <n v="4"/>
    <n v="392"/>
    <n v="1568"/>
    <n v="20"/>
    <s v="COD"/>
    <n v="4.0999999999999996"/>
    <x v="5"/>
    <n v="20"/>
    <n v="2024"/>
  </r>
  <r>
    <s v="CUST_291"/>
    <s v="O0575"/>
    <d v="2024-09-16T00:00:00"/>
    <s v="Bangalore"/>
    <s v="Jayanagar"/>
    <s v="Chinese Bowl"/>
    <s v="Italian"/>
    <s v="Paneer Tikka"/>
    <s v="Veg"/>
    <n v="5"/>
    <n v="146"/>
    <n v="730"/>
    <n v="53"/>
    <s v="COD"/>
    <n v="3.8"/>
    <x v="3"/>
    <n v="38"/>
    <n v="2024"/>
  </r>
  <r>
    <s v="CUST_291"/>
    <s v="O0576"/>
    <d v="2024-04-19T00:00:00"/>
    <s v="Bangalore"/>
    <s v="Koramangala"/>
    <s v="Café Delight"/>
    <s v="Indian"/>
    <s v="Pizza"/>
    <s v="Veg"/>
    <n v="4"/>
    <n v="199"/>
    <n v="796"/>
    <n v="27"/>
    <s v="Card"/>
    <n v="3.6"/>
    <x v="2"/>
    <n v="16"/>
    <n v="2024"/>
  </r>
  <r>
    <s v="CUST_292"/>
    <s v="O0577"/>
    <d v="2024-02-14T00:00:00"/>
    <s v="Delhi"/>
    <s v="Karol Bagh"/>
    <s v="Pizza Planet"/>
    <s v="Indian"/>
    <s v="Chicken Biryani"/>
    <s v="Non-Veg"/>
    <n v="1"/>
    <n v="137"/>
    <n v="137"/>
    <n v="20"/>
    <s v="COD"/>
    <n v="4.9000000000000004"/>
    <x v="8"/>
    <n v="7"/>
    <n v="2024"/>
  </r>
  <r>
    <s v="CUST_292"/>
    <s v="O0578"/>
    <d v="2024-04-10T00:00:00"/>
    <s v="Delhi"/>
    <s v="Rohini"/>
    <s v="South Spice"/>
    <s v="Italian"/>
    <s v="Sandwich"/>
    <s v="Veg"/>
    <n v="3"/>
    <n v="139"/>
    <n v="417"/>
    <n v="51"/>
    <s v="UPI"/>
    <n v="4.0999999999999996"/>
    <x v="2"/>
    <n v="15"/>
    <n v="2024"/>
  </r>
  <r>
    <s v="CUST_292"/>
    <s v="O0579"/>
    <d v="2024-01-23T00:00:00"/>
    <s v="Delhi"/>
    <s v="Rohini"/>
    <s v="Burger Hub"/>
    <s v="Italian"/>
    <s v="Paneer Tikka"/>
    <s v="Veg"/>
    <n v="4"/>
    <n v="108"/>
    <n v="432"/>
    <n v="29"/>
    <s v="COD"/>
    <n v="3.9"/>
    <x v="6"/>
    <n v="4"/>
    <n v="2024"/>
  </r>
  <r>
    <s v="CUST_292"/>
    <s v="O0580"/>
    <d v="2024-08-08T00:00:00"/>
    <s v="Chennai"/>
    <s v="Velachery"/>
    <s v="Biryani House"/>
    <s v="Fast Food"/>
    <s v="Paneer Tikka"/>
    <s v="Veg"/>
    <n v="4"/>
    <n v="332"/>
    <n v="1328"/>
    <n v="30"/>
    <s v="UPI"/>
    <n v="3.6"/>
    <x v="9"/>
    <n v="32"/>
    <n v="2024"/>
  </r>
  <r>
    <s v="CUST_292"/>
    <s v="O0581"/>
    <d v="2024-06-15T00:00:00"/>
    <s v="Hyderabad"/>
    <s v="Kukatpally"/>
    <s v="South Spice"/>
    <s v="North Indian"/>
    <s v="Momos"/>
    <s v="Veg"/>
    <n v="2"/>
    <n v="146"/>
    <n v="292"/>
    <n v="50"/>
    <s v="COD"/>
    <n v="4.9000000000000004"/>
    <x v="7"/>
    <n v="24"/>
    <n v="2024"/>
  </r>
  <r>
    <s v="CUST_293"/>
    <s v="O0582"/>
    <d v="2024-08-02T00:00:00"/>
    <s v="Delhi"/>
    <s v="Saket"/>
    <s v="Tandoori Tales"/>
    <s v="Italian"/>
    <s v="Pasta"/>
    <s v="Veg"/>
    <n v="4"/>
    <n v="126"/>
    <n v="504"/>
    <n v="21"/>
    <s v="COD"/>
    <n v="3.1"/>
    <x v="9"/>
    <n v="31"/>
    <n v="2024"/>
  </r>
  <r>
    <s v="CUST_293"/>
    <s v="O0583"/>
    <d v="2024-03-30T00:00:00"/>
    <s v="Mumbai"/>
    <s v="Goregaon"/>
    <s v="Tandoori Tales"/>
    <s v="Fast Food"/>
    <s v="Paneer Tikka"/>
    <s v="Veg"/>
    <n v="5"/>
    <n v="203"/>
    <n v="1015"/>
    <n v="29"/>
    <s v="Card"/>
    <n v="4.3"/>
    <x v="4"/>
    <n v="13"/>
    <n v="2024"/>
  </r>
  <r>
    <s v="CUST_293"/>
    <s v="O0584"/>
    <d v="2024-04-08T00:00:00"/>
    <s v="Bangalore"/>
    <s v="Whitefield"/>
    <s v="Chinese Bowl"/>
    <s v="Italian"/>
    <s v="Sandwich"/>
    <s v="Veg"/>
    <n v="4"/>
    <n v="119"/>
    <n v="476"/>
    <n v="30"/>
    <s v="COD"/>
    <n v="4.9000000000000004"/>
    <x v="2"/>
    <n v="15"/>
    <n v="2024"/>
  </r>
  <r>
    <s v="CUST_293"/>
    <s v="O0585"/>
    <d v="2024-08-19T00:00:00"/>
    <s v="Bangalore"/>
    <s v="Jayanagar"/>
    <s v="Tandoori Tales"/>
    <s v="Fast Food"/>
    <s v="Momos"/>
    <s v="Veg"/>
    <n v="2"/>
    <n v="349"/>
    <n v="698"/>
    <n v="31"/>
    <s v="COD"/>
    <n v="3.5"/>
    <x v="9"/>
    <n v="34"/>
    <n v="2024"/>
  </r>
  <r>
    <s v="CUST_294"/>
    <s v="O0586"/>
    <d v="2024-07-24T00:00:00"/>
    <s v="Mumbai"/>
    <s v="Andheri"/>
    <s v="Burger Hub"/>
    <s v="Indian"/>
    <s v="Pasta"/>
    <s v="Veg"/>
    <n v="2"/>
    <n v="481"/>
    <n v="962"/>
    <n v="58"/>
    <s v="UPI"/>
    <n v="3.9"/>
    <x v="1"/>
    <n v="30"/>
    <n v="2024"/>
  </r>
  <r>
    <s v="CUST_294"/>
    <s v="O0587"/>
    <d v="2024-08-19T00:00:00"/>
    <s v="Hyderabad"/>
    <s v="Banjara Hills"/>
    <s v="Café Delight"/>
    <s v="Fast Food"/>
    <s v="Veg Burger"/>
    <s v="Veg"/>
    <n v="3"/>
    <n v="389"/>
    <n v="1167"/>
    <n v="48"/>
    <s v="Card"/>
    <n v="3.2"/>
    <x v="9"/>
    <n v="34"/>
    <n v="2024"/>
  </r>
  <r>
    <s v="CUST_294"/>
    <s v="O0588"/>
    <d v="2024-04-25T00:00:00"/>
    <s v="Chennai"/>
    <s v="Tambaram"/>
    <s v="Pizza Planet"/>
    <s v="North Indian"/>
    <s v="Momos"/>
    <s v="Veg"/>
    <n v="1"/>
    <n v="259"/>
    <n v="259"/>
    <n v="44"/>
    <s v="UPI"/>
    <n v="3.6"/>
    <x v="2"/>
    <n v="17"/>
    <n v="2024"/>
  </r>
  <r>
    <s v="CUST_294"/>
    <s v="O0589"/>
    <d v="2024-06-20T00:00:00"/>
    <s v="Mumbai"/>
    <s v="Goregaon"/>
    <s v="Burger Hub"/>
    <s v="Indian"/>
    <s v="Momos"/>
    <s v="Veg"/>
    <n v="2"/>
    <n v="151"/>
    <n v="302"/>
    <n v="55"/>
    <s v="COD"/>
    <n v="3.9"/>
    <x v="7"/>
    <n v="25"/>
    <n v="2024"/>
  </r>
  <r>
    <s v="CUST_295"/>
    <s v="O0590"/>
    <d v="2024-02-13T00:00:00"/>
    <s v="Chennai"/>
    <s v="T Nagar"/>
    <s v="Tandoori Tales"/>
    <s v="Chinese"/>
    <s v="Masala Dosa"/>
    <s v="Veg"/>
    <n v="3"/>
    <n v="407"/>
    <n v="1221"/>
    <n v="55"/>
    <s v="UPI"/>
    <n v="3.9"/>
    <x v="8"/>
    <n v="7"/>
    <n v="2024"/>
  </r>
  <r>
    <s v="CUST_295"/>
    <s v="O0591"/>
    <d v="2024-06-16T00:00:00"/>
    <s v="Delhi"/>
    <s v="Saket"/>
    <s v="Biryani House"/>
    <s v="Indian"/>
    <s v="Fried Rice"/>
    <s v="Veg"/>
    <n v="3"/>
    <n v="221"/>
    <n v="663"/>
    <n v="38"/>
    <s v="COD"/>
    <n v="4.5999999999999996"/>
    <x v="7"/>
    <n v="25"/>
    <n v="2024"/>
  </r>
  <r>
    <s v="CUST_295"/>
    <s v="O0592"/>
    <d v="2024-10-23T00:00:00"/>
    <s v="Mumbai"/>
    <s v="Bandra"/>
    <s v="Burger Hub"/>
    <s v="Fast Food"/>
    <s v="Veg Burger"/>
    <s v="Veg"/>
    <n v="3"/>
    <n v="443"/>
    <n v="1329"/>
    <n v="44"/>
    <s v="UPI"/>
    <n v="3"/>
    <x v="0"/>
    <n v="43"/>
    <n v="2024"/>
  </r>
  <r>
    <s v="CUST_295"/>
    <s v="O0593"/>
    <d v="2024-07-05T00:00:00"/>
    <s v="Chennai"/>
    <s v="T Nagar"/>
    <s v="Sandwich Stop"/>
    <s v="Italian"/>
    <s v="Veg Burger"/>
    <s v="Veg"/>
    <n v="3"/>
    <n v="133"/>
    <n v="399"/>
    <n v="43"/>
    <s v="UPI"/>
    <n v="4.5"/>
    <x v="1"/>
    <n v="27"/>
    <n v="2024"/>
  </r>
  <r>
    <s v="CUST_296"/>
    <s v="O0594"/>
    <d v="2024-08-12T00:00:00"/>
    <s v="Hyderabad"/>
    <s v="Madhapur"/>
    <s v="Grill Masters"/>
    <s v="Indian"/>
    <s v="Sandwich"/>
    <s v="Veg"/>
    <n v="1"/>
    <n v="451"/>
    <n v="451"/>
    <n v="39"/>
    <s v="COD"/>
    <n v="4.5"/>
    <x v="9"/>
    <n v="33"/>
    <n v="2024"/>
  </r>
  <r>
    <s v="CUST_296"/>
    <s v="O0595"/>
    <d v="2024-07-18T00:00:00"/>
    <s v="Delhi"/>
    <s v="Saket"/>
    <s v="Grill Masters"/>
    <s v="South Indian"/>
    <s v="Masala Dosa"/>
    <s v="Veg"/>
    <n v="2"/>
    <n v="327"/>
    <n v="654"/>
    <n v="58"/>
    <s v="COD"/>
    <n v="4.9000000000000004"/>
    <x v="1"/>
    <n v="29"/>
    <n v="2024"/>
  </r>
  <r>
    <s v="CUST_296"/>
    <s v="O0596"/>
    <d v="2024-05-23T00:00:00"/>
    <s v="Mumbai"/>
    <s v="Goregaon"/>
    <s v="Sandwich Stop"/>
    <s v="South Indian"/>
    <s v="Fried Rice"/>
    <s v="Veg"/>
    <n v="5"/>
    <n v="133"/>
    <n v="665"/>
    <n v="39"/>
    <s v="UPI"/>
    <n v="4.0999999999999996"/>
    <x v="5"/>
    <n v="21"/>
    <n v="2024"/>
  </r>
  <r>
    <s v="CUST_297"/>
    <s v="O0597"/>
    <d v="2024-09-26T00:00:00"/>
    <s v="Mumbai"/>
    <s v="Bandra"/>
    <s v="Chinese Bowl"/>
    <s v="Fast Food"/>
    <s v="Chicken Biryani"/>
    <s v="Non-Veg"/>
    <n v="3"/>
    <n v="457"/>
    <n v="1371"/>
    <n v="35"/>
    <s v="UPI"/>
    <n v="3.3"/>
    <x v="3"/>
    <n v="39"/>
    <n v="2024"/>
  </r>
  <r>
    <s v="CUST_297"/>
    <s v="O0598"/>
    <d v="2024-03-28T00:00:00"/>
    <s v="Delhi"/>
    <s v="Rohini"/>
    <s v="Burger Hub"/>
    <s v="Indian"/>
    <s v="Paneer Tikka"/>
    <s v="Veg"/>
    <n v="3"/>
    <n v="199"/>
    <n v="597"/>
    <n v="22"/>
    <s v="Card"/>
    <n v="4.5"/>
    <x v="4"/>
    <n v="13"/>
    <n v="2024"/>
  </r>
  <r>
    <s v="CUST_297"/>
    <s v="O0599"/>
    <d v="2024-06-12T00:00:00"/>
    <s v="Delhi"/>
    <s v="Rohini"/>
    <s v="Urban Meals"/>
    <s v="Indian"/>
    <s v="Chicken Biryani"/>
    <s v="Non-Veg"/>
    <n v="3"/>
    <n v="322"/>
    <n v="966"/>
    <n v="33"/>
    <s v="UPI"/>
    <n v="4.2"/>
    <x v="7"/>
    <n v="24"/>
    <n v="2024"/>
  </r>
  <r>
    <s v="CUST_297"/>
    <s v="O0600"/>
    <d v="2024-10-09T00:00:00"/>
    <s v="Hyderabad"/>
    <s v="Secunderabad"/>
    <s v="Grill Masters"/>
    <s v="Italian"/>
    <s v="Paneer Tikka"/>
    <s v="Veg"/>
    <n v="4"/>
    <n v="348"/>
    <n v="1392"/>
    <n v="32"/>
    <s v="UPI"/>
    <n v="3.7"/>
    <x v="0"/>
    <n v="41"/>
    <n v="2024"/>
  </r>
  <r>
    <s v="CUST_297"/>
    <s v="O0601"/>
    <d v="2024-06-18T00:00:00"/>
    <s v="Chennai"/>
    <s v="Anna Nagar"/>
    <s v="Sandwich Stop"/>
    <s v="Italian"/>
    <s v="Pasta"/>
    <s v="Veg"/>
    <n v="3"/>
    <n v="109"/>
    <n v="327"/>
    <n v="37"/>
    <s v="UPI"/>
    <n v="4.8"/>
    <x v="7"/>
    <n v="25"/>
    <n v="2024"/>
  </r>
  <r>
    <s v="CUST_298"/>
    <s v="O0602"/>
    <d v="2024-07-11T00:00:00"/>
    <s v="Chennai"/>
    <s v="Tambaram"/>
    <s v="Burger Hub"/>
    <s v="Chinese"/>
    <s v="Pasta"/>
    <s v="Veg"/>
    <n v="1"/>
    <n v="108"/>
    <n v="108"/>
    <n v="27"/>
    <s v="Card"/>
    <n v="3.6"/>
    <x v="1"/>
    <n v="28"/>
    <n v="2024"/>
  </r>
  <r>
    <s v="CUST_298"/>
    <s v="O0603"/>
    <d v="2024-04-23T00:00:00"/>
    <s v="Bangalore"/>
    <s v="Jayanagar"/>
    <s v="Biryani House"/>
    <s v="North Indian"/>
    <s v="Pasta"/>
    <s v="Veg"/>
    <n v="3"/>
    <n v="310"/>
    <n v="930"/>
    <n v="54"/>
    <s v="Card"/>
    <n v="4.8"/>
    <x v="2"/>
    <n v="17"/>
    <n v="2024"/>
  </r>
  <r>
    <s v="CUST_298"/>
    <s v="O0604"/>
    <d v="2024-05-10T00:00:00"/>
    <s v="Delhi"/>
    <s v="Karol Bagh"/>
    <s v="Café Delight"/>
    <s v="Indian"/>
    <s v="Pasta"/>
    <s v="Veg"/>
    <n v="5"/>
    <n v="228"/>
    <n v="1140"/>
    <n v="52"/>
    <s v="Card"/>
    <n v="4.9000000000000004"/>
    <x v="5"/>
    <n v="19"/>
    <n v="2024"/>
  </r>
  <r>
    <s v="CUST_298"/>
    <s v="O0605"/>
    <d v="2024-09-06T00:00:00"/>
    <s v="Mumbai"/>
    <s v="Dadar"/>
    <s v="South Spice"/>
    <s v="North Indian"/>
    <s v="Chicken Biryani"/>
    <s v="Non-Veg"/>
    <n v="4"/>
    <n v="213"/>
    <n v="852"/>
    <n v="21"/>
    <s v="COD"/>
    <n v="3.7"/>
    <x v="3"/>
    <n v="36"/>
    <n v="2024"/>
  </r>
  <r>
    <s v="CUST_298"/>
    <s v="O0606"/>
    <d v="2024-10-21T00:00:00"/>
    <s v="Hyderabad"/>
    <s v="Banjara Hills"/>
    <s v="Chinese Bowl"/>
    <s v="South Indian"/>
    <s v="Pasta"/>
    <s v="Veg"/>
    <n v="2"/>
    <n v="240"/>
    <n v="480"/>
    <n v="55"/>
    <s v="COD"/>
    <n v="4.4000000000000004"/>
    <x v="0"/>
    <n v="43"/>
    <n v="2024"/>
  </r>
  <r>
    <s v="CUST_299"/>
    <s v="O0607"/>
    <d v="2024-08-22T00:00:00"/>
    <s v="Hyderabad"/>
    <s v="Madhapur"/>
    <s v="Café Delight"/>
    <s v="Indian"/>
    <s v="Paneer Tikka"/>
    <s v="Veg"/>
    <n v="3"/>
    <n v="444"/>
    <n v="1332"/>
    <n v="31"/>
    <s v="COD"/>
    <n v="3.1"/>
    <x v="9"/>
    <n v="34"/>
    <n v="2024"/>
  </r>
  <r>
    <s v="CUST_299"/>
    <s v="O0608"/>
    <d v="2024-07-31T00:00:00"/>
    <s v="Mumbai"/>
    <s v="Powai"/>
    <s v="Urban Meals"/>
    <s v="Fast Food"/>
    <s v="Chicken Roll"/>
    <s v="Non-Veg"/>
    <n v="4"/>
    <n v="361"/>
    <n v="1444"/>
    <n v="50"/>
    <s v="Card"/>
    <n v="3.9"/>
    <x v="1"/>
    <n v="31"/>
    <n v="2024"/>
  </r>
  <r>
    <s v="CUST_299"/>
    <s v="O0609"/>
    <d v="2024-09-30T00:00:00"/>
    <s v="Delhi"/>
    <s v="Rohini"/>
    <s v="Urban Meals"/>
    <s v="Indian"/>
    <s v="Chicken Roll"/>
    <s v="Non-Veg"/>
    <n v="1"/>
    <n v="158"/>
    <n v="158"/>
    <n v="30"/>
    <s v="COD"/>
    <n v="4.4000000000000004"/>
    <x v="3"/>
    <n v="40"/>
    <n v="2024"/>
  </r>
  <r>
    <s v="CUST_299"/>
    <s v="O0610"/>
    <d v="2024-07-01T00:00:00"/>
    <s v="Chennai"/>
    <s v="Anna Nagar"/>
    <s v="Grill Masters"/>
    <s v="North Indian"/>
    <s v="Sandwich"/>
    <s v="Veg"/>
    <n v="1"/>
    <n v="232"/>
    <n v="232"/>
    <n v="49"/>
    <s v="COD"/>
    <n v="3.1"/>
    <x v="1"/>
    <n v="27"/>
    <n v="2024"/>
  </r>
  <r>
    <s v="CUST_300"/>
    <s v="O0611"/>
    <d v="2024-05-17T00:00:00"/>
    <s v="Mumbai"/>
    <s v="Bandra"/>
    <s v="Pizza Planet"/>
    <s v="Chinese"/>
    <s v="Pasta"/>
    <s v="Veg"/>
    <n v="5"/>
    <n v="198"/>
    <n v="990"/>
    <n v="59"/>
    <s v="UPI"/>
    <n v="4.3"/>
    <x v="5"/>
    <n v="20"/>
    <n v="2024"/>
  </r>
  <r>
    <s v="CUST_300"/>
    <s v="O0612"/>
    <d v="2024-08-19T00:00:00"/>
    <s v="Mumbai"/>
    <s v="Powai"/>
    <s v="Café Delight"/>
    <s v="North Indian"/>
    <s v="Paneer Tikka"/>
    <s v="Veg"/>
    <n v="3"/>
    <n v="165"/>
    <n v="495"/>
    <n v="36"/>
    <s v="COD"/>
    <n v="3.8"/>
    <x v="9"/>
    <n v="34"/>
    <n v="2024"/>
  </r>
  <r>
    <s v="CUST_301"/>
    <s v="O0613"/>
    <d v="2024-10-22T00:00:00"/>
    <s v="Chennai"/>
    <s v="T Nagar"/>
    <s v="Pizza Planet"/>
    <s v="Fast Food"/>
    <s v="Masala Dosa"/>
    <s v="Veg"/>
    <n v="5"/>
    <n v="369"/>
    <n v="1845"/>
    <n v="20"/>
    <s v="Card"/>
    <n v="4.2"/>
    <x v="0"/>
    <n v="43"/>
    <n v="2024"/>
  </r>
  <r>
    <s v="CUST_301"/>
    <s v="O0614"/>
    <d v="2024-09-17T00:00:00"/>
    <s v="Bangalore"/>
    <s v="Whitefield"/>
    <s v="Chinese Bowl"/>
    <s v="Chinese"/>
    <s v="Sandwich"/>
    <s v="Veg"/>
    <n v="4"/>
    <n v="178"/>
    <n v="712"/>
    <n v="45"/>
    <s v="COD"/>
    <n v="4"/>
    <x v="3"/>
    <n v="38"/>
    <n v="2024"/>
  </r>
  <r>
    <s v="CUST_301"/>
    <s v="O0615"/>
    <d v="2024-06-23T00:00:00"/>
    <s v="Delhi"/>
    <s v="Connaught Place"/>
    <s v="Biryani House"/>
    <s v="Italian"/>
    <s v="Pizza"/>
    <s v="Veg"/>
    <n v="3"/>
    <n v="262"/>
    <n v="786"/>
    <n v="20"/>
    <s v="Card"/>
    <n v="3.1"/>
    <x v="7"/>
    <n v="26"/>
    <n v="2024"/>
  </r>
  <r>
    <s v="CUST_301"/>
    <s v="O0616"/>
    <d v="2024-09-19T00:00:00"/>
    <s v="Mumbai"/>
    <s v="Andheri"/>
    <s v="Chinese Bowl"/>
    <s v="Italian"/>
    <s v="Masala Dosa"/>
    <s v="Veg"/>
    <n v="5"/>
    <n v="386"/>
    <n v="1930"/>
    <n v="32"/>
    <s v="COD"/>
    <n v="4"/>
    <x v="3"/>
    <n v="38"/>
    <n v="2024"/>
  </r>
  <r>
    <s v="CUST_302"/>
    <s v="O0617"/>
    <d v="2024-01-07T00:00:00"/>
    <s v="Bangalore"/>
    <s v="Jayanagar"/>
    <s v="Grill Masters"/>
    <s v="South Indian"/>
    <s v="Masala Dosa"/>
    <s v="Veg"/>
    <n v="5"/>
    <n v="319"/>
    <n v="1595"/>
    <n v="30"/>
    <s v="Card"/>
    <n v="3"/>
    <x v="6"/>
    <n v="2"/>
    <n v="2024"/>
  </r>
  <r>
    <s v="CUST_302"/>
    <s v="O0618"/>
    <d v="2024-09-15T00:00:00"/>
    <s v="Hyderabad"/>
    <s v="Begumpet"/>
    <s v="Sandwich Stop"/>
    <s v="South Indian"/>
    <s v="Fried Rice"/>
    <s v="Veg"/>
    <n v="2"/>
    <n v="413"/>
    <n v="826"/>
    <n v="27"/>
    <s v="Card"/>
    <n v="3.4"/>
    <x v="3"/>
    <n v="38"/>
    <n v="2024"/>
  </r>
  <r>
    <s v="CUST_303"/>
    <s v="O0619"/>
    <d v="2024-08-28T00:00:00"/>
    <s v="Hyderabad"/>
    <s v="Secunderabad"/>
    <s v="Pizza Planet"/>
    <s v="Fast Food"/>
    <s v="Paneer Tikka"/>
    <s v="Veg"/>
    <n v="3"/>
    <n v="222"/>
    <n v="666"/>
    <n v="37"/>
    <s v="Card"/>
    <n v="3.6"/>
    <x v="9"/>
    <n v="35"/>
    <n v="2024"/>
  </r>
  <r>
    <s v="CUST_303"/>
    <s v="O0620"/>
    <d v="2024-04-15T00:00:00"/>
    <s v="Bangalore"/>
    <s v="Indiranagar"/>
    <s v="Biryani House"/>
    <s v="Italian"/>
    <s v="Chicken Roll"/>
    <s v="Non-Veg"/>
    <n v="3"/>
    <n v="491"/>
    <n v="1473"/>
    <n v="40"/>
    <s v="COD"/>
    <n v="4.4000000000000004"/>
    <x v="2"/>
    <n v="16"/>
    <n v="2024"/>
  </r>
  <r>
    <s v="CUST_303"/>
    <s v="O0621"/>
    <d v="2024-01-27T00:00:00"/>
    <s v="Bangalore"/>
    <s v="BTM Layout"/>
    <s v="Chinese Bowl"/>
    <s v="Fast Food"/>
    <s v="Pizza"/>
    <s v="Veg"/>
    <n v="1"/>
    <n v="322"/>
    <n v="322"/>
    <n v="44"/>
    <s v="Card"/>
    <n v="3.1"/>
    <x v="6"/>
    <n v="4"/>
    <n v="2024"/>
  </r>
  <r>
    <s v="CUST_303"/>
    <s v="O0622"/>
    <d v="2024-01-31T00:00:00"/>
    <s v="Mumbai"/>
    <s v="Goregaon"/>
    <s v="Urban Meals"/>
    <s v="North Indian"/>
    <s v="Sandwich"/>
    <s v="Veg"/>
    <n v="2"/>
    <n v="350"/>
    <n v="700"/>
    <n v="31"/>
    <s v="Card"/>
    <n v="4.8"/>
    <x v="6"/>
    <n v="5"/>
    <n v="2024"/>
  </r>
  <r>
    <s v="CUST_303"/>
    <s v="O0623"/>
    <d v="2024-06-17T00:00:00"/>
    <s v="Delhi"/>
    <s v="Connaught Place"/>
    <s v="Grill Masters"/>
    <s v="North Indian"/>
    <s v="Paneer Tikka"/>
    <s v="Veg"/>
    <n v="4"/>
    <n v="348"/>
    <n v="1392"/>
    <n v="31"/>
    <s v="UPI"/>
    <n v="3.4"/>
    <x v="7"/>
    <n v="25"/>
    <n v="2024"/>
  </r>
  <r>
    <s v="CUST_304"/>
    <s v="O0624"/>
    <d v="2024-01-26T00:00:00"/>
    <s v="Bangalore"/>
    <s v="BTM Layout"/>
    <s v="Chinese Bowl"/>
    <s v="Italian"/>
    <s v="Chicken Roll"/>
    <s v="Non-Veg"/>
    <n v="4"/>
    <n v="485"/>
    <n v="1940"/>
    <n v="42"/>
    <s v="COD"/>
    <n v="3.8"/>
    <x v="6"/>
    <n v="4"/>
    <n v="2024"/>
  </r>
  <r>
    <s v="CUST_304"/>
    <s v="O0625"/>
    <d v="2024-01-04T00:00:00"/>
    <s v="Chennai"/>
    <s v="Velachery"/>
    <s v="Pizza Planet"/>
    <s v="North Indian"/>
    <s v="Chicken Roll"/>
    <s v="Non-Veg"/>
    <n v="3"/>
    <n v="133"/>
    <n v="399"/>
    <n v="24"/>
    <s v="Card"/>
    <n v="3.6"/>
    <x v="6"/>
    <n v="1"/>
    <n v="2024"/>
  </r>
  <r>
    <s v="CUST_305"/>
    <s v="O0626"/>
    <d v="2024-04-04T00:00:00"/>
    <s v="Chennai"/>
    <s v="Anna Nagar"/>
    <s v="Chinese Bowl"/>
    <s v="Chinese"/>
    <s v="Momos"/>
    <s v="Veg"/>
    <n v="3"/>
    <n v="486"/>
    <n v="1458"/>
    <n v="33"/>
    <s v="COD"/>
    <n v="3.3"/>
    <x v="2"/>
    <n v="14"/>
    <n v="2024"/>
  </r>
  <r>
    <s v="CUST_305"/>
    <s v="O0627"/>
    <d v="2024-09-29T00:00:00"/>
    <s v="Delhi"/>
    <s v="Rohini"/>
    <s v="Biryani House"/>
    <s v="Italian"/>
    <s v="Masala Dosa"/>
    <s v="Veg"/>
    <n v="3"/>
    <n v="220"/>
    <n v="660"/>
    <n v="47"/>
    <s v="Card"/>
    <n v="3.5"/>
    <x v="3"/>
    <n v="40"/>
    <n v="2024"/>
  </r>
  <r>
    <s v="CUST_305"/>
    <s v="O0628"/>
    <d v="2024-04-03T00:00:00"/>
    <s v="Bangalore"/>
    <s v="Jayanagar"/>
    <s v="Urban Meals"/>
    <s v="Italian"/>
    <s v="Momos"/>
    <s v="Veg"/>
    <n v="4"/>
    <n v="454"/>
    <n v="1816"/>
    <n v="33"/>
    <s v="Card"/>
    <n v="4.0999999999999996"/>
    <x v="2"/>
    <n v="14"/>
    <n v="2024"/>
  </r>
  <r>
    <s v="CUST_305"/>
    <s v="O0629"/>
    <d v="2024-07-19T00:00:00"/>
    <s v="Bangalore"/>
    <s v="Whitefield"/>
    <s v="Chinese Bowl"/>
    <s v="Indian"/>
    <s v="Veg Burger"/>
    <s v="Veg"/>
    <n v="2"/>
    <n v="261"/>
    <n v="522"/>
    <n v="23"/>
    <s v="Card"/>
    <n v="4.5999999999999996"/>
    <x v="1"/>
    <n v="29"/>
    <n v="2024"/>
  </r>
  <r>
    <s v="CUST_305"/>
    <s v="O0630"/>
    <d v="2024-07-18T00:00:00"/>
    <s v="Hyderabad"/>
    <s v="Kukatpally"/>
    <s v="Burger Hub"/>
    <s v="North Indian"/>
    <s v="Fried Rice"/>
    <s v="Veg"/>
    <n v="4"/>
    <n v="268"/>
    <n v="1072"/>
    <n v="38"/>
    <s v="UPI"/>
    <n v="3.7"/>
    <x v="1"/>
    <n v="29"/>
    <n v="2024"/>
  </r>
  <r>
    <s v="CUST_306"/>
    <s v="O0631"/>
    <d v="2024-01-15T00:00:00"/>
    <s v="Hyderabad"/>
    <s v="Begumpet"/>
    <s v="Burger Hub"/>
    <s v="Italian"/>
    <s v="Masala Dosa"/>
    <s v="Veg"/>
    <n v="5"/>
    <n v="400"/>
    <n v="2000"/>
    <n v="55"/>
    <s v="Card"/>
    <n v="4.5"/>
    <x v="6"/>
    <n v="3"/>
    <n v="2024"/>
  </r>
  <r>
    <s v="CUST_306"/>
    <s v="O0632"/>
    <d v="2024-03-19T00:00:00"/>
    <s v="Chennai"/>
    <s v="Velachery"/>
    <s v="Sandwich Stop"/>
    <s v="Italian"/>
    <s v="Masala Dosa"/>
    <s v="Veg"/>
    <n v="1"/>
    <n v="185"/>
    <n v="185"/>
    <n v="32"/>
    <s v="Card"/>
    <n v="3.2"/>
    <x v="4"/>
    <n v="12"/>
    <n v="2024"/>
  </r>
  <r>
    <s v="CUST_306"/>
    <s v="O0633"/>
    <d v="2024-05-14T00:00:00"/>
    <s v="Chennai"/>
    <s v="Velachery"/>
    <s v="Pizza Planet"/>
    <s v="Fast Food"/>
    <s v="Chicken Roll"/>
    <s v="Non-Veg"/>
    <n v="5"/>
    <n v="320"/>
    <n v="1600"/>
    <n v="54"/>
    <s v="Card"/>
    <n v="4.5"/>
    <x v="5"/>
    <n v="20"/>
    <n v="2024"/>
  </r>
  <r>
    <s v="CUST_306"/>
    <s v="O0634"/>
    <d v="2024-08-07T00:00:00"/>
    <s v="Delhi"/>
    <s v="Connaught Place"/>
    <s v="Biryani House"/>
    <s v="North Indian"/>
    <s v="Momos"/>
    <s v="Veg"/>
    <n v="2"/>
    <n v="233"/>
    <n v="466"/>
    <n v="48"/>
    <s v="UPI"/>
    <n v="3.8"/>
    <x v="9"/>
    <n v="32"/>
    <n v="2024"/>
  </r>
  <r>
    <s v="CUST_307"/>
    <s v="O0635"/>
    <d v="2024-01-04T00:00:00"/>
    <s v="Chennai"/>
    <s v="Tambaram"/>
    <s v="Burger Hub"/>
    <s v="Italian"/>
    <s v="Paneer Tikka"/>
    <s v="Veg"/>
    <n v="3"/>
    <n v="149"/>
    <n v="447"/>
    <n v="21"/>
    <s v="UPI"/>
    <n v="4"/>
    <x v="6"/>
    <n v="1"/>
    <n v="2024"/>
  </r>
  <r>
    <s v="CUST_307"/>
    <s v="O0636"/>
    <d v="2024-10-25T00:00:00"/>
    <s v="Hyderabad"/>
    <s v="Kukatpally"/>
    <s v="Grill Masters"/>
    <s v="Italian"/>
    <s v="Paneer Tikka"/>
    <s v="Veg"/>
    <n v="4"/>
    <n v="234"/>
    <n v="936"/>
    <n v="41"/>
    <s v="UPI"/>
    <n v="4.4000000000000004"/>
    <x v="0"/>
    <n v="43"/>
    <n v="2024"/>
  </r>
  <r>
    <s v="CUST_307"/>
    <s v="O0637"/>
    <d v="2024-09-21T00:00:00"/>
    <s v="Mumbai"/>
    <s v="Powai"/>
    <s v="Pizza Planet"/>
    <s v="Fast Food"/>
    <s v="Chicken Roll"/>
    <s v="Non-Veg"/>
    <n v="2"/>
    <n v="319"/>
    <n v="638"/>
    <n v="32"/>
    <s v="UPI"/>
    <n v="3.1"/>
    <x v="3"/>
    <n v="38"/>
    <n v="2024"/>
  </r>
  <r>
    <s v="CUST_307"/>
    <s v="O0638"/>
    <d v="2024-08-13T00:00:00"/>
    <s v="Mumbai"/>
    <s v="Powai"/>
    <s v="Biryani House"/>
    <s v="South Indian"/>
    <s v="Pizza"/>
    <s v="Veg"/>
    <n v="3"/>
    <n v="175"/>
    <n v="525"/>
    <n v="40"/>
    <s v="Card"/>
    <n v="4"/>
    <x v="9"/>
    <n v="33"/>
    <n v="2024"/>
  </r>
  <r>
    <s v="CUST_307"/>
    <s v="O0639"/>
    <d v="2024-07-17T00:00:00"/>
    <s v="Hyderabad"/>
    <s v="Kukatpally"/>
    <s v="Tandoori Tales"/>
    <s v="South Indian"/>
    <s v="Momos"/>
    <s v="Veg"/>
    <n v="3"/>
    <n v="401"/>
    <n v="1203"/>
    <n v="30"/>
    <s v="COD"/>
    <n v="3.3"/>
    <x v="1"/>
    <n v="29"/>
    <n v="2024"/>
  </r>
  <r>
    <s v="CUST_308"/>
    <s v="O0640"/>
    <d v="2024-06-21T00:00:00"/>
    <s v="Delhi"/>
    <s v="Rohini"/>
    <s v="Sandwich Stop"/>
    <s v="Fast Food"/>
    <s v="Chicken Biryani"/>
    <s v="Non-Veg"/>
    <n v="2"/>
    <n v="104"/>
    <n v="208"/>
    <n v="49"/>
    <s v="UPI"/>
    <n v="4.3"/>
    <x v="7"/>
    <n v="25"/>
    <n v="2024"/>
  </r>
  <r>
    <s v="CUST_308"/>
    <s v="O0641"/>
    <d v="2024-03-02T00:00:00"/>
    <s v="Bangalore"/>
    <s v="Jayanagar"/>
    <s v="Burger Hub"/>
    <s v="Indian"/>
    <s v="Sandwich"/>
    <s v="Veg"/>
    <n v="1"/>
    <n v="147"/>
    <n v="147"/>
    <n v="53"/>
    <s v="COD"/>
    <n v="3.1"/>
    <x v="4"/>
    <n v="9"/>
    <n v="2024"/>
  </r>
  <r>
    <s v="CUST_309"/>
    <s v="O0642"/>
    <d v="2024-05-29T00:00:00"/>
    <s v="Mumbai"/>
    <s v="Andheri"/>
    <s v="Tandoori Tales"/>
    <s v="Chinese"/>
    <s v="Pasta"/>
    <s v="Veg"/>
    <n v="2"/>
    <n v="227"/>
    <n v="454"/>
    <n v="33"/>
    <s v="UPI"/>
    <n v="3.6"/>
    <x v="5"/>
    <n v="22"/>
    <n v="2024"/>
  </r>
  <r>
    <s v="CUST_309"/>
    <s v="O0643"/>
    <d v="2024-09-18T00:00:00"/>
    <s v="Bangalore"/>
    <s v="Koramangala"/>
    <s v="Chinese Bowl"/>
    <s v="Indian"/>
    <s v="Veg Burger"/>
    <s v="Veg"/>
    <n v="3"/>
    <n v="450"/>
    <n v="1350"/>
    <n v="33"/>
    <s v="UPI"/>
    <n v="4.4000000000000004"/>
    <x v="3"/>
    <n v="38"/>
    <n v="2024"/>
  </r>
  <r>
    <s v="CUST_309"/>
    <s v="O0644"/>
    <d v="2024-04-10T00:00:00"/>
    <s v="Hyderabad"/>
    <s v="Secunderabad"/>
    <s v="Tandoori Tales"/>
    <s v="Indian"/>
    <s v="Paneer Tikka"/>
    <s v="Veg"/>
    <n v="2"/>
    <n v="117"/>
    <n v="234"/>
    <n v="26"/>
    <s v="UPI"/>
    <n v="4"/>
    <x v="2"/>
    <n v="15"/>
    <n v="2024"/>
  </r>
  <r>
    <s v="CUST_309"/>
    <s v="O0645"/>
    <d v="2024-09-02T00:00:00"/>
    <s v="Bangalore"/>
    <s v="Indiranagar"/>
    <s v="Tandoori Tales"/>
    <s v="South Indian"/>
    <s v="Chicken Biryani"/>
    <s v="Non-Veg"/>
    <n v="4"/>
    <n v="381"/>
    <n v="1524"/>
    <n v="21"/>
    <s v="COD"/>
    <n v="3.3"/>
    <x v="3"/>
    <n v="36"/>
    <n v="2024"/>
  </r>
  <r>
    <s v="CUST_309"/>
    <s v="O0646"/>
    <d v="2024-03-12T00:00:00"/>
    <s v="Chennai"/>
    <s v="Velachery"/>
    <s v="Sandwich Stop"/>
    <s v="North Indian"/>
    <s v="Chicken Biryani"/>
    <s v="Non-Veg"/>
    <n v="4"/>
    <n v="460"/>
    <n v="1840"/>
    <n v="31"/>
    <s v="COD"/>
    <n v="4.7"/>
    <x v="4"/>
    <n v="11"/>
    <n v="2024"/>
  </r>
  <r>
    <s v="CUST_310"/>
    <s v="O0647"/>
    <d v="2024-09-01T00:00:00"/>
    <s v="Mumbai"/>
    <s v="Powai"/>
    <s v="Biryani House"/>
    <s v="North Indian"/>
    <s v="Pasta"/>
    <s v="Veg"/>
    <n v="2"/>
    <n v="133"/>
    <n v="266"/>
    <n v="60"/>
    <s v="COD"/>
    <n v="4.0999999999999996"/>
    <x v="3"/>
    <n v="36"/>
    <n v="2024"/>
  </r>
  <r>
    <s v="CUST_310"/>
    <s v="O0648"/>
    <d v="2024-07-17T00:00:00"/>
    <s v="Bangalore"/>
    <s v="Whitefield"/>
    <s v="Urban Meals"/>
    <s v="North Indian"/>
    <s v="Chicken Biryani"/>
    <s v="Non-Veg"/>
    <n v="1"/>
    <n v="497"/>
    <n v="497"/>
    <n v="33"/>
    <s v="UPI"/>
    <n v="4.8"/>
    <x v="1"/>
    <n v="29"/>
    <n v="2024"/>
  </r>
  <r>
    <s v="CUST_311"/>
    <s v="O0649"/>
    <d v="2024-07-29T00:00:00"/>
    <s v="Chennai"/>
    <s v="Adyar"/>
    <s v="South Spice"/>
    <s v="Chinese"/>
    <s v="Paneer Tikka"/>
    <s v="Veg"/>
    <n v="2"/>
    <n v="119"/>
    <n v="238"/>
    <n v="58"/>
    <s v="UPI"/>
    <n v="4.8"/>
    <x v="1"/>
    <n v="31"/>
    <n v="2024"/>
  </r>
  <r>
    <s v="CUST_311"/>
    <s v="O0650"/>
    <d v="2024-06-23T00:00:00"/>
    <s v="Mumbai"/>
    <s v="Dadar"/>
    <s v="Café Delight"/>
    <s v="Fast Food"/>
    <s v="Chicken Roll"/>
    <s v="Non-Veg"/>
    <n v="3"/>
    <n v="264"/>
    <n v="792"/>
    <n v="39"/>
    <s v="Card"/>
    <n v="4.5"/>
    <x v="7"/>
    <n v="26"/>
    <n v="2024"/>
  </r>
  <r>
    <s v="CUST_311"/>
    <s v="O0651"/>
    <d v="2024-08-15T00:00:00"/>
    <s v="Bangalore"/>
    <s v="Koramangala"/>
    <s v="Chinese Bowl"/>
    <s v="Chinese"/>
    <s v="Masala Dosa"/>
    <s v="Veg"/>
    <n v="1"/>
    <n v="495"/>
    <n v="495"/>
    <n v="59"/>
    <s v="Card"/>
    <n v="3.7"/>
    <x v="9"/>
    <n v="33"/>
    <n v="2024"/>
  </r>
  <r>
    <s v="CUST_311"/>
    <s v="O0652"/>
    <d v="2024-09-14T00:00:00"/>
    <s v="Bangalore"/>
    <s v="Whitefield"/>
    <s v="Tandoori Tales"/>
    <s v="Indian"/>
    <s v="Masala Dosa"/>
    <s v="Veg"/>
    <n v="2"/>
    <n v="438"/>
    <n v="876"/>
    <n v="25"/>
    <s v="UPI"/>
    <n v="3.8"/>
    <x v="3"/>
    <n v="37"/>
    <n v="2024"/>
  </r>
  <r>
    <s v="CUST_311"/>
    <s v="O0653"/>
    <d v="2024-05-26T00:00:00"/>
    <s v="Bangalore"/>
    <s v="Whitefield"/>
    <s v="Sandwich Stop"/>
    <s v="North Indian"/>
    <s v="Paneer Tikka"/>
    <s v="Veg"/>
    <n v="4"/>
    <n v="121"/>
    <n v="484"/>
    <n v="27"/>
    <s v="UPI"/>
    <n v="4.5999999999999996"/>
    <x v="5"/>
    <n v="22"/>
    <n v="2024"/>
  </r>
  <r>
    <s v="CUST_312"/>
    <s v="O0654"/>
    <d v="2024-02-21T00:00:00"/>
    <s v="Bangalore"/>
    <s v="Koramangala"/>
    <s v="Sandwich Stop"/>
    <s v="Indian"/>
    <s v="Momos"/>
    <s v="Veg"/>
    <n v="1"/>
    <n v="260"/>
    <n v="260"/>
    <n v="21"/>
    <s v="UPI"/>
    <n v="3"/>
    <x v="8"/>
    <n v="8"/>
    <n v="2024"/>
  </r>
  <r>
    <s v="CUST_312"/>
    <s v="O0655"/>
    <d v="2024-04-06T00:00:00"/>
    <s v="Bangalore"/>
    <s v="Jayanagar"/>
    <s v="Grill Masters"/>
    <s v="Chinese"/>
    <s v="Fried Rice"/>
    <s v="Veg"/>
    <n v="2"/>
    <n v="109"/>
    <n v="218"/>
    <n v="51"/>
    <s v="Card"/>
    <n v="5"/>
    <x v="2"/>
    <n v="14"/>
    <n v="2024"/>
  </r>
  <r>
    <s v="CUST_312"/>
    <s v="O0656"/>
    <d v="2024-07-03T00:00:00"/>
    <s v="Bangalore"/>
    <s v="Koramangala"/>
    <s v="Pizza Planet"/>
    <s v="Chinese"/>
    <s v="Veg Burger"/>
    <s v="Veg"/>
    <n v="4"/>
    <n v="143"/>
    <n v="572"/>
    <n v="47"/>
    <s v="UPI"/>
    <n v="3.5"/>
    <x v="1"/>
    <n v="27"/>
    <n v="2024"/>
  </r>
  <r>
    <s v="CUST_312"/>
    <s v="O0657"/>
    <d v="2024-09-16T00:00:00"/>
    <s v="Mumbai"/>
    <s v="Powai"/>
    <s v="Burger Hub"/>
    <s v="South Indian"/>
    <s v="Pasta"/>
    <s v="Veg"/>
    <n v="5"/>
    <n v="311"/>
    <n v="1555"/>
    <n v="56"/>
    <s v="Card"/>
    <n v="3.7"/>
    <x v="3"/>
    <n v="38"/>
    <n v="2024"/>
  </r>
  <r>
    <s v="CUST_312"/>
    <s v="O0658"/>
    <d v="2024-09-14T00:00:00"/>
    <s v="Mumbai"/>
    <s v="Andheri"/>
    <s v="Grill Masters"/>
    <s v="Chinese"/>
    <s v="Paneer Tikka"/>
    <s v="Veg"/>
    <n v="4"/>
    <n v="117"/>
    <n v="468"/>
    <n v="38"/>
    <s v="UPI"/>
    <n v="4.2"/>
    <x v="3"/>
    <n v="37"/>
    <n v="2024"/>
  </r>
  <r>
    <s v="CUST_313"/>
    <s v="O0659"/>
    <d v="2024-03-25T00:00:00"/>
    <s v="Chennai"/>
    <s v="Adyar"/>
    <s v="Pizza Planet"/>
    <s v="Chinese"/>
    <s v="Sandwich"/>
    <s v="Veg"/>
    <n v="3"/>
    <n v="336"/>
    <n v="1008"/>
    <n v="46"/>
    <s v="UPI"/>
    <n v="3.7"/>
    <x v="4"/>
    <n v="13"/>
    <n v="2024"/>
  </r>
  <r>
    <s v="CUST_313"/>
    <s v="O0660"/>
    <d v="2024-04-12T00:00:00"/>
    <s v="Chennai"/>
    <s v="T Nagar"/>
    <s v="Grill Masters"/>
    <s v="Chinese"/>
    <s v="Pasta"/>
    <s v="Veg"/>
    <n v="3"/>
    <n v="170"/>
    <n v="510"/>
    <n v="57"/>
    <s v="UPI"/>
    <n v="3.2"/>
    <x v="2"/>
    <n v="15"/>
    <n v="2024"/>
  </r>
  <r>
    <s v="CUST_313"/>
    <s v="O0661"/>
    <d v="2024-03-30T00:00:00"/>
    <s v="Mumbai"/>
    <s v="Andheri"/>
    <s v="Café Delight"/>
    <s v="Chinese"/>
    <s v="Chicken Roll"/>
    <s v="Non-Veg"/>
    <n v="2"/>
    <n v="246"/>
    <n v="492"/>
    <n v="49"/>
    <s v="COD"/>
    <n v="3.8"/>
    <x v="4"/>
    <n v="13"/>
    <n v="2024"/>
  </r>
  <r>
    <s v="CUST_313"/>
    <s v="O0662"/>
    <d v="2024-02-15T00:00:00"/>
    <s v="Hyderabad"/>
    <s v="Secunderabad"/>
    <s v="Biryani House"/>
    <s v="North Indian"/>
    <s v="Pasta"/>
    <s v="Veg"/>
    <n v="3"/>
    <n v="461"/>
    <n v="1383"/>
    <n v="57"/>
    <s v="COD"/>
    <n v="4.4000000000000004"/>
    <x v="8"/>
    <n v="7"/>
    <n v="2024"/>
  </r>
  <r>
    <s v="CUST_313"/>
    <s v="O0663"/>
    <d v="2024-04-22T00:00:00"/>
    <s v="Bangalore"/>
    <s v="Koramangala"/>
    <s v="Sandwich Stop"/>
    <s v="Indian"/>
    <s v="Chicken Roll"/>
    <s v="Non-Veg"/>
    <n v="3"/>
    <n v="296"/>
    <n v="888"/>
    <n v="52"/>
    <s v="UPI"/>
    <n v="3.8"/>
    <x v="2"/>
    <n v="17"/>
    <n v="2024"/>
  </r>
  <r>
    <s v="CUST_314"/>
    <s v="O0664"/>
    <d v="2024-04-22T00:00:00"/>
    <s v="Delhi"/>
    <s v="Karol Bagh"/>
    <s v="Burger Hub"/>
    <s v="Indian"/>
    <s v="Fried Rice"/>
    <s v="Veg"/>
    <n v="2"/>
    <n v="499"/>
    <n v="998"/>
    <n v="44"/>
    <s v="Card"/>
    <n v="4.3"/>
    <x v="2"/>
    <n v="17"/>
    <n v="2024"/>
  </r>
  <r>
    <s v="CUST_314"/>
    <s v="O0665"/>
    <d v="2024-10-22T00:00:00"/>
    <s v="Bangalore"/>
    <s v="Jayanagar"/>
    <s v="Chinese Bowl"/>
    <s v="Indian"/>
    <s v="Paneer Tikka"/>
    <s v="Veg"/>
    <n v="2"/>
    <n v="151"/>
    <n v="302"/>
    <n v="39"/>
    <s v="UPI"/>
    <n v="3.7"/>
    <x v="0"/>
    <n v="43"/>
    <n v="2024"/>
  </r>
  <r>
    <s v="CUST_315"/>
    <s v="O0666"/>
    <d v="2024-09-01T00:00:00"/>
    <s v="Bangalore"/>
    <s v="Whitefield"/>
    <s v="Biryani House"/>
    <s v="Chinese"/>
    <s v="Chicken Biryani"/>
    <s v="Non-Veg"/>
    <n v="1"/>
    <n v="124"/>
    <n v="124"/>
    <n v="37"/>
    <s v="COD"/>
    <n v="3.4"/>
    <x v="3"/>
    <n v="36"/>
    <n v="2024"/>
  </r>
  <r>
    <s v="CUST_315"/>
    <s v="O0667"/>
    <d v="2024-08-05T00:00:00"/>
    <s v="Chennai"/>
    <s v="T Nagar"/>
    <s v="Sandwich Stop"/>
    <s v="Chinese"/>
    <s v="Sandwich"/>
    <s v="Veg"/>
    <n v="5"/>
    <n v="482"/>
    <n v="2410"/>
    <n v="49"/>
    <s v="COD"/>
    <n v="3.1"/>
    <x v="9"/>
    <n v="32"/>
    <n v="2024"/>
  </r>
  <r>
    <s v="CUST_316"/>
    <s v="O0668"/>
    <d v="2024-09-25T00:00:00"/>
    <s v="Mumbai"/>
    <s v="Dadar"/>
    <s v="Biryani House"/>
    <s v="Italian"/>
    <s v="Veg Burger"/>
    <s v="Veg"/>
    <n v="1"/>
    <n v="203"/>
    <n v="203"/>
    <n v="55"/>
    <s v="UPI"/>
    <n v="4.5"/>
    <x v="3"/>
    <n v="39"/>
    <n v="2024"/>
  </r>
  <r>
    <s v="CUST_316"/>
    <s v="O0669"/>
    <d v="2024-03-22T00:00:00"/>
    <s v="Bangalore"/>
    <s v="Jayanagar"/>
    <s v="Tandoori Tales"/>
    <s v="South Indian"/>
    <s v="Fried Rice"/>
    <s v="Veg"/>
    <n v="3"/>
    <n v="455"/>
    <n v="1365"/>
    <n v="29"/>
    <s v="UPI"/>
    <n v="4.7"/>
    <x v="4"/>
    <n v="12"/>
    <n v="2024"/>
  </r>
  <r>
    <s v="CUST_316"/>
    <s v="O0670"/>
    <d v="2024-09-16T00:00:00"/>
    <s v="Chennai"/>
    <s v="Velachery"/>
    <s v="Tandoori Tales"/>
    <s v="North Indian"/>
    <s v="Pasta"/>
    <s v="Veg"/>
    <n v="2"/>
    <n v="253"/>
    <n v="506"/>
    <n v="29"/>
    <s v="Card"/>
    <n v="3.5"/>
    <x v="3"/>
    <n v="38"/>
    <n v="2024"/>
  </r>
  <r>
    <s v="CUST_317"/>
    <s v="O0671"/>
    <d v="2024-05-21T00:00:00"/>
    <s v="Chennai"/>
    <s v="Velachery"/>
    <s v="Pizza Planet"/>
    <s v="Fast Food"/>
    <s v="Chicken Biryani"/>
    <s v="Non-Veg"/>
    <n v="5"/>
    <n v="356"/>
    <n v="1780"/>
    <n v="45"/>
    <s v="COD"/>
    <n v="3.7"/>
    <x v="5"/>
    <n v="21"/>
    <n v="2024"/>
  </r>
  <r>
    <s v="CUST_317"/>
    <s v="O0672"/>
    <d v="2024-03-14T00:00:00"/>
    <s v="Hyderabad"/>
    <s v="Begumpet"/>
    <s v="Burger Hub"/>
    <s v="South Indian"/>
    <s v="Veg Burger"/>
    <s v="Veg"/>
    <n v="2"/>
    <n v="209"/>
    <n v="418"/>
    <n v="53"/>
    <s v="Card"/>
    <n v="3.8"/>
    <x v="4"/>
    <n v="11"/>
    <n v="2024"/>
  </r>
  <r>
    <s v="CUST_317"/>
    <s v="O0673"/>
    <d v="2024-09-14T00:00:00"/>
    <s v="Chennai"/>
    <s v="Anna Nagar"/>
    <s v="Biryani House"/>
    <s v="South Indian"/>
    <s v="Pizza"/>
    <s v="Veg"/>
    <n v="2"/>
    <n v="408"/>
    <n v="816"/>
    <n v="43"/>
    <s v="COD"/>
    <n v="3"/>
    <x v="3"/>
    <n v="37"/>
    <n v="2024"/>
  </r>
  <r>
    <s v="CUST_318"/>
    <s v="O0674"/>
    <d v="2024-07-03T00:00:00"/>
    <s v="Bangalore"/>
    <s v="Koramangala"/>
    <s v="Café Delight"/>
    <s v="Italian"/>
    <s v="Pasta"/>
    <s v="Veg"/>
    <n v="4"/>
    <n v="375"/>
    <n v="1500"/>
    <n v="22"/>
    <s v="UPI"/>
    <n v="4.8"/>
    <x v="1"/>
    <n v="27"/>
    <n v="2024"/>
  </r>
  <r>
    <s v="CUST_318"/>
    <s v="O0675"/>
    <d v="2024-10-21T00:00:00"/>
    <s v="Bangalore"/>
    <s v="Jayanagar"/>
    <s v="Pizza Planet"/>
    <s v="Fast Food"/>
    <s v="Fried Rice"/>
    <s v="Veg"/>
    <n v="4"/>
    <n v="117"/>
    <n v="468"/>
    <n v="34"/>
    <s v="Card"/>
    <n v="3.4"/>
    <x v="0"/>
    <n v="43"/>
    <n v="2024"/>
  </r>
  <r>
    <s v="CUST_318"/>
    <s v="O0676"/>
    <d v="2024-09-29T00:00:00"/>
    <s v="Hyderabad"/>
    <s v="Madhapur"/>
    <s v="South Spice"/>
    <s v="Fast Food"/>
    <s v="Chicken Biryani"/>
    <s v="Non-Veg"/>
    <n v="3"/>
    <n v="407"/>
    <n v="1221"/>
    <n v="32"/>
    <s v="UPI"/>
    <n v="3.8"/>
    <x v="3"/>
    <n v="40"/>
    <n v="2024"/>
  </r>
  <r>
    <s v="CUST_319"/>
    <s v="O0677"/>
    <d v="2024-08-17T00:00:00"/>
    <s v="Delhi"/>
    <s v="Rohini"/>
    <s v="Tandoori Tales"/>
    <s v="Fast Food"/>
    <s v="Masala Dosa"/>
    <s v="Veg"/>
    <n v="3"/>
    <n v="292"/>
    <n v="876"/>
    <n v="22"/>
    <s v="UPI"/>
    <n v="4.9000000000000004"/>
    <x v="9"/>
    <n v="33"/>
    <n v="2024"/>
  </r>
  <r>
    <s v="CUST_319"/>
    <s v="O0678"/>
    <d v="2024-09-11T00:00:00"/>
    <s v="Chennai"/>
    <s v="Anna Nagar"/>
    <s v="Sandwich Stop"/>
    <s v="North Indian"/>
    <s v="Chicken Biryani"/>
    <s v="Non-Veg"/>
    <n v="5"/>
    <n v="165"/>
    <n v="825"/>
    <n v="29"/>
    <s v="COD"/>
    <n v="4.7"/>
    <x v="3"/>
    <n v="37"/>
    <n v="2024"/>
  </r>
  <r>
    <s v="CUST_319"/>
    <s v="O0679"/>
    <d v="2024-08-09T00:00:00"/>
    <s v="Chennai"/>
    <s v="T Nagar"/>
    <s v="Urban Meals"/>
    <s v="Indian"/>
    <s v="Momos"/>
    <s v="Veg"/>
    <n v="2"/>
    <n v="268"/>
    <n v="536"/>
    <n v="60"/>
    <s v="COD"/>
    <n v="4.9000000000000004"/>
    <x v="9"/>
    <n v="32"/>
    <n v="2024"/>
  </r>
  <r>
    <s v="CUST_319"/>
    <s v="O0680"/>
    <d v="2024-08-07T00:00:00"/>
    <s v="Mumbai"/>
    <s v="Goregaon"/>
    <s v="Grill Masters"/>
    <s v="Chinese"/>
    <s v="Sandwich"/>
    <s v="Veg"/>
    <n v="3"/>
    <n v="355"/>
    <n v="1065"/>
    <n v="28"/>
    <s v="UPI"/>
    <n v="5"/>
    <x v="9"/>
    <n v="32"/>
    <n v="2024"/>
  </r>
  <r>
    <s v="CUST_320"/>
    <s v="O0681"/>
    <d v="2024-05-05T00:00:00"/>
    <s v="Delhi"/>
    <s v="Dwarka"/>
    <s v="Tandoori Tales"/>
    <s v="North Indian"/>
    <s v="Paneer Tikka"/>
    <s v="Veg"/>
    <n v="5"/>
    <n v="118"/>
    <n v="590"/>
    <n v="43"/>
    <s v="COD"/>
    <n v="4.2"/>
    <x v="5"/>
    <n v="19"/>
    <n v="2024"/>
  </r>
  <r>
    <s v="CUST_320"/>
    <s v="O0682"/>
    <d v="2024-06-27T00:00:00"/>
    <s v="Bangalore"/>
    <s v="Indiranagar"/>
    <s v="South Spice"/>
    <s v="South Indian"/>
    <s v="Masala Dosa"/>
    <s v="Veg"/>
    <n v="2"/>
    <n v="412"/>
    <n v="824"/>
    <n v="32"/>
    <s v="UPI"/>
    <n v="4.0999999999999996"/>
    <x v="7"/>
    <n v="26"/>
    <n v="2024"/>
  </r>
  <r>
    <s v="CUST_320"/>
    <s v="O0683"/>
    <d v="2024-04-19T00:00:00"/>
    <s v="Hyderabad"/>
    <s v="Begumpet"/>
    <s v="Café Delight"/>
    <s v="South Indian"/>
    <s v="Momos"/>
    <s v="Veg"/>
    <n v="3"/>
    <n v="317"/>
    <n v="951"/>
    <n v="58"/>
    <s v="Card"/>
    <n v="3.7"/>
    <x v="2"/>
    <n v="16"/>
    <n v="2024"/>
  </r>
  <r>
    <s v="CUST_320"/>
    <s v="O0684"/>
    <d v="2024-05-20T00:00:00"/>
    <s v="Bangalore"/>
    <s v="Jayanagar"/>
    <s v="Café Delight"/>
    <s v="Chinese"/>
    <s v="Pizza"/>
    <s v="Veg"/>
    <n v="5"/>
    <n v="339"/>
    <n v="1695"/>
    <n v="59"/>
    <s v="UPI"/>
    <n v="4.0999999999999996"/>
    <x v="5"/>
    <n v="21"/>
    <n v="2024"/>
  </r>
  <r>
    <s v="CUST_320"/>
    <s v="O0685"/>
    <d v="2024-10-05T00:00:00"/>
    <s v="Bangalore"/>
    <s v="BTM Layout"/>
    <s v="Biryani House"/>
    <s v="Chinese"/>
    <s v="Sandwich"/>
    <s v="Veg"/>
    <n v="4"/>
    <n v="480"/>
    <n v="1920"/>
    <n v="44"/>
    <s v="Card"/>
    <n v="3.8"/>
    <x v="0"/>
    <n v="40"/>
    <n v="2024"/>
  </r>
  <r>
    <s v="CUST_321"/>
    <s v="O0686"/>
    <d v="2024-06-10T00:00:00"/>
    <s v="Hyderabad"/>
    <s v="Banjara Hills"/>
    <s v="Café Delight"/>
    <s v="Italian"/>
    <s v="Masala Dosa"/>
    <s v="Veg"/>
    <n v="4"/>
    <n v="410"/>
    <n v="1640"/>
    <n v="59"/>
    <s v="UPI"/>
    <n v="4.9000000000000004"/>
    <x v="7"/>
    <n v="24"/>
    <n v="2024"/>
  </r>
  <r>
    <s v="CUST_321"/>
    <s v="O0687"/>
    <d v="2024-09-08T00:00:00"/>
    <s v="Delhi"/>
    <s v="Connaught Place"/>
    <s v="Café Delight"/>
    <s v="Fast Food"/>
    <s v="Veg Burger"/>
    <s v="Veg"/>
    <n v="2"/>
    <n v="349"/>
    <n v="698"/>
    <n v="28"/>
    <s v="Card"/>
    <n v="4.3"/>
    <x v="3"/>
    <n v="37"/>
    <n v="2024"/>
  </r>
  <r>
    <s v="CUST_322"/>
    <s v="O0688"/>
    <d v="2024-07-04T00:00:00"/>
    <s v="Hyderabad"/>
    <s v="Secunderabad"/>
    <s v="Grill Masters"/>
    <s v="Indian"/>
    <s v="Chicken Biryani"/>
    <s v="Non-Veg"/>
    <n v="2"/>
    <n v="341"/>
    <n v="682"/>
    <n v="50"/>
    <s v="COD"/>
    <n v="3.1"/>
    <x v="1"/>
    <n v="27"/>
    <n v="2024"/>
  </r>
  <r>
    <s v="CUST_322"/>
    <s v="O0689"/>
    <d v="2024-03-18T00:00:00"/>
    <s v="Mumbai"/>
    <s v="Goregaon"/>
    <s v="Tandoori Tales"/>
    <s v="North Indian"/>
    <s v="Chicken Biryani"/>
    <s v="Non-Veg"/>
    <n v="4"/>
    <n v="468"/>
    <n v="1872"/>
    <n v="33"/>
    <s v="UPI"/>
    <n v="3.4"/>
    <x v="4"/>
    <n v="12"/>
    <n v="2024"/>
  </r>
  <r>
    <s v="CUST_322"/>
    <s v="O0690"/>
    <d v="2024-08-03T00:00:00"/>
    <s v="Hyderabad"/>
    <s v="Madhapur"/>
    <s v="Burger Hub"/>
    <s v="Indian"/>
    <s v="Fried Rice"/>
    <s v="Veg"/>
    <n v="1"/>
    <n v="260"/>
    <n v="260"/>
    <n v="59"/>
    <s v="COD"/>
    <n v="4"/>
    <x v="9"/>
    <n v="31"/>
    <n v="2024"/>
  </r>
  <r>
    <s v="CUST_322"/>
    <s v="O0691"/>
    <d v="2024-09-04T00:00:00"/>
    <s v="Mumbai"/>
    <s v="Bandra"/>
    <s v="Chinese Bowl"/>
    <s v="North Indian"/>
    <s v="Fried Rice"/>
    <s v="Veg"/>
    <n v="4"/>
    <n v="374"/>
    <n v="1496"/>
    <n v="47"/>
    <s v="UPI"/>
    <n v="4.2"/>
    <x v="3"/>
    <n v="36"/>
    <n v="2024"/>
  </r>
  <r>
    <s v="CUST_322"/>
    <s v="O0692"/>
    <d v="2024-01-13T00:00:00"/>
    <s v="Mumbai"/>
    <s v="Powai"/>
    <s v="Sandwich Stop"/>
    <s v="Fast Food"/>
    <s v="Chicken Biryani"/>
    <s v="Non-Veg"/>
    <n v="3"/>
    <n v="266"/>
    <n v="798"/>
    <n v="60"/>
    <s v="UPI"/>
    <n v="4.0999999999999996"/>
    <x v="6"/>
    <n v="2"/>
    <n v="2024"/>
  </r>
  <r>
    <s v="CUST_323"/>
    <s v="O0693"/>
    <d v="2024-05-18T00:00:00"/>
    <s v="Delhi"/>
    <s v="Rohini"/>
    <s v="Café Delight"/>
    <s v="South Indian"/>
    <s v="Chicken Roll"/>
    <s v="Non-Veg"/>
    <n v="2"/>
    <n v="368"/>
    <n v="736"/>
    <n v="47"/>
    <s v="Card"/>
    <n v="3.7"/>
    <x v="5"/>
    <n v="20"/>
    <n v="2024"/>
  </r>
  <r>
    <s v="CUST_323"/>
    <s v="O0694"/>
    <d v="2024-07-11T00:00:00"/>
    <s v="Mumbai"/>
    <s v="Bandra"/>
    <s v="Sandwich Stop"/>
    <s v="North Indian"/>
    <s v="Chicken Roll"/>
    <s v="Non-Veg"/>
    <n v="1"/>
    <n v="131"/>
    <n v="131"/>
    <n v="45"/>
    <s v="COD"/>
    <n v="3.8"/>
    <x v="1"/>
    <n v="28"/>
    <n v="2024"/>
  </r>
  <r>
    <s v="CUST_323"/>
    <s v="O0695"/>
    <d v="2024-10-17T00:00:00"/>
    <s v="Mumbai"/>
    <s v="Bandra"/>
    <s v="Burger Hub"/>
    <s v="South Indian"/>
    <s v="Chicken Roll"/>
    <s v="Non-Veg"/>
    <n v="1"/>
    <n v="489"/>
    <n v="489"/>
    <n v="32"/>
    <s v="UPI"/>
    <n v="3.1"/>
    <x v="0"/>
    <n v="42"/>
    <n v="2024"/>
  </r>
  <r>
    <s v="CUST_324"/>
    <s v="O0696"/>
    <d v="2024-09-05T00:00:00"/>
    <s v="Hyderabad"/>
    <s v="Madhapur"/>
    <s v="Biryani House"/>
    <s v="Fast Food"/>
    <s v="Veg Burger"/>
    <s v="Veg"/>
    <n v="1"/>
    <n v="451"/>
    <n v="451"/>
    <n v="21"/>
    <s v="Card"/>
    <n v="4.3"/>
    <x v="3"/>
    <n v="36"/>
    <n v="2024"/>
  </r>
  <r>
    <s v="CUST_324"/>
    <s v="O0697"/>
    <d v="2024-10-27T00:00:00"/>
    <s v="Chennai"/>
    <s v="Velachery"/>
    <s v="Café Delight"/>
    <s v="Fast Food"/>
    <s v="Chicken Biryani"/>
    <s v="Non-Veg"/>
    <n v="3"/>
    <n v="212"/>
    <n v="636"/>
    <n v="32"/>
    <s v="UPI"/>
    <n v="3"/>
    <x v="0"/>
    <n v="44"/>
    <n v="2024"/>
  </r>
  <r>
    <s v="CUST_325"/>
    <s v="O0698"/>
    <d v="2024-07-31T00:00:00"/>
    <s v="Delhi"/>
    <s v="Dwarka"/>
    <s v="Sandwich Stop"/>
    <s v="North Indian"/>
    <s v="Masala Dosa"/>
    <s v="Veg"/>
    <n v="2"/>
    <n v="104"/>
    <n v="208"/>
    <n v="29"/>
    <s v="UPI"/>
    <n v="3.4"/>
    <x v="1"/>
    <n v="31"/>
    <n v="2024"/>
  </r>
  <r>
    <s v="CUST_325"/>
    <s v="O0699"/>
    <d v="2024-06-12T00:00:00"/>
    <s v="Delhi"/>
    <s v="Saket"/>
    <s v="Biryani House"/>
    <s v="Indian"/>
    <s v="Veg Burger"/>
    <s v="Veg"/>
    <n v="2"/>
    <n v="421"/>
    <n v="842"/>
    <n v="45"/>
    <s v="COD"/>
    <n v="3.4"/>
    <x v="7"/>
    <n v="24"/>
    <n v="2024"/>
  </r>
  <r>
    <s v="CUST_326"/>
    <s v="O0700"/>
    <d v="2024-02-21T00:00:00"/>
    <s v="Bangalore"/>
    <s v="BTM Layout"/>
    <s v="South Spice"/>
    <s v="Chinese"/>
    <s v="Chicken Biryani"/>
    <s v="Non-Veg"/>
    <n v="2"/>
    <n v="190"/>
    <n v="380"/>
    <n v="55"/>
    <s v="UPI"/>
    <n v="3.1"/>
    <x v="8"/>
    <n v="8"/>
    <n v="2024"/>
  </r>
  <r>
    <s v="CUST_326"/>
    <s v="O0701"/>
    <d v="2024-01-17T00:00:00"/>
    <s v="Bangalore"/>
    <s v="Indiranagar"/>
    <s v="Grill Masters"/>
    <s v="North Indian"/>
    <s v="Paneer Tikka"/>
    <s v="Veg"/>
    <n v="3"/>
    <n v="190"/>
    <n v="570"/>
    <n v="60"/>
    <s v="COD"/>
    <n v="3.8"/>
    <x v="6"/>
    <n v="3"/>
    <n v="2024"/>
  </r>
  <r>
    <s v="CUST_326"/>
    <s v="O0702"/>
    <d v="2024-03-30T00:00:00"/>
    <s v="Mumbai"/>
    <s v="Powai"/>
    <s v="Sandwich Stop"/>
    <s v="Chinese"/>
    <s v="Masala Dosa"/>
    <s v="Veg"/>
    <n v="1"/>
    <n v="150"/>
    <n v="150"/>
    <n v="47"/>
    <s v="Card"/>
    <n v="4.9000000000000004"/>
    <x v="4"/>
    <n v="13"/>
    <n v="2024"/>
  </r>
  <r>
    <s v="CUST_326"/>
    <s v="O0703"/>
    <d v="2024-09-15T00:00:00"/>
    <s v="Mumbai"/>
    <s v="Powai"/>
    <s v="Tandoori Tales"/>
    <s v="Indian"/>
    <s v="Fried Rice"/>
    <s v="Veg"/>
    <n v="2"/>
    <n v="337"/>
    <n v="674"/>
    <n v="32"/>
    <s v="Card"/>
    <n v="4.8"/>
    <x v="3"/>
    <n v="38"/>
    <n v="2024"/>
  </r>
  <r>
    <s v="CUST_327"/>
    <s v="O0704"/>
    <d v="2024-07-02T00:00:00"/>
    <s v="Mumbai"/>
    <s v="Bandra"/>
    <s v="Tandoori Tales"/>
    <s v="Chinese"/>
    <s v="Momos"/>
    <s v="Veg"/>
    <n v="2"/>
    <n v="408"/>
    <n v="816"/>
    <n v="38"/>
    <s v="UPI"/>
    <n v="3.4"/>
    <x v="1"/>
    <n v="27"/>
    <n v="2024"/>
  </r>
  <r>
    <s v="CUST_327"/>
    <s v="O0705"/>
    <d v="2024-01-24T00:00:00"/>
    <s v="Hyderabad"/>
    <s v="Begumpet"/>
    <s v="Urban Meals"/>
    <s v="Fast Food"/>
    <s v="Chicken Roll"/>
    <s v="Non-Veg"/>
    <n v="3"/>
    <n v="412"/>
    <n v="1236"/>
    <n v="38"/>
    <s v="COD"/>
    <n v="3.2"/>
    <x v="6"/>
    <n v="4"/>
    <n v="2024"/>
  </r>
  <r>
    <s v="CUST_327"/>
    <s v="O0706"/>
    <d v="2024-05-15T00:00:00"/>
    <s v="Hyderabad"/>
    <s v="Begumpet"/>
    <s v="Urban Meals"/>
    <s v="Chinese"/>
    <s v="Sandwich"/>
    <s v="Veg"/>
    <n v="3"/>
    <n v="117"/>
    <n v="351"/>
    <n v="25"/>
    <s v="Card"/>
    <n v="3.8"/>
    <x v="5"/>
    <n v="20"/>
    <n v="2024"/>
  </r>
  <r>
    <s v="CUST_327"/>
    <s v="O0707"/>
    <d v="2024-06-04T00:00:00"/>
    <s v="Hyderabad"/>
    <s v="Secunderabad"/>
    <s v="Pizza Planet"/>
    <s v="Indian"/>
    <s v="Sandwich"/>
    <s v="Veg"/>
    <n v="4"/>
    <n v="389"/>
    <n v="1556"/>
    <n v="33"/>
    <s v="UPI"/>
    <n v="4.4000000000000004"/>
    <x v="7"/>
    <n v="23"/>
    <n v="2024"/>
  </r>
  <r>
    <s v="CUST_328"/>
    <s v="O0708"/>
    <d v="2024-08-07T00:00:00"/>
    <s v="Bangalore"/>
    <s v="Whitefield"/>
    <s v="Café Delight"/>
    <s v="North Indian"/>
    <s v="Paneer Tikka"/>
    <s v="Veg"/>
    <n v="3"/>
    <n v="395"/>
    <n v="1185"/>
    <n v="21"/>
    <s v="COD"/>
    <n v="4.4000000000000004"/>
    <x v="9"/>
    <n v="32"/>
    <n v="2024"/>
  </r>
  <r>
    <s v="CUST_328"/>
    <s v="O0709"/>
    <d v="2024-08-25T00:00:00"/>
    <s v="Chennai"/>
    <s v="Velachery"/>
    <s v="Burger Hub"/>
    <s v="Indian"/>
    <s v="Fried Rice"/>
    <s v="Veg"/>
    <n v="2"/>
    <n v="229"/>
    <n v="458"/>
    <n v="35"/>
    <s v="UPI"/>
    <n v="4.2"/>
    <x v="9"/>
    <n v="35"/>
    <n v="2024"/>
  </r>
  <r>
    <s v="CUST_328"/>
    <s v="O0710"/>
    <d v="2024-09-12T00:00:00"/>
    <s v="Bangalore"/>
    <s v="Koramangala"/>
    <s v="Tandoori Tales"/>
    <s v="Chinese"/>
    <s v="Veg Burger"/>
    <s v="Veg"/>
    <n v="4"/>
    <n v="397"/>
    <n v="1588"/>
    <n v="26"/>
    <s v="UPI"/>
    <n v="3.7"/>
    <x v="3"/>
    <n v="37"/>
    <n v="2024"/>
  </r>
  <r>
    <s v="CUST_328"/>
    <s v="O0711"/>
    <d v="2024-01-04T00:00:00"/>
    <s v="Hyderabad"/>
    <s v="Begumpet"/>
    <s v="Sandwich Stop"/>
    <s v="Chinese"/>
    <s v="Momos"/>
    <s v="Veg"/>
    <n v="3"/>
    <n v="208"/>
    <n v="624"/>
    <n v="57"/>
    <s v="COD"/>
    <n v="3.2"/>
    <x v="6"/>
    <n v="1"/>
    <n v="2024"/>
  </r>
  <r>
    <s v="CUST_328"/>
    <s v="O0712"/>
    <d v="2024-07-26T00:00:00"/>
    <s v="Chennai"/>
    <s v="Adyar"/>
    <s v="Burger Hub"/>
    <s v="Indian"/>
    <s v="Fried Rice"/>
    <s v="Veg"/>
    <n v="5"/>
    <n v="347"/>
    <n v="1735"/>
    <n v="35"/>
    <s v="Card"/>
    <n v="3.9"/>
    <x v="1"/>
    <n v="30"/>
    <n v="2024"/>
  </r>
  <r>
    <s v="CUST_329"/>
    <s v="O0713"/>
    <d v="2024-08-12T00:00:00"/>
    <s v="Delhi"/>
    <s v="Saket"/>
    <s v="Biryani House"/>
    <s v="South Indian"/>
    <s v="Fried Rice"/>
    <s v="Veg"/>
    <n v="4"/>
    <n v="218"/>
    <n v="872"/>
    <n v="41"/>
    <s v="COD"/>
    <n v="3.2"/>
    <x v="9"/>
    <n v="33"/>
    <n v="2024"/>
  </r>
  <r>
    <s v="CUST_329"/>
    <s v="O0714"/>
    <d v="2024-08-19T00:00:00"/>
    <s v="Hyderabad"/>
    <s v="Begumpet"/>
    <s v="Burger Hub"/>
    <s v="Fast Food"/>
    <s v="Masala Dosa"/>
    <s v="Veg"/>
    <n v="5"/>
    <n v="302"/>
    <n v="1510"/>
    <n v="42"/>
    <s v="UPI"/>
    <n v="3.1"/>
    <x v="9"/>
    <n v="34"/>
    <n v="2024"/>
  </r>
  <r>
    <s v="CUST_329"/>
    <s v="O0715"/>
    <d v="2024-09-09T00:00:00"/>
    <s v="Mumbai"/>
    <s v="Powai"/>
    <s v="Pizza Planet"/>
    <s v="Indian"/>
    <s v="Pasta"/>
    <s v="Veg"/>
    <n v="1"/>
    <n v="194"/>
    <n v="194"/>
    <n v="53"/>
    <s v="Card"/>
    <n v="3.2"/>
    <x v="3"/>
    <n v="37"/>
    <n v="2024"/>
  </r>
  <r>
    <s v="CUST_329"/>
    <s v="O0716"/>
    <d v="2024-08-22T00:00:00"/>
    <s v="Bangalore"/>
    <s v="Jayanagar"/>
    <s v="Burger Hub"/>
    <s v="Indian"/>
    <s v="Momos"/>
    <s v="Veg"/>
    <n v="1"/>
    <n v="199"/>
    <n v="199"/>
    <n v="39"/>
    <s v="COD"/>
    <n v="3.8"/>
    <x v="9"/>
    <n v="34"/>
    <n v="2024"/>
  </r>
  <r>
    <s v="CUST_330"/>
    <s v="O0717"/>
    <d v="2024-03-03T00:00:00"/>
    <s v="Hyderabad"/>
    <s v="Kukatpally"/>
    <s v="Tandoori Tales"/>
    <s v="Fast Food"/>
    <s v="Chicken Roll"/>
    <s v="Non-Veg"/>
    <n v="5"/>
    <n v="156"/>
    <n v="780"/>
    <n v="35"/>
    <s v="COD"/>
    <n v="3"/>
    <x v="4"/>
    <n v="10"/>
    <n v="2024"/>
  </r>
  <r>
    <s v="CUST_330"/>
    <s v="O0718"/>
    <d v="2024-03-12T00:00:00"/>
    <s v="Bangalore"/>
    <s v="Koramangala"/>
    <s v="Tandoori Tales"/>
    <s v="North Indian"/>
    <s v="Chicken Biryani"/>
    <s v="Non-Veg"/>
    <n v="4"/>
    <n v="484"/>
    <n v="1936"/>
    <n v="20"/>
    <s v="UPI"/>
    <n v="3.1"/>
    <x v="4"/>
    <n v="11"/>
    <n v="2024"/>
  </r>
  <r>
    <s v="CUST_331"/>
    <s v="O0719"/>
    <d v="2024-04-04T00:00:00"/>
    <s v="Chennai"/>
    <s v="T Nagar"/>
    <s v="Burger Hub"/>
    <s v="Italian"/>
    <s v="Masala Dosa"/>
    <s v="Veg"/>
    <n v="5"/>
    <n v="482"/>
    <n v="2410"/>
    <n v="47"/>
    <s v="UPI"/>
    <n v="3.4"/>
    <x v="2"/>
    <n v="14"/>
    <n v="2024"/>
  </r>
  <r>
    <s v="CUST_331"/>
    <s v="O0720"/>
    <d v="2024-08-03T00:00:00"/>
    <s v="Mumbai"/>
    <s v="Bandra"/>
    <s v="Grill Masters"/>
    <s v="Fast Food"/>
    <s v="Masala Dosa"/>
    <s v="Veg"/>
    <n v="5"/>
    <n v="406"/>
    <n v="2030"/>
    <n v="55"/>
    <s v="COD"/>
    <n v="4"/>
    <x v="9"/>
    <n v="31"/>
    <n v="2024"/>
  </r>
  <r>
    <s v="CUST_331"/>
    <s v="O0721"/>
    <d v="2024-02-02T00:00:00"/>
    <s v="Hyderabad"/>
    <s v="Secunderabad"/>
    <s v="South Spice"/>
    <s v="Fast Food"/>
    <s v="Momos"/>
    <s v="Veg"/>
    <n v="2"/>
    <n v="137"/>
    <n v="274"/>
    <n v="25"/>
    <s v="Card"/>
    <n v="3.9"/>
    <x v="8"/>
    <n v="5"/>
    <n v="2024"/>
  </r>
  <r>
    <s v="CUST_331"/>
    <s v="O0722"/>
    <d v="2024-02-24T00:00:00"/>
    <s v="Hyderabad"/>
    <s v="Secunderabad"/>
    <s v="Biryani House"/>
    <s v="South Indian"/>
    <s v="Fried Rice"/>
    <s v="Veg"/>
    <n v="2"/>
    <n v="186"/>
    <n v="372"/>
    <n v="23"/>
    <s v="UPI"/>
    <n v="4.8"/>
    <x v="8"/>
    <n v="8"/>
    <n v="2024"/>
  </r>
  <r>
    <s v="CUST_331"/>
    <s v="O0723"/>
    <d v="2024-03-22T00:00:00"/>
    <s v="Mumbai"/>
    <s v="Bandra"/>
    <s v="Café Delight"/>
    <s v="South Indian"/>
    <s v="Fried Rice"/>
    <s v="Veg"/>
    <n v="2"/>
    <n v="194"/>
    <n v="388"/>
    <n v="32"/>
    <s v="Card"/>
    <n v="3.5"/>
    <x v="4"/>
    <n v="12"/>
    <n v="2024"/>
  </r>
  <r>
    <s v="CUST_332"/>
    <s v="O0724"/>
    <d v="2024-05-02T00:00:00"/>
    <s v="Hyderabad"/>
    <s v="Begumpet"/>
    <s v="Tandoori Tales"/>
    <s v="Fast Food"/>
    <s v="Chicken Roll"/>
    <s v="Non-Veg"/>
    <n v="4"/>
    <n v="306"/>
    <n v="1224"/>
    <n v="50"/>
    <s v="UPI"/>
    <n v="4.2"/>
    <x v="5"/>
    <n v="18"/>
    <n v="2024"/>
  </r>
  <r>
    <s v="CUST_332"/>
    <s v="O0725"/>
    <d v="2024-08-27T00:00:00"/>
    <s v="Delhi"/>
    <s v="Connaught Place"/>
    <s v="South Spice"/>
    <s v="South Indian"/>
    <s v="Pizza"/>
    <s v="Veg"/>
    <n v="5"/>
    <n v="305"/>
    <n v="1525"/>
    <n v="33"/>
    <s v="UPI"/>
    <n v="4.3"/>
    <x v="9"/>
    <n v="35"/>
    <n v="2024"/>
  </r>
  <r>
    <s v="CUST_333"/>
    <s v="O0726"/>
    <d v="2024-01-16T00:00:00"/>
    <s v="Chennai"/>
    <s v="Velachery"/>
    <s v="Grill Masters"/>
    <s v="Chinese"/>
    <s v="Sandwich"/>
    <s v="Veg"/>
    <n v="2"/>
    <n v="119"/>
    <n v="238"/>
    <n v="33"/>
    <s v="UPI"/>
    <n v="4.2"/>
    <x v="6"/>
    <n v="3"/>
    <n v="2024"/>
  </r>
  <r>
    <s v="CUST_333"/>
    <s v="O0727"/>
    <d v="2024-07-30T00:00:00"/>
    <s v="Hyderabad"/>
    <s v="Banjara Hills"/>
    <s v="Urban Meals"/>
    <s v="Chinese"/>
    <s v="Momos"/>
    <s v="Veg"/>
    <n v="3"/>
    <n v="360"/>
    <n v="1080"/>
    <n v="53"/>
    <s v="UPI"/>
    <n v="4.5999999999999996"/>
    <x v="1"/>
    <n v="31"/>
    <n v="2024"/>
  </r>
  <r>
    <s v="CUST_333"/>
    <s v="O0728"/>
    <d v="2024-09-13T00:00:00"/>
    <s v="Bangalore"/>
    <s v="Whitefield"/>
    <s v="Tandoori Tales"/>
    <s v="Chinese"/>
    <s v="Pizza"/>
    <s v="Veg"/>
    <n v="4"/>
    <n v="188"/>
    <n v="752"/>
    <n v="50"/>
    <s v="COD"/>
    <n v="3.4"/>
    <x v="3"/>
    <n v="37"/>
    <n v="2024"/>
  </r>
  <r>
    <s v="CUST_334"/>
    <s v="O0729"/>
    <d v="2024-04-07T00:00:00"/>
    <s v="Delhi"/>
    <s v="Karol Bagh"/>
    <s v="Urban Meals"/>
    <s v="Italian"/>
    <s v="Pasta"/>
    <s v="Veg"/>
    <n v="3"/>
    <n v="256"/>
    <n v="768"/>
    <n v="23"/>
    <s v="Card"/>
    <n v="4.0999999999999996"/>
    <x v="2"/>
    <n v="15"/>
    <n v="2024"/>
  </r>
  <r>
    <s v="CUST_334"/>
    <s v="O0730"/>
    <d v="2024-01-12T00:00:00"/>
    <s v="Mumbai"/>
    <s v="Goregaon"/>
    <s v="Grill Masters"/>
    <s v="North Indian"/>
    <s v="Paneer Tikka"/>
    <s v="Veg"/>
    <n v="5"/>
    <n v="442"/>
    <n v="2210"/>
    <n v="43"/>
    <s v="UPI"/>
    <n v="3.7"/>
    <x v="6"/>
    <n v="2"/>
    <n v="2024"/>
  </r>
  <r>
    <s v="CUST_334"/>
    <s v="O0731"/>
    <d v="2024-04-23T00:00:00"/>
    <s v="Mumbai"/>
    <s v="Powai"/>
    <s v="Burger Hub"/>
    <s v="Indian"/>
    <s v="Fried Rice"/>
    <s v="Veg"/>
    <n v="1"/>
    <n v="355"/>
    <n v="355"/>
    <n v="43"/>
    <s v="UPI"/>
    <n v="4.9000000000000004"/>
    <x v="2"/>
    <n v="17"/>
    <n v="2024"/>
  </r>
  <r>
    <s v="CUST_334"/>
    <s v="O0732"/>
    <d v="2024-06-25T00:00:00"/>
    <s v="Hyderabad"/>
    <s v="Madhapur"/>
    <s v="Chinese Bowl"/>
    <s v="Indian"/>
    <s v="Sandwich"/>
    <s v="Veg"/>
    <n v="4"/>
    <n v="279"/>
    <n v="1116"/>
    <n v="22"/>
    <s v="UPI"/>
    <n v="4.2"/>
    <x v="7"/>
    <n v="26"/>
    <n v="2024"/>
  </r>
  <r>
    <s v="CUST_334"/>
    <s v="O0733"/>
    <d v="2024-04-28T00:00:00"/>
    <s v="Bangalore"/>
    <s v="Whitefield"/>
    <s v="Café Delight"/>
    <s v="Fast Food"/>
    <s v="Fried Rice"/>
    <s v="Veg"/>
    <n v="2"/>
    <n v="173"/>
    <n v="346"/>
    <n v="21"/>
    <s v="COD"/>
    <n v="3.5"/>
    <x v="2"/>
    <n v="18"/>
    <n v="2024"/>
  </r>
  <r>
    <s v="CUST_335"/>
    <s v="O0734"/>
    <d v="2024-05-29T00:00:00"/>
    <s v="Mumbai"/>
    <s v="Dadar"/>
    <s v="Urban Meals"/>
    <s v="Indian"/>
    <s v="Paneer Tikka"/>
    <s v="Veg"/>
    <n v="4"/>
    <n v="159"/>
    <n v="636"/>
    <n v="31"/>
    <s v="Card"/>
    <n v="3.4"/>
    <x v="5"/>
    <n v="22"/>
    <n v="2024"/>
  </r>
  <r>
    <s v="CUST_335"/>
    <s v="O0735"/>
    <d v="2024-07-17T00:00:00"/>
    <s v="Bangalore"/>
    <s v="Jayanagar"/>
    <s v="Sandwich Stop"/>
    <s v="Indian"/>
    <s v="Pizza"/>
    <s v="Veg"/>
    <n v="2"/>
    <n v="316"/>
    <n v="632"/>
    <n v="43"/>
    <s v="COD"/>
    <n v="4"/>
    <x v="1"/>
    <n v="29"/>
    <n v="2024"/>
  </r>
  <r>
    <s v="CUST_336"/>
    <s v="O0736"/>
    <d v="2024-08-26T00:00:00"/>
    <s v="Delhi"/>
    <s v="Karol Bagh"/>
    <s v="Grill Masters"/>
    <s v="North Indian"/>
    <s v="Paneer Tikka"/>
    <s v="Veg"/>
    <n v="3"/>
    <n v="270"/>
    <n v="810"/>
    <n v="42"/>
    <s v="COD"/>
    <n v="4"/>
    <x v="9"/>
    <n v="35"/>
    <n v="2024"/>
  </r>
  <r>
    <s v="CUST_336"/>
    <s v="O0737"/>
    <d v="2024-01-27T00:00:00"/>
    <s v="Mumbai"/>
    <s v="Bandra"/>
    <s v="Biryani House"/>
    <s v="South Indian"/>
    <s v="Masala Dosa"/>
    <s v="Veg"/>
    <n v="4"/>
    <n v="434"/>
    <n v="1736"/>
    <n v="36"/>
    <s v="COD"/>
    <n v="4"/>
    <x v="6"/>
    <n v="4"/>
    <n v="2024"/>
  </r>
  <r>
    <s v="CUST_336"/>
    <s v="O0738"/>
    <d v="2024-05-27T00:00:00"/>
    <s v="Delhi"/>
    <s v="Rohini"/>
    <s v="Grill Masters"/>
    <s v="North Indian"/>
    <s v="Paneer Tikka"/>
    <s v="Veg"/>
    <n v="3"/>
    <n v="104"/>
    <n v="312"/>
    <n v="42"/>
    <s v="UPI"/>
    <n v="3.1"/>
    <x v="5"/>
    <n v="22"/>
    <n v="2024"/>
  </r>
  <r>
    <s v="CUST_337"/>
    <s v="O0739"/>
    <d v="2024-04-24T00:00:00"/>
    <s v="Mumbai"/>
    <s v="Andheri"/>
    <s v="Biryani House"/>
    <s v="Chinese"/>
    <s v="Veg Burger"/>
    <s v="Veg"/>
    <n v="3"/>
    <n v="187"/>
    <n v="561"/>
    <n v="25"/>
    <s v="COD"/>
    <n v="4.3"/>
    <x v="2"/>
    <n v="17"/>
    <n v="2024"/>
  </r>
  <r>
    <s v="CUST_337"/>
    <s v="O0740"/>
    <d v="2024-04-30T00:00:00"/>
    <s v="Mumbai"/>
    <s v="Andheri"/>
    <s v="Chinese Bowl"/>
    <s v="South Indian"/>
    <s v="Pasta"/>
    <s v="Veg"/>
    <n v="2"/>
    <n v="254"/>
    <n v="508"/>
    <n v="36"/>
    <s v="UPI"/>
    <n v="3.8"/>
    <x v="2"/>
    <n v="18"/>
    <n v="2024"/>
  </r>
  <r>
    <s v="CUST_338"/>
    <s v="O0741"/>
    <d v="2024-09-30T00:00:00"/>
    <s v="Delhi"/>
    <s v="Karol Bagh"/>
    <s v="South Spice"/>
    <s v="Italian"/>
    <s v="Pasta"/>
    <s v="Veg"/>
    <n v="3"/>
    <n v="165"/>
    <n v="495"/>
    <n v="37"/>
    <s v="Card"/>
    <n v="4"/>
    <x v="3"/>
    <n v="40"/>
    <n v="2024"/>
  </r>
  <r>
    <s v="CUST_338"/>
    <s v="O0742"/>
    <d v="2024-08-15T00:00:00"/>
    <s v="Mumbai"/>
    <s v="Powai"/>
    <s v="Chinese Bowl"/>
    <s v="North Indian"/>
    <s v="Chicken Biryani"/>
    <s v="Non-Veg"/>
    <n v="3"/>
    <n v="177"/>
    <n v="531"/>
    <n v="27"/>
    <s v="COD"/>
    <n v="3.6"/>
    <x v="9"/>
    <n v="33"/>
    <n v="2024"/>
  </r>
  <r>
    <s v="CUST_339"/>
    <s v="O0743"/>
    <d v="2024-09-29T00:00:00"/>
    <s v="Chennai"/>
    <s v="T Nagar"/>
    <s v="Grill Masters"/>
    <s v="Fast Food"/>
    <s v="Chicken Biryani"/>
    <s v="Non-Veg"/>
    <n v="3"/>
    <n v="357"/>
    <n v="1071"/>
    <n v="36"/>
    <s v="COD"/>
    <n v="4.0999999999999996"/>
    <x v="3"/>
    <n v="40"/>
    <n v="2024"/>
  </r>
  <r>
    <s v="CUST_339"/>
    <s v="O0744"/>
    <d v="2024-08-02T00:00:00"/>
    <s v="Chennai"/>
    <s v="Adyar"/>
    <s v="Chinese Bowl"/>
    <s v="Italian"/>
    <s v="Chicken Roll"/>
    <s v="Non-Veg"/>
    <n v="4"/>
    <n v="372"/>
    <n v="1488"/>
    <n v="45"/>
    <s v="Card"/>
    <n v="3.7"/>
    <x v="9"/>
    <n v="31"/>
    <n v="2024"/>
  </r>
  <r>
    <s v="CUST_339"/>
    <s v="O0745"/>
    <d v="2024-07-21T00:00:00"/>
    <s v="Chennai"/>
    <s v="Adyar"/>
    <s v="Sandwich Stop"/>
    <s v="Indian"/>
    <s v="Sandwich"/>
    <s v="Veg"/>
    <n v="4"/>
    <n v="364"/>
    <n v="1456"/>
    <n v="36"/>
    <s v="Card"/>
    <n v="3.1"/>
    <x v="1"/>
    <n v="30"/>
    <n v="2024"/>
  </r>
  <r>
    <s v="CUST_339"/>
    <s v="O0746"/>
    <d v="2024-04-04T00:00:00"/>
    <s v="Hyderabad"/>
    <s v="Madhapur"/>
    <s v="Burger Hub"/>
    <s v="Fast Food"/>
    <s v="Chicken Biryani"/>
    <s v="Non-Veg"/>
    <n v="2"/>
    <n v="380"/>
    <n v="760"/>
    <n v="44"/>
    <s v="Card"/>
    <n v="3.8"/>
    <x v="2"/>
    <n v="14"/>
    <n v="2024"/>
  </r>
  <r>
    <s v="CUST_340"/>
    <s v="O0747"/>
    <d v="2024-04-18T00:00:00"/>
    <s v="Chennai"/>
    <s v="Adyar"/>
    <s v="South Spice"/>
    <s v="Italian"/>
    <s v="Chicken Roll"/>
    <s v="Non-Veg"/>
    <n v="2"/>
    <n v="316"/>
    <n v="632"/>
    <n v="41"/>
    <s v="COD"/>
    <n v="3.4"/>
    <x v="2"/>
    <n v="16"/>
    <n v="2024"/>
  </r>
  <r>
    <s v="CUST_340"/>
    <s v="O0748"/>
    <d v="2024-01-15T00:00:00"/>
    <s v="Chennai"/>
    <s v="Velachery"/>
    <s v="Café Delight"/>
    <s v="Indian"/>
    <s v="Fried Rice"/>
    <s v="Veg"/>
    <n v="3"/>
    <n v="344"/>
    <n v="1032"/>
    <n v="36"/>
    <s v="UPI"/>
    <n v="3.2"/>
    <x v="6"/>
    <n v="3"/>
    <n v="2024"/>
  </r>
  <r>
    <s v="CUST_341"/>
    <s v="O0749"/>
    <d v="2024-01-04T00:00:00"/>
    <s v="Delhi"/>
    <s v="Rohini"/>
    <s v="South Spice"/>
    <s v="Fast Food"/>
    <s v="Sandwich"/>
    <s v="Veg"/>
    <n v="3"/>
    <n v="244"/>
    <n v="732"/>
    <n v="20"/>
    <s v="UPI"/>
    <n v="4.5"/>
    <x v="6"/>
    <n v="1"/>
    <n v="2024"/>
  </r>
  <r>
    <s v="CUST_341"/>
    <s v="O0750"/>
    <d v="2024-09-27T00:00:00"/>
    <s v="Chennai"/>
    <s v="Adyar"/>
    <s v="Sandwich Stop"/>
    <s v="Italian"/>
    <s v="Momos"/>
    <s v="Veg"/>
    <n v="4"/>
    <n v="336"/>
    <n v="1344"/>
    <n v="28"/>
    <s v="COD"/>
    <n v="3.4"/>
    <x v="3"/>
    <n v="39"/>
    <n v="2024"/>
  </r>
  <r>
    <s v="CUST_342"/>
    <s v="O0751"/>
    <d v="2024-01-23T00:00:00"/>
    <s v="Hyderabad"/>
    <s v="Kukatpally"/>
    <s v="Pizza Planet"/>
    <s v="South Indian"/>
    <s v="Chicken Roll"/>
    <s v="Non-Veg"/>
    <n v="3"/>
    <n v="259"/>
    <n v="777"/>
    <n v="50"/>
    <s v="UPI"/>
    <n v="4.4000000000000004"/>
    <x v="6"/>
    <n v="4"/>
    <n v="2024"/>
  </r>
  <r>
    <s v="CUST_342"/>
    <s v="O0752"/>
    <d v="2024-07-04T00:00:00"/>
    <s v="Chennai"/>
    <s v="T Nagar"/>
    <s v="South Spice"/>
    <s v="Indian"/>
    <s v="Fried Rice"/>
    <s v="Veg"/>
    <n v="3"/>
    <n v="113"/>
    <n v="339"/>
    <n v="48"/>
    <s v="COD"/>
    <n v="4.4000000000000004"/>
    <x v="1"/>
    <n v="27"/>
    <n v="2024"/>
  </r>
  <r>
    <s v="CUST_342"/>
    <s v="O0753"/>
    <d v="2024-07-11T00:00:00"/>
    <s v="Hyderabad"/>
    <s v="Banjara Hills"/>
    <s v="Pizza Planet"/>
    <s v="Chinese"/>
    <s v="Paneer Tikka"/>
    <s v="Veg"/>
    <n v="1"/>
    <n v="471"/>
    <n v="471"/>
    <n v="27"/>
    <s v="UPI"/>
    <n v="3.5"/>
    <x v="1"/>
    <n v="28"/>
    <n v="2024"/>
  </r>
  <r>
    <s v="CUST_342"/>
    <s v="O0754"/>
    <d v="2024-03-25T00:00:00"/>
    <s v="Hyderabad"/>
    <s v="Begumpet"/>
    <s v="Pizza Planet"/>
    <s v="Indian"/>
    <s v="Masala Dosa"/>
    <s v="Veg"/>
    <n v="1"/>
    <n v="272"/>
    <n v="272"/>
    <n v="32"/>
    <s v="UPI"/>
    <n v="3.4"/>
    <x v="4"/>
    <n v="13"/>
    <n v="2024"/>
  </r>
  <r>
    <s v="CUST_343"/>
    <s v="O0755"/>
    <d v="2024-05-10T00:00:00"/>
    <s v="Bangalore"/>
    <s v="Jayanagar"/>
    <s v="Chinese Bowl"/>
    <s v="Chinese"/>
    <s v="Sandwich"/>
    <s v="Veg"/>
    <n v="4"/>
    <n v="295"/>
    <n v="1180"/>
    <n v="56"/>
    <s v="COD"/>
    <n v="4.0999999999999996"/>
    <x v="5"/>
    <n v="19"/>
    <n v="2024"/>
  </r>
  <r>
    <s v="CUST_343"/>
    <s v="O0756"/>
    <d v="2024-09-09T00:00:00"/>
    <s v="Mumbai"/>
    <s v="Powai"/>
    <s v="Tandoori Tales"/>
    <s v="Italian"/>
    <s v="Fried Rice"/>
    <s v="Veg"/>
    <n v="1"/>
    <n v="141"/>
    <n v="141"/>
    <n v="31"/>
    <s v="Card"/>
    <n v="4.0999999999999996"/>
    <x v="3"/>
    <n v="37"/>
    <n v="2024"/>
  </r>
  <r>
    <s v="CUST_343"/>
    <s v="O0757"/>
    <d v="2024-07-12T00:00:00"/>
    <s v="Delhi"/>
    <s v="Connaught Place"/>
    <s v="Pizza Planet"/>
    <s v="South Indian"/>
    <s v="Paneer Tikka"/>
    <s v="Veg"/>
    <n v="3"/>
    <n v="171"/>
    <n v="513"/>
    <n v="37"/>
    <s v="Card"/>
    <n v="4"/>
    <x v="1"/>
    <n v="28"/>
    <n v="2024"/>
  </r>
  <r>
    <s v="CUST_343"/>
    <s v="O0758"/>
    <d v="2024-07-05T00:00:00"/>
    <s v="Chennai"/>
    <s v="Adyar"/>
    <s v="Café Delight"/>
    <s v="Italian"/>
    <s v="Chicken Biryani"/>
    <s v="Non-Veg"/>
    <n v="5"/>
    <n v="449"/>
    <n v="2245"/>
    <n v="51"/>
    <s v="Card"/>
    <n v="4"/>
    <x v="1"/>
    <n v="27"/>
    <n v="2024"/>
  </r>
  <r>
    <s v="CUST_343"/>
    <s v="O0759"/>
    <d v="2024-02-18T00:00:00"/>
    <s v="Hyderabad"/>
    <s v="Kukatpally"/>
    <s v="Tandoori Tales"/>
    <s v="Fast Food"/>
    <s v="Pasta"/>
    <s v="Veg"/>
    <n v="5"/>
    <n v="446"/>
    <n v="2230"/>
    <n v="45"/>
    <s v="UPI"/>
    <n v="4.5"/>
    <x v="8"/>
    <n v="8"/>
    <n v="2024"/>
  </r>
  <r>
    <s v="CUST_344"/>
    <s v="O0760"/>
    <d v="2024-02-24T00:00:00"/>
    <s v="Bangalore"/>
    <s v="Koramangala"/>
    <s v="Urban Meals"/>
    <s v="Chinese"/>
    <s v="Sandwich"/>
    <s v="Veg"/>
    <n v="3"/>
    <n v="320"/>
    <n v="960"/>
    <n v="39"/>
    <s v="COD"/>
    <n v="3.9"/>
    <x v="8"/>
    <n v="8"/>
    <n v="2024"/>
  </r>
  <r>
    <s v="CUST_344"/>
    <s v="O0761"/>
    <d v="2024-05-13T00:00:00"/>
    <s v="Hyderabad"/>
    <s v="Begumpet"/>
    <s v="Sandwich Stop"/>
    <s v="South Indian"/>
    <s v="Masala Dosa"/>
    <s v="Veg"/>
    <n v="2"/>
    <n v="428"/>
    <n v="856"/>
    <n v="41"/>
    <s v="UPI"/>
    <n v="3.3"/>
    <x v="5"/>
    <n v="20"/>
    <n v="2024"/>
  </r>
  <r>
    <s v="CUST_344"/>
    <s v="O0762"/>
    <d v="2024-07-03T00:00:00"/>
    <s v="Chennai"/>
    <s v="Tambaram"/>
    <s v="Sandwich Stop"/>
    <s v="North Indian"/>
    <s v="Chicken Roll"/>
    <s v="Non-Veg"/>
    <n v="2"/>
    <n v="343"/>
    <n v="686"/>
    <n v="56"/>
    <s v="COD"/>
    <n v="4.9000000000000004"/>
    <x v="1"/>
    <n v="27"/>
    <n v="2024"/>
  </r>
  <r>
    <s v="CUST_345"/>
    <s v="O0763"/>
    <d v="2024-10-14T00:00:00"/>
    <s v="Bangalore"/>
    <s v="BTM Layout"/>
    <s v="Pizza Planet"/>
    <s v="Fast Food"/>
    <s v="Chicken Biryani"/>
    <s v="Non-Veg"/>
    <n v="5"/>
    <n v="144"/>
    <n v="720"/>
    <n v="35"/>
    <s v="UPI"/>
    <n v="3.3"/>
    <x v="0"/>
    <n v="42"/>
    <n v="2024"/>
  </r>
  <r>
    <s v="CUST_345"/>
    <s v="O0764"/>
    <d v="2024-03-18T00:00:00"/>
    <s v="Delhi"/>
    <s v="Saket"/>
    <s v="Urban Meals"/>
    <s v="Fast Food"/>
    <s v="Chicken Roll"/>
    <s v="Non-Veg"/>
    <n v="1"/>
    <n v="476"/>
    <n v="476"/>
    <n v="22"/>
    <s v="COD"/>
    <n v="4.2"/>
    <x v="4"/>
    <n v="12"/>
    <n v="2024"/>
  </r>
  <r>
    <s v="CUST_345"/>
    <s v="O0765"/>
    <d v="2024-05-05T00:00:00"/>
    <s v="Hyderabad"/>
    <s v="Madhapur"/>
    <s v="Urban Meals"/>
    <s v="Italian"/>
    <s v="Paneer Tikka"/>
    <s v="Veg"/>
    <n v="1"/>
    <n v="421"/>
    <n v="421"/>
    <n v="20"/>
    <s v="COD"/>
    <n v="3.5"/>
    <x v="5"/>
    <n v="19"/>
    <n v="2024"/>
  </r>
  <r>
    <s v="CUST_345"/>
    <s v="O0766"/>
    <d v="2024-06-03T00:00:00"/>
    <s v="Hyderabad"/>
    <s v="Begumpet"/>
    <s v="Café Delight"/>
    <s v="North Indian"/>
    <s v="Pizza"/>
    <s v="Veg"/>
    <n v="5"/>
    <n v="305"/>
    <n v="1525"/>
    <n v="20"/>
    <s v="UPI"/>
    <n v="3"/>
    <x v="7"/>
    <n v="23"/>
    <n v="2024"/>
  </r>
  <r>
    <s v="CUST_345"/>
    <s v="O0767"/>
    <d v="2024-08-19T00:00:00"/>
    <s v="Hyderabad"/>
    <s v="Begumpet"/>
    <s v="Grill Masters"/>
    <s v="Chinese"/>
    <s v="Sandwich"/>
    <s v="Veg"/>
    <n v="1"/>
    <n v="297"/>
    <n v="297"/>
    <n v="44"/>
    <s v="COD"/>
    <n v="3.4"/>
    <x v="9"/>
    <n v="34"/>
    <n v="2024"/>
  </r>
  <r>
    <s v="CUST_346"/>
    <s v="O0768"/>
    <d v="2024-03-31T00:00:00"/>
    <s v="Bangalore"/>
    <s v="Indiranagar"/>
    <s v="Sandwich Stop"/>
    <s v="Fast Food"/>
    <s v="Fried Rice"/>
    <s v="Veg"/>
    <n v="3"/>
    <n v="382"/>
    <n v="1146"/>
    <n v="43"/>
    <s v="UPI"/>
    <n v="4.5"/>
    <x v="4"/>
    <n v="14"/>
    <n v="2024"/>
  </r>
  <r>
    <s v="CUST_346"/>
    <s v="O0769"/>
    <d v="2024-10-18T00:00:00"/>
    <s v="Chennai"/>
    <s v="Tambaram"/>
    <s v="Biryani House"/>
    <s v="Fast Food"/>
    <s v="Momos"/>
    <s v="Veg"/>
    <n v="2"/>
    <n v="145"/>
    <n v="290"/>
    <n v="24"/>
    <s v="COD"/>
    <n v="3.7"/>
    <x v="0"/>
    <n v="42"/>
    <n v="2024"/>
  </r>
  <r>
    <s v="CUST_346"/>
    <s v="O0770"/>
    <d v="2024-02-16T00:00:00"/>
    <s v="Bangalore"/>
    <s v="Jayanagar"/>
    <s v="Tandoori Tales"/>
    <s v="South Indian"/>
    <s v="Pasta"/>
    <s v="Veg"/>
    <n v="4"/>
    <n v="449"/>
    <n v="1796"/>
    <n v="36"/>
    <s v="COD"/>
    <n v="4.8"/>
    <x v="8"/>
    <n v="7"/>
    <n v="2024"/>
  </r>
  <r>
    <s v="CUST_346"/>
    <s v="O0771"/>
    <d v="2024-08-04T00:00:00"/>
    <s v="Hyderabad"/>
    <s v="Begumpet"/>
    <s v="Tandoori Tales"/>
    <s v="Fast Food"/>
    <s v="Paneer Tikka"/>
    <s v="Veg"/>
    <n v="5"/>
    <n v="491"/>
    <n v="2455"/>
    <n v="27"/>
    <s v="UPI"/>
    <n v="3.6"/>
    <x v="9"/>
    <n v="32"/>
    <n v="2024"/>
  </r>
  <r>
    <s v="CUST_346"/>
    <s v="O0772"/>
    <d v="2024-06-18T00:00:00"/>
    <s v="Bangalore"/>
    <s v="BTM Layout"/>
    <s v="Pizza Planet"/>
    <s v="North Indian"/>
    <s v="Sandwich"/>
    <s v="Veg"/>
    <n v="2"/>
    <n v="233"/>
    <n v="466"/>
    <n v="55"/>
    <s v="COD"/>
    <n v="3.6"/>
    <x v="7"/>
    <n v="25"/>
    <n v="2024"/>
  </r>
  <r>
    <s v="CUST_347"/>
    <s v="O0773"/>
    <d v="2024-10-03T00:00:00"/>
    <s v="Mumbai"/>
    <s v="Dadar"/>
    <s v="South Spice"/>
    <s v="Italian"/>
    <s v="Fried Rice"/>
    <s v="Veg"/>
    <n v="4"/>
    <n v="170"/>
    <n v="680"/>
    <n v="52"/>
    <s v="Card"/>
    <n v="3.6"/>
    <x v="0"/>
    <n v="40"/>
    <n v="2024"/>
  </r>
  <r>
    <s v="CUST_347"/>
    <s v="O0774"/>
    <d v="2024-03-06T00:00:00"/>
    <s v="Mumbai"/>
    <s v="Andheri"/>
    <s v="Chinese Bowl"/>
    <s v="Indian"/>
    <s v="Momos"/>
    <s v="Veg"/>
    <n v="3"/>
    <n v="136"/>
    <n v="408"/>
    <n v="52"/>
    <s v="COD"/>
    <n v="3.8"/>
    <x v="4"/>
    <n v="10"/>
    <n v="2024"/>
  </r>
  <r>
    <s v="CUST_347"/>
    <s v="O0775"/>
    <d v="2024-03-10T00:00:00"/>
    <s v="Hyderabad"/>
    <s v="Madhapur"/>
    <s v="Sandwich Stop"/>
    <s v="Fast Food"/>
    <s v="Veg Burger"/>
    <s v="Veg"/>
    <n v="2"/>
    <n v="198"/>
    <n v="396"/>
    <n v="38"/>
    <s v="UPI"/>
    <n v="3.6"/>
    <x v="4"/>
    <n v="11"/>
    <n v="2024"/>
  </r>
  <r>
    <s v="CUST_347"/>
    <s v="O0776"/>
    <d v="2024-08-20T00:00:00"/>
    <s v="Mumbai"/>
    <s v="Goregaon"/>
    <s v="Urban Meals"/>
    <s v="Indian"/>
    <s v="Pasta"/>
    <s v="Veg"/>
    <n v="5"/>
    <n v="328"/>
    <n v="1640"/>
    <n v="20"/>
    <s v="COD"/>
    <n v="3.5"/>
    <x v="9"/>
    <n v="34"/>
    <n v="2024"/>
  </r>
  <r>
    <s v="CUST_348"/>
    <s v="O0777"/>
    <d v="2024-05-01T00:00:00"/>
    <s v="Hyderabad"/>
    <s v="Kukatpally"/>
    <s v="Burger Hub"/>
    <s v="South Indian"/>
    <s v="Paneer Tikka"/>
    <s v="Veg"/>
    <n v="2"/>
    <n v="159"/>
    <n v="318"/>
    <n v="53"/>
    <s v="Card"/>
    <n v="4.8"/>
    <x v="5"/>
    <n v="18"/>
    <n v="2024"/>
  </r>
  <r>
    <s v="CUST_348"/>
    <s v="O0778"/>
    <d v="2024-07-24T00:00:00"/>
    <s v="Hyderabad"/>
    <s v="Madhapur"/>
    <s v="Sandwich Stop"/>
    <s v="Fast Food"/>
    <s v="Chicken Roll"/>
    <s v="Non-Veg"/>
    <n v="3"/>
    <n v="237"/>
    <n v="711"/>
    <n v="34"/>
    <s v="COD"/>
    <n v="3.1"/>
    <x v="1"/>
    <n v="30"/>
    <n v="2024"/>
  </r>
  <r>
    <s v="CUST_349"/>
    <s v="O0779"/>
    <d v="2024-08-31T00:00:00"/>
    <s v="Mumbai"/>
    <s v="Powai"/>
    <s v="Urban Meals"/>
    <s v="Indian"/>
    <s v="Veg Burger"/>
    <s v="Veg"/>
    <n v="5"/>
    <n v="399"/>
    <n v="1995"/>
    <n v="43"/>
    <s v="Card"/>
    <n v="4.4000000000000004"/>
    <x v="9"/>
    <n v="35"/>
    <n v="2024"/>
  </r>
  <r>
    <s v="CUST_349"/>
    <s v="O0780"/>
    <d v="2024-03-29T00:00:00"/>
    <s v="Bangalore"/>
    <s v="Koramangala"/>
    <s v="South Spice"/>
    <s v="North Indian"/>
    <s v="Paneer Tikka"/>
    <s v="Veg"/>
    <n v="5"/>
    <n v="213"/>
    <n v="1065"/>
    <n v="20"/>
    <s v="COD"/>
    <n v="3.3"/>
    <x v="4"/>
    <n v="13"/>
    <n v="2024"/>
  </r>
  <r>
    <s v="CUST_349"/>
    <s v="O0781"/>
    <d v="2024-07-24T00:00:00"/>
    <s v="Mumbai"/>
    <s v="Andheri"/>
    <s v="South Spice"/>
    <s v="Fast Food"/>
    <s v="Veg Burger"/>
    <s v="Veg"/>
    <n v="4"/>
    <n v="137"/>
    <n v="548"/>
    <n v="52"/>
    <s v="Card"/>
    <n v="3.8"/>
    <x v="1"/>
    <n v="30"/>
    <n v="2024"/>
  </r>
  <r>
    <s v="CUST_349"/>
    <s v="O0782"/>
    <d v="2024-03-26T00:00:00"/>
    <s v="Delhi"/>
    <s v="Connaught Place"/>
    <s v="Café Delight"/>
    <s v="South Indian"/>
    <s v="Veg Burger"/>
    <s v="Veg"/>
    <n v="3"/>
    <n v="396"/>
    <n v="1188"/>
    <n v="60"/>
    <s v="Card"/>
    <n v="5"/>
    <x v="4"/>
    <n v="13"/>
    <n v="2024"/>
  </r>
  <r>
    <s v="CUST_350"/>
    <s v="O0783"/>
    <d v="2024-09-25T00:00:00"/>
    <s v="Bangalore"/>
    <s v="Whitefield"/>
    <s v="Grill Masters"/>
    <s v="South Indian"/>
    <s v="Masala Dosa"/>
    <s v="Veg"/>
    <n v="3"/>
    <n v="125"/>
    <n v="375"/>
    <n v="46"/>
    <s v="UPI"/>
    <n v="3.8"/>
    <x v="3"/>
    <n v="39"/>
    <n v="2024"/>
  </r>
  <r>
    <s v="CUST_350"/>
    <s v="O0784"/>
    <d v="2024-08-25T00:00:00"/>
    <s v="Bangalore"/>
    <s v="Jayanagar"/>
    <s v="Grill Masters"/>
    <s v="Italian"/>
    <s v="Fried Rice"/>
    <s v="Veg"/>
    <n v="4"/>
    <n v="460"/>
    <n v="1840"/>
    <n v="58"/>
    <s v="Card"/>
    <n v="4.3"/>
    <x v="9"/>
    <n v="35"/>
    <n v="2024"/>
  </r>
  <r>
    <s v="CUST_350"/>
    <s v="O0785"/>
    <d v="2024-02-24T00:00:00"/>
    <s v="Bangalore"/>
    <s v="Whitefield"/>
    <s v="Tandoori Tales"/>
    <s v="Chinese"/>
    <s v="Veg Burger"/>
    <s v="Veg"/>
    <n v="5"/>
    <n v="107"/>
    <n v="535"/>
    <n v="38"/>
    <s v="Card"/>
    <n v="4.3"/>
    <x v="8"/>
    <n v="8"/>
    <n v="2024"/>
  </r>
  <r>
    <s v="CUST_351"/>
    <s v="O0786"/>
    <d v="2024-04-19T00:00:00"/>
    <s v="Mumbai"/>
    <s v="Powai"/>
    <s v="Grill Masters"/>
    <s v="Indian"/>
    <s v="Chicken Roll"/>
    <s v="Non-Veg"/>
    <n v="4"/>
    <n v="325"/>
    <n v="1300"/>
    <n v="29"/>
    <s v="COD"/>
    <n v="4.7"/>
    <x v="2"/>
    <n v="16"/>
    <n v="2024"/>
  </r>
  <r>
    <s v="CUST_351"/>
    <s v="O0787"/>
    <d v="2024-02-08T00:00:00"/>
    <s v="Chennai"/>
    <s v="Velachery"/>
    <s v="South Spice"/>
    <s v="Fast Food"/>
    <s v="Fried Rice"/>
    <s v="Veg"/>
    <n v="1"/>
    <n v="236"/>
    <n v="236"/>
    <n v="41"/>
    <s v="COD"/>
    <n v="3.2"/>
    <x v="8"/>
    <n v="6"/>
    <n v="2024"/>
  </r>
  <r>
    <s v="CUST_352"/>
    <s v="O0788"/>
    <d v="2024-03-20T00:00:00"/>
    <s v="Mumbai"/>
    <s v="Goregaon"/>
    <s v="Grill Masters"/>
    <s v="Fast Food"/>
    <s v="Pasta"/>
    <s v="Veg"/>
    <n v="1"/>
    <n v="449"/>
    <n v="449"/>
    <n v="43"/>
    <s v="COD"/>
    <n v="4.8"/>
    <x v="4"/>
    <n v="12"/>
    <n v="2024"/>
  </r>
  <r>
    <s v="CUST_352"/>
    <s v="O0789"/>
    <d v="2024-10-19T00:00:00"/>
    <s v="Hyderabad"/>
    <s v="Banjara Hills"/>
    <s v="Pizza Planet"/>
    <s v="North Indian"/>
    <s v="Veg Burger"/>
    <s v="Veg"/>
    <n v="4"/>
    <n v="348"/>
    <n v="1392"/>
    <n v="23"/>
    <s v="COD"/>
    <n v="3.5"/>
    <x v="0"/>
    <n v="42"/>
    <n v="2024"/>
  </r>
  <r>
    <s v="CUST_352"/>
    <s v="O0790"/>
    <d v="2024-08-17T00:00:00"/>
    <s v="Hyderabad"/>
    <s v="Madhapur"/>
    <s v="Tandoori Tales"/>
    <s v="Fast Food"/>
    <s v="Pasta"/>
    <s v="Veg"/>
    <n v="1"/>
    <n v="276"/>
    <n v="276"/>
    <n v="45"/>
    <s v="COD"/>
    <n v="4.3"/>
    <x v="9"/>
    <n v="33"/>
    <n v="2024"/>
  </r>
  <r>
    <s v="CUST_353"/>
    <s v="O0791"/>
    <d v="2024-04-29T00:00:00"/>
    <s v="Chennai"/>
    <s v="Velachery"/>
    <s v="Pizza Planet"/>
    <s v="North Indian"/>
    <s v="Pizza"/>
    <s v="Veg"/>
    <n v="3"/>
    <n v="133"/>
    <n v="399"/>
    <n v="47"/>
    <s v="Card"/>
    <n v="3.7"/>
    <x v="2"/>
    <n v="18"/>
    <n v="2024"/>
  </r>
  <r>
    <s v="CUST_353"/>
    <s v="O0792"/>
    <d v="2024-02-05T00:00:00"/>
    <s v="Delhi"/>
    <s v="Rohini"/>
    <s v="Sandwich Stop"/>
    <s v="South Indian"/>
    <s v="Veg Burger"/>
    <s v="Veg"/>
    <n v="3"/>
    <n v="269"/>
    <n v="807"/>
    <n v="49"/>
    <s v="UPI"/>
    <n v="3"/>
    <x v="8"/>
    <n v="6"/>
    <n v="2024"/>
  </r>
  <r>
    <s v="CUST_354"/>
    <s v="O0793"/>
    <d v="2024-08-09T00:00:00"/>
    <s v="Mumbai"/>
    <s v="Powai"/>
    <s v="Burger Hub"/>
    <s v="Indian"/>
    <s v="Sandwich"/>
    <s v="Veg"/>
    <n v="1"/>
    <n v="166"/>
    <n v="166"/>
    <n v="53"/>
    <s v="Card"/>
    <n v="4.8"/>
    <x v="9"/>
    <n v="32"/>
    <n v="2024"/>
  </r>
  <r>
    <s v="CUST_354"/>
    <s v="O0794"/>
    <d v="2024-02-20T00:00:00"/>
    <s v="Delhi"/>
    <s v="Dwarka"/>
    <s v="Burger Hub"/>
    <s v="North Indian"/>
    <s v="Sandwich"/>
    <s v="Veg"/>
    <n v="2"/>
    <n v="149"/>
    <n v="298"/>
    <n v="53"/>
    <s v="UPI"/>
    <n v="3.5"/>
    <x v="8"/>
    <n v="8"/>
    <n v="2024"/>
  </r>
  <r>
    <s v="CUST_354"/>
    <s v="O0795"/>
    <d v="2024-05-09T00:00:00"/>
    <s v="Bangalore"/>
    <s v="Jayanagar"/>
    <s v="Grill Masters"/>
    <s v="North Indian"/>
    <s v="Sandwich"/>
    <s v="Veg"/>
    <n v="3"/>
    <n v="194"/>
    <n v="582"/>
    <n v="23"/>
    <s v="Card"/>
    <n v="4.0999999999999996"/>
    <x v="5"/>
    <n v="19"/>
    <n v="2024"/>
  </r>
  <r>
    <s v="CUST_354"/>
    <s v="O0796"/>
    <d v="2024-05-28T00:00:00"/>
    <s v="Hyderabad"/>
    <s v="Secunderabad"/>
    <s v="South Spice"/>
    <s v="Italian"/>
    <s v="Sandwich"/>
    <s v="Veg"/>
    <n v="5"/>
    <n v="113"/>
    <n v="565"/>
    <n v="54"/>
    <s v="COD"/>
    <n v="3.6"/>
    <x v="5"/>
    <n v="22"/>
    <n v="2024"/>
  </r>
  <r>
    <s v="CUST_355"/>
    <s v="O0797"/>
    <d v="2024-01-24T00:00:00"/>
    <s v="Chennai"/>
    <s v="Adyar"/>
    <s v="Urban Meals"/>
    <s v="Italian"/>
    <s v="Pasta"/>
    <s v="Veg"/>
    <n v="1"/>
    <n v="362"/>
    <n v="362"/>
    <n v="38"/>
    <s v="COD"/>
    <n v="4.3"/>
    <x v="6"/>
    <n v="4"/>
    <n v="2024"/>
  </r>
  <r>
    <s v="CUST_355"/>
    <s v="O0798"/>
    <d v="2024-05-31T00:00:00"/>
    <s v="Chennai"/>
    <s v="Tambaram"/>
    <s v="Sandwich Stop"/>
    <s v="Italian"/>
    <s v="Fried Rice"/>
    <s v="Veg"/>
    <n v="4"/>
    <n v="207"/>
    <n v="828"/>
    <n v="49"/>
    <s v="Card"/>
    <n v="3.3"/>
    <x v="5"/>
    <n v="22"/>
    <n v="2024"/>
  </r>
  <r>
    <s v="CUST_355"/>
    <s v="O0799"/>
    <d v="2024-03-06T00:00:00"/>
    <s v="Bangalore"/>
    <s v="Indiranagar"/>
    <s v="Grill Masters"/>
    <s v="Italian"/>
    <s v="Fried Rice"/>
    <s v="Veg"/>
    <n v="1"/>
    <n v="104"/>
    <n v="104"/>
    <n v="47"/>
    <s v="UPI"/>
    <n v="4"/>
    <x v="4"/>
    <n v="10"/>
    <n v="2024"/>
  </r>
  <r>
    <s v="CUST_355"/>
    <s v="O0800"/>
    <d v="2024-01-26T00:00:00"/>
    <s v="Bangalore"/>
    <s v="Indiranagar"/>
    <s v="Burger Hub"/>
    <s v="Fast Food"/>
    <s v="Masala Dosa"/>
    <s v="Veg"/>
    <n v="2"/>
    <n v="298"/>
    <n v="596"/>
    <n v="59"/>
    <s v="UPI"/>
    <n v="3.7"/>
    <x v="6"/>
    <n v="4"/>
    <n v="2024"/>
  </r>
  <r>
    <s v="CUST_356"/>
    <s v="O0801"/>
    <d v="2024-10-17T00:00:00"/>
    <s v="Delhi"/>
    <s v="Connaught Place"/>
    <s v="Tandoori Tales"/>
    <s v="Indian"/>
    <s v="Pizza"/>
    <s v="Veg"/>
    <n v="5"/>
    <n v="252"/>
    <n v="1260"/>
    <n v="54"/>
    <s v="UPI"/>
    <n v="3.2"/>
    <x v="0"/>
    <n v="42"/>
    <n v="2024"/>
  </r>
  <r>
    <s v="CUST_356"/>
    <s v="O0802"/>
    <d v="2024-05-09T00:00:00"/>
    <s v="Delhi"/>
    <s v="Karol Bagh"/>
    <s v="Sandwich Stop"/>
    <s v="Indian"/>
    <s v="Masala Dosa"/>
    <s v="Veg"/>
    <n v="1"/>
    <n v="298"/>
    <n v="298"/>
    <n v="26"/>
    <s v="Card"/>
    <n v="3.8"/>
    <x v="5"/>
    <n v="19"/>
    <n v="2024"/>
  </r>
  <r>
    <s v="CUST_356"/>
    <s v="O0803"/>
    <d v="2024-07-13T00:00:00"/>
    <s v="Mumbai"/>
    <s v="Goregaon"/>
    <s v="Tandoori Tales"/>
    <s v="Chinese"/>
    <s v="Chicken Roll"/>
    <s v="Non-Veg"/>
    <n v="2"/>
    <n v="292"/>
    <n v="584"/>
    <n v="45"/>
    <s v="Card"/>
    <n v="3.9"/>
    <x v="1"/>
    <n v="28"/>
    <n v="2024"/>
  </r>
  <r>
    <s v="CUST_356"/>
    <s v="O0804"/>
    <d v="2024-08-09T00:00:00"/>
    <s v="Delhi"/>
    <s v="Karol Bagh"/>
    <s v="Pizza Planet"/>
    <s v="Indian"/>
    <s v="Masala Dosa"/>
    <s v="Veg"/>
    <n v="5"/>
    <n v="154"/>
    <n v="770"/>
    <n v="36"/>
    <s v="COD"/>
    <n v="3.4"/>
    <x v="9"/>
    <n v="32"/>
    <n v="2024"/>
  </r>
  <r>
    <s v="CUST_356"/>
    <s v="O0805"/>
    <d v="2024-03-02T00:00:00"/>
    <s v="Bangalore"/>
    <s v="BTM Layout"/>
    <s v="Grill Masters"/>
    <s v="Indian"/>
    <s v="Paneer Tikka"/>
    <s v="Veg"/>
    <n v="5"/>
    <n v="330"/>
    <n v="1650"/>
    <n v="56"/>
    <s v="COD"/>
    <n v="4.7"/>
    <x v="4"/>
    <n v="9"/>
    <n v="2024"/>
  </r>
  <r>
    <s v="CUST_357"/>
    <s v="O0806"/>
    <d v="2024-01-31T00:00:00"/>
    <s v="Delhi"/>
    <s v="Connaught Place"/>
    <s v="Pizza Planet"/>
    <s v="Chinese"/>
    <s v="Sandwich"/>
    <s v="Veg"/>
    <n v="3"/>
    <n v="381"/>
    <n v="1143"/>
    <n v="20"/>
    <s v="COD"/>
    <n v="4.9000000000000004"/>
    <x v="6"/>
    <n v="5"/>
    <n v="2024"/>
  </r>
  <r>
    <s v="CUST_357"/>
    <s v="O0807"/>
    <d v="2024-04-28T00:00:00"/>
    <s v="Mumbai"/>
    <s v="Dadar"/>
    <s v="Burger Hub"/>
    <s v="North Indian"/>
    <s v="Masala Dosa"/>
    <s v="Veg"/>
    <n v="4"/>
    <n v="214"/>
    <n v="856"/>
    <n v="32"/>
    <s v="COD"/>
    <n v="3.8"/>
    <x v="2"/>
    <n v="18"/>
    <n v="2024"/>
  </r>
  <r>
    <s v="CUST_357"/>
    <s v="O0808"/>
    <d v="2024-05-28T00:00:00"/>
    <s v="Hyderabad"/>
    <s v="Kukatpally"/>
    <s v="Chinese Bowl"/>
    <s v="Chinese"/>
    <s v="Veg Burger"/>
    <s v="Veg"/>
    <n v="4"/>
    <n v="326"/>
    <n v="1304"/>
    <n v="52"/>
    <s v="UPI"/>
    <n v="5"/>
    <x v="5"/>
    <n v="22"/>
    <n v="2024"/>
  </r>
  <r>
    <s v="CUST_358"/>
    <s v="O0809"/>
    <d v="2024-10-15T00:00:00"/>
    <s v="Bangalore"/>
    <s v="Koramangala"/>
    <s v="South Spice"/>
    <s v="Chinese"/>
    <s v="Sandwich"/>
    <s v="Veg"/>
    <n v="2"/>
    <n v="437"/>
    <n v="874"/>
    <n v="34"/>
    <s v="COD"/>
    <n v="3.6"/>
    <x v="0"/>
    <n v="42"/>
    <n v="2024"/>
  </r>
  <r>
    <s v="CUST_358"/>
    <s v="O0810"/>
    <d v="2024-07-16T00:00:00"/>
    <s v="Chennai"/>
    <s v="Adyar"/>
    <s v="Pizza Planet"/>
    <s v="Fast Food"/>
    <s v="Chicken Biryani"/>
    <s v="Non-Veg"/>
    <n v="3"/>
    <n v="481"/>
    <n v="1443"/>
    <n v="31"/>
    <s v="UPI"/>
    <n v="3.6"/>
    <x v="1"/>
    <n v="29"/>
    <n v="2024"/>
  </r>
  <r>
    <s v="CUST_358"/>
    <s v="O0811"/>
    <d v="2024-09-04T00:00:00"/>
    <s v="Hyderabad"/>
    <s v="Banjara Hills"/>
    <s v="Pizza Planet"/>
    <s v="Chinese"/>
    <s v="Pizza"/>
    <s v="Veg"/>
    <n v="1"/>
    <n v="230"/>
    <n v="230"/>
    <n v="44"/>
    <s v="COD"/>
    <n v="3.9"/>
    <x v="3"/>
    <n v="36"/>
    <n v="2024"/>
  </r>
  <r>
    <s v="CUST_358"/>
    <s v="O0812"/>
    <d v="2024-09-03T00:00:00"/>
    <s v="Hyderabad"/>
    <s v="Madhapur"/>
    <s v="Grill Masters"/>
    <s v="Fast Food"/>
    <s v="Chicken Roll"/>
    <s v="Non-Veg"/>
    <n v="5"/>
    <n v="251"/>
    <n v="1255"/>
    <n v="31"/>
    <s v="Card"/>
    <n v="3.7"/>
    <x v="3"/>
    <n v="36"/>
    <n v="2024"/>
  </r>
  <r>
    <s v="CUST_358"/>
    <s v="O0813"/>
    <d v="2024-10-19T00:00:00"/>
    <s v="Bangalore"/>
    <s v="Whitefield"/>
    <s v="Chinese Bowl"/>
    <s v="Chinese"/>
    <s v="Sandwich"/>
    <s v="Veg"/>
    <n v="1"/>
    <n v="161"/>
    <n v="161"/>
    <n v="20"/>
    <s v="Card"/>
    <n v="3.4"/>
    <x v="0"/>
    <n v="42"/>
    <n v="2024"/>
  </r>
  <r>
    <s v="CUST_359"/>
    <s v="O0814"/>
    <d v="2024-05-28T00:00:00"/>
    <s v="Mumbai"/>
    <s v="Powai"/>
    <s v="Grill Masters"/>
    <s v="Italian"/>
    <s v="Momos"/>
    <s v="Veg"/>
    <n v="5"/>
    <n v="355"/>
    <n v="1775"/>
    <n v="55"/>
    <s v="Card"/>
    <n v="3.2"/>
    <x v="5"/>
    <n v="22"/>
    <n v="2024"/>
  </r>
  <r>
    <s v="CUST_359"/>
    <s v="O0815"/>
    <d v="2024-02-29T00:00:00"/>
    <s v="Mumbai"/>
    <s v="Goregaon"/>
    <s v="South Spice"/>
    <s v="Chinese"/>
    <s v="Momos"/>
    <s v="Veg"/>
    <n v="1"/>
    <n v="170"/>
    <n v="170"/>
    <n v="39"/>
    <s v="UPI"/>
    <n v="4.2"/>
    <x v="8"/>
    <n v="9"/>
    <n v="2024"/>
  </r>
  <r>
    <s v="CUST_359"/>
    <s v="O0816"/>
    <d v="2024-07-08T00:00:00"/>
    <s v="Delhi"/>
    <s v="Saket"/>
    <s v="Café Delight"/>
    <s v="Chinese"/>
    <s v="Sandwich"/>
    <s v="Veg"/>
    <n v="5"/>
    <n v="331"/>
    <n v="1655"/>
    <n v="50"/>
    <s v="UPI"/>
    <n v="4.4000000000000004"/>
    <x v="1"/>
    <n v="28"/>
    <n v="2024"/>
  </r>
  <r>
    <s v="CUST_359"/>
    <s v="O0817"/>
    <d v="2024-07-17T00:00:00"/>
    <s v="Bangalore"/>
    <s v="BTM Layout"/>
    <s v="Chinese Bowl"/>
    <s v="Chinese"/>
    <s v="Momos"/>
    <s v="Veg"/>
    <n v="3"/>
    <n v="372"/>
    <n v="1116"/>
    <n v="37"/>
    <s v="Card"/>
    <n v="3.3"/>
    <x v="1"/>
    <n v="29"/>
    <n v="2024"/>
  </r>
  <r>
    <s v="CUST_360"/>
    <s v="O0818"/>
    <d v="2024-05-27T00:00:00"/>
    <s v="Mumbai"/>
    <s v="Goregaon"/>
    <s v="Tandoori Tales"/>
    <s v="South Indian"/>
    <s v="Paneer Tikka"/>
    <s v="Veg"/>
    <n v="2"/>
    <n v="134"/>
    <n v="268"/>
    <n v="32"/>
    <s v="COD"/>
    <n v="3.7"/>
    <x v="5"/>
    <n v="22"/>
    <n v="2024"/>
  </r>
  <r>
    <s v="CUST_360"/>
    <s v="O0819"/>
    <d v="2024-07-16T00:00:00"/>
    <s v="Mumbai"/>
    <s v="Dadar"/>
    <s v="Burger Hub"/>
    <s v="Indian"/>
    <s v="Veg Burger"/>
    <s v="Veg"/>
    <n v="1"/>
    <n v="132"/>
    <n v="132"/>
    <n v="35"/>
    <s v="Card"/>
    <n v="3.5"/>
    <x v="1"/>
    <n v="29"/>
    <n v="2024"/>
  </r>
  <r>
    <s v="CUST_361"/>
    <s v="O0820"/>
    <d v="2024-02-27T00:00:00"/>
    <s v="Hyderabad"/>
    <s v="Banjara Hills"/>
    <s v="Burger Hub"/>
    <s v="Chinese"/>
    <s v="Sandwich"/>
    <s v="Veg"/>
    <n v="5"/>
    <n v="412"/>
    <n v="2060"/>
    <n v="44"/>
    <s v="COD"/>
    <n v="4.3"/>
    <x v="8"/>
    <n v="9"/>
    <n v="2024"/>
  </r>
  <r>
    <s v="CUST_361"/>
    <s v="O0821"/>
    <d v="2024-02-22T00:00:00"/>
    <s v="Bangalore"/>
    <s v="Whitefield"/>
    <s v="Chinese Bowl"/>
    <s v="North Indian"/>
    <s v="Paneer Tikka"/>
    <s v="Veg"/>
    <n v="1"/>
    <n v="463"/>
    <n v="463"/>
    <n v="26"/>
    <s v="COD"/>
    <n v="3.4"/>
    <x v="8"/>
    <n v="8"/>
    <n v="2024"/>
  </r>
  <r>
    <s v="CUST_361"/>
    <s v="O0822"/>
    <d v="2024-04-09T00:00:00"/>
    <s v="Mumbai"/>
    <s v="Andheri"/>
    <s v="Tandoori Tales"/>
    <s v="Fast Food"/>
    <s v="Momos"/>
    <s v="Veg"/>
    <n v="4"/>
    <n v="487"/>
    <n v="1948"/>
    <n v="20"/>
    <s v="UPI"/>
    <n v="3.6"/>
    <x v="2"/>
    <n v="15"/>
    <n v="2024"/>
  </r>
  <r>
    <s v="CUST_361"/>
    <s v="O0823"/>
    <d v="2024-03-31T00:00:00"/>
    <s v="Bangalore"/>
    <s v="Jayanagar"/>
    <s v="Biryani House"/>
    <s v="Chinese"/>
    <s v="Chicken Roll"/>
    <s v="Non-Veg"/>
    <n v="5"/>
    <n v="158"/>
    <n v="790"/>
    <n v="56"/>
    <s v="COD"/>
    <n v="4.5"/>
    <x v="4"/>
    <n v="14"/>
    <n v="2024"/>
  </r>
  <r>
    <s v="CUST_362"/>
    <s v="O0824"/>
    <d v="2024-08-26T00:00:00"/>
    <s v="Bangalore"/>
    <s v="Indiranagar"/>
    <s v="Burger Hub"/>
    <s v="Fast Food"/>
    <s v="Chicken Biryani"/>
    <s v="Non-Veg"/>
    <n v="2"/>
    <n v="246"/>
    <n v="492"/>
    <n v="37"/>
    <s v="Card"/>
    <n v="3.5"/>
    <x v="9"/>
    <n v="35"/>
    <n v="2024"/>
  </r>
  <r>
    <s v="CUST_362"/>
    <s v="O0825"/>
    <d v="2024-01-03T00:00:00"/>
    <s v="Delhi"/>
    <s v="Rohini"/>
    <s v="South Spice"/>
    <s v="Italian"/>
    <s v="Momos"/>
    <s v="Veg"/>
    <n v="5"/>
    <n v="248"/>
    <n v="1240"/>
    <n v="45"/>
    <s v="COD"/>
    <n v="3.9"/>
    <x v="6"/>
    <n v="1"/>
    <n v="2024"/>
  </r>
  <r>
    <s v="CUST_363"/>
    <s v="O0826"/>
    <d v="2024-05-06T00:00:00"/>
    <s v="Delhi"/>
    <s v="Karol Bagh"/>
    <s v="Burger Hub"/>
    <s v="Fast Food"/>
    <s v="Masala Dosa"/>
    <s v="Veg"/>
    <n v="4"/>
    <n v="195"/>
    <n v="780"/>
    <n v="38"/>
    <s v="UPI"/>
    <n v="4.5"/>
    <x v="5"/>
    <n v="19"/>
    <n v="2024"/>
  </r>
  <r>
    <s v="CUST_363"/>
    <s v="O0827"/>
    <d v="2024-08-25T00:00:00"/>
    <s v="Bangalore"/>
    <s v="Whitefield"/>
    <s v="Sandwich Stop"/>
    <s v="North Indian"/>
    <s v="Chicken Biryani"/>
    <s v="Non-Veg"/>
    <n v="4"/>
    <n v="173"/>
    <n v="692"/>
    <n v="49"/>
    <s v="UPI"/>
    <n v="4.5"/>
    <x v="9"/>
    <n v="35"/>
    <n v="2024"/>
  </r>
  <r>
    <s v="CUST_363"/>
    <s v="O0828"/>
    <d v="2024-01-03T00:00:00"/>
    <s v="Hyderabad"/>
    <s v="Secunderabad"/>
    <s v="Pizza Planet"/>
    <s v="South Indian"/>
    <s v="Veg Burger"/>
    <s v="Veg"/>
    <n v="3"/>
    <n v="299"/>
    <n v="897"/>
    <n v="28"/>
    <s v="COD"/>
    <n v="3.8"/>
    <x v="6"/>
    <n v="1"/>
    <n v="2024"/>
  </r>
  <r>
    <s v="CUST_363"/>
    <s v="O0829"/>
    <d v="2024-01-10T00:00:00"/>
    <s v="Bangalore"/>
    <s v="Indiranagar"/>
    <s v="Burger Hub"/>
    <s v="Indian"/>
    <s v="Pizza"/>
    <s v="Veg"/>
    <n v="5"/>
    <n v="372"/>
    <n v="1860"/>
    <n v="55"/>
    <s v="UPI"/>
    <n v="3.9"/>
    <x v="6"/>
    <n v="2"/>
    <n v="2024"/>
  </r>
  <r>
    <s v="CUST_363"/>
    <s v="O0830"/>
    <d v="2024-04-01T00:00:00"/>
    <s v="Bangalore"/>
    <s v="BTM Layout"/>
    <s v="Urban Meals"/>
    <s v="North Indian"/>
    <s v="Masala Dosa"/>
    <s v="Veg"/>
    <n v="4"/>
    <n v="173"/>
    <n v="692"/>
    <n v="60"/>
    <s v="UPI"/>
    <n v="3.8"/>
    <x v="2"/>
    <n v="14"/>
    <n v="2024"/>
  </r>
  <r>
    <s v="CUST_364"/>
    <s v="O0831"/>
    <d v="2024-07-18T00:00:00"/>
    <s v="Delhi"/>
    <s v="Karol Bagh"/>
    <s v="Sandwich Stop"/>
    <s v="Chinese"/>
    <s v="Pasta"/>
    <s v="Veg"/>
    <n v="4"/>
    <n v="309"/>
    <n v="1236"/>
    <n v="35"/>
    <s v="UPI"/>
    <n v="3.7"/>
    <x v="1"/>
    <n v="29"/>
    <n v="2024"/>
  </r>
  <r>
    <s v="CUST_364"/>
    <s v="O0832"/>
    <d v="2024-08-22T00:00:00"/>
    <s v="Hyderabad"/>
    <s v="Secunderabad"/>
    <s v="Sandwich Stop"/>
    <s v="Fast Food"/>
    <s v="Veg Burger"/>
    <s v="Veg"/>
    <n v="4"/>
    <n v="157"/>
    <n v="628"/>
    <n v="46"/>
    <s v="COD"/>
    <n v="4.5999999999999996"/>
    <x v="9"/>
    <n v="34"/>
    <n v="2024"/>
  </r>
  <r>
    <s v="CUST_364"/>
    <s v="O0833"/>
    <d v="2024-07-13T00:00:00"/>
    <s v="Mumbai"/>
    <s v="Bandra"/>
    <s v="Tandoori Tales"/>
    <s v="North Indian"/>
    <s v="Sandwich"/>
    <s v="Veg"/>
    <n v="3"/>
    <n v="281"/>
    <n v="843"/>
    <n v="24"/>
    <s v="COD"/>
    <n v="4.5999999999999996"/>
    <x v="1"/>
    <n v="28"/>
    <n v="2024"/>
  </r>
  <r>
    <s v="CUST_364"/>
    <s v="O0834"/>
    <d v="2024-02-12T00:00:00"/>
    <s v="Chennai"/>
    <s v="Anna Nagar"/>
    <s v="Biryani House"/>
    <s v="Indian"/>
    <s v="Sandwich"/>
    <s v="Veg"/>
    <n v="1"/>
    <n v="309"/>
    <n v="309"/>
    <n v="24"/>
    <s v="Card"/>
    <n v="3.2"/>
    <x v="8"/>
    <n v="7"/>
    <n v="2024"/>
  </r>
  <r>
    <s v="CUST_365"/>
    <s v="O0835"/>
    <d v="2024-08-22T00:00:00"/>
    <s v="Hyderabad"/>
    <s v="Kukatpally"/>
    <s v="Pizza Planet"/>
    <s v="South Indian"/>
    <s v="Pizza"/>
    <s v="Veg"/>
    <n v="2"/>
    <n v="317"/>
    <n v="634"/>
    <n v="20"/>
    <s v="Card"/>
    <n v="4.2"/>
    <x v="9"/>
    <n v="34"/>
    <n v="2024"/>
  </r>
  <r>
    <s v="CUST_365"/>
    <s v="O0836"/>
    <d v="2024-02-19T00:00:00"/>
    <s v="Delhi"/>
    <s v="Dwarka"/>
    <s v="Café Delight"/>
    <s v="Chinese"/>
    <s v="Paneer Tikka"/>
    <s v="Veg"/>
    <n v="5"/>
    <n v="236"/>
    <n v="1180"/>
    <n v="50"/>
    <s v="COD"/>
    <n v="3.4"/>
    <x v="8"/>
    <n v="8"/>
    <n v="2024"/>
  </r>
  <r>
    <s v="CUST_365"/>
    <s v="O0837"/>
    <d v="2024-09-07T00:00:00"/>
    <s v="Delhi"/>
    <s v="Dwarka"/>
    <s v="Urban Meals"/>
    <s v="South Indian"/>
    <s v="Fried Rice"/>
    <s v="Veg"/>
    <n v="3"/>
    <n v="268"/>
    <n v="804"/>
    <n v="21"/>
    <s v="UPI"/>
    <n v="4.8"/>
    <x v="3"/>
    <n v="36"/>
    <n v="2024"/>
  </r>
  <r>
    <s v="CUST_365"/>
    <s v="O0838"/>
    <d v="2024-03-01T00:00:00"/>
    <s v="Delhi"/>
    <s v="Connaught Place"/>
    <s v="Grill Masters"/>
    <s v="Fast Food"/>
    <s v="Chicken Roll"/>
    <s v="Non-Veg"/>
    <n v="3"/>
    <n v="144"/>
    <n v="432"/>
    <n v="25"/>
    <s v="UPI"/>
    <n v="4.9000000000000004"/>
    <x v="4"/>
    <n v="9"/>
    <n v="2024"/>
  </r>
  <r>
    <s v="CUST_366"/>
    <s v="O0839"/>
    <d v="2024-07-18T00:00:00"/>
    <s v="Bangalore"/>
    <s v="Jayanagar"/>
    <s v="South Spice"/>
    <s v="Indian"/>
    <s v="Fried Rice"/>
    <s v="Veg"/>
    <n v="3"/>
    <n v="253"/>
    <n v="759"/>
    <n v="47"/>
    <s v="COD"/>
    <n v="4.5999999999999996"/>
    <x v="1"/>
    <n v="29"/>
    <n v="2024"/>
  </r>
  <r>
    <s v="CUST_366"/>
    <s v="O0840"/>
    <d v="2024-07-24T00:00:00"/>
    <s v="Mumbai"/>
    <s v="Andheri"/>
    <s v="Biryani House"/>
    <s v="Fast Food"/>
    <s v="Chicken Biryani"/>
    <s v="Non-Veg"/>
    <n v="3"/>
    <n v="400"/>
    <n v="1200"/>
    <n v="42"/>
    <s v="Card"/>
    <n v="4.9000000000000004"/>
    <x v="1"/>
    <n v="30"/>
    <n v="2024"/>
  </r>
  <r>
    <s v="CUST_366"/>
    <s v="O0841"/>
    <d v="2024-02-25T00:00:00"/>
    <s v="Chennai"/>
    <s v="Velachery"/>
    <s v="Pizza Planet"/>
    <s v="Italian"/>
    <s v="Veg Burger"/>
    <s v="Veg"/>
    <n v="4"/>
    <n v="348"/>
    <n v="1392"/>
    <n v="27"/>
    <s v="Card"/>
    <n v="3.3"/>
    <x v="8"/>
    <n v="9"/>
    <n v="2024"/>
  </r>
  <r>
    <s v="CUST_367"/>
    <s v="O0842"/>
    <d v="2024-07-01T00:00:00"/>
    <s v="Mumbai"/>
    <s v="Powai"/>
    <s v="South Spice"/>
    <s v="Italian"/>
    <s v="Masala Dosa"/>
    <s v="Veg"/>
    <n v="2"/>
    <n v="159"/>
    <n v="318"/>
    <n v="44"/>
    <s v="COD"/>
    <n v="3.2"/>
    <x v="1"/>
    <n v="27"/>
    <n v="2024"/>
  </r>
  <r>
    <s v="CUST_367"/>
    <s v="O0843"/>
    <d v="2024-01-06T00:00:00"/>
    <s v="Bangalore"/>
    <s v="BTM Layout"/>
    <s v="Tandoori Tales"/>
    <s v="Italian"/>
    <s v="Sandwich"/>
    <s v="Veg"/>
    <n v="3"/>
    <n v="353"/>
    <n v="1059"/>
    <n v="20"/>
    <s v="Card"/>
    <n v="4.9000000000000004"/>
    <x v="6"/>
    <n v="1"/>
    <n v="2024"/>
  </r>
  <r>
    <s v="CUST_367"/>
    <s v="O0844"/>
    <d v="2024-06-22T00:00:00"/>
    <s v="Mumbai"/>
    <s v="Powai"/>
    <s v="Café Delight"/>
    <s v="Indian"/>
    <s v="Chicken Roll"/>
    <s v="Non-Veg"/>
    <n v="1"/>
    <n v="302"/>
    <n v="302"/>
    <n v="20"/>
    <s v="COD"/>
    <n v="4.2"/>
    <x v="7"/>
    <n v="25"/>
    <n v="2024"/>
  </r>
  <r>
    <s v="CUST_368"/>
    <s v="O0845"/>
    <d v="2024-06-22T00:00:00"/>
    <s v="Delhi"/>
    <s v="Saket"/>
    <s v="Café Delight"/>
    <s v="Fast Food"/>
    <s v="Fried Rice"/>
    <s v="Veg"/>
    <n v="3"/>
    <n v="148"/>
    <n v="444"/>
    <n v="23"/>
    <s v="COD"/>
    <n v="4.8"/>
    <x v="7"/>
    <n v="25"/>
    <n v="2024"/>
  </r>
  <r>
    <s v="CUST_368"/>
    <s v="O0846"/>
    <d v="2024-08-05T00:00:00"/>
    <s v="Hyderabad"/>
    <s v="Madhapur"/>
    <s v="Sandwich Stop"/>
    <s v="North Indian"/>
    <s v="Momos"/>
    <s v="Veg"/>
    <n v="3"/>
    <n v="360"/>
    <n v="1080"/>
    <n v="26"/>
    <s v="COD"/>
    <n v="4.8"/>
    <x v="9"/>
    <n v="32"/>
    <n v="2024"/>
  </r>
  <r>
    <s v="CUST_368"/>
    <s v="O0847"/>
    <d v="2024-06-10T00:00:00"/>
    <s v="Chennai"/>
    <s v="Adyar"/>
    <s v="South Spice"/>
    <s v="Italian"/>
    <s v="Chicken Roll"/>
    <s v="Non-Veg"/>
    <n v="5"/>
    <n v="147"/>
    <n v="735"/>
    <n v="28"/>
    <s v="COD"/>
    <n v="4.7"/>
    <x v="7"/>
    <n v="24"/>
    <n v="2024"/>
  </r>
  <r>
    <s v="CUST_368"/>
    <s v="O0848"/>
    <d v="2024-05-03T00:00:00"/>
    <s v="Bangalore"/>
    <s v="Koramangala"/>
    <s v="Grill Masters"/>
    <s v="South Indian"/>
    <s v="Sandwich"/>
    <s v="Veg"/>
    <n v="5"/>
    <n v="272"/>
    <n v="1360"/>
    <n v="60"/>
    <s v="Card"/>
    <n v="3.8"/>
    <x v="5"/>
    <n v="18"/>
    <n v="2024"/>
  </r>
  <r>
    <s v="CUST_369"/>
    <s v="O0849"/>
    <d v="2024-06-10T00:00:00"/>
    <s v="Bangalore"/>
    <s v="BTM Layout"/>
    <s v="Tandoori Tales"/>
    <s v="Fast Food"/>
    <s v="Fried Rice"/>
    <s v="Veg"/>
    <n v="4"/>
    <n v="228"/>
    <n v="912"/>
    <n v="28"/>
    <s v="UPI"/>
    <n v="4.7"/>
    <x v="7"/>
    <n v="24"/>
    <n v="2024"/>
  </r>
  <r>
    <s v="CUST_369"/>
    <s v="O0850"/>
    <d v="2024-01-29T00:00:00"/>
    <s v="Bangalore"/>
    <s v="BTM Layout"/>
    <s v="Café Delight"/>
    <s v="Chinese"/>
    <s v="Pasta"/>
    <s v="Veg"/>
    <n v="5"/>
    <n v="125"/>
    <n v="625"/>
    <n v="33"/>
    <s v="UPI"/>
    <n v="3"/>
    <x v="6"/>
    <n v="5"/>
    <n v="2024"/>
  </r>
  <r>
    <s v="CUST_370"/>
    <s v="O0851"/>
    <d v="2024-04-04T00:00:00"/>
    <s v="Mumbai"/>
    <s v="Powai"/>
    <s v="Chinese Bowl"/>
    <s v="Fast Food"/>
    <s v="Fried Rice"/>
    <s v="Veg"/>
    <n v="3"/>
    <n v="285"/>
    <n v="855"/>
    <n v="59"/>
    <s v="COD"/>
    <n v="4.5"/>
    <x v="2"/>
    <n v="14"/>
    <n v="2024"/>
  </r>
  <r>
    <s v="CUST_370"/>
    <s v="O0852"/>
    <d v="2024-07-07T00:00:00"/>
    <s v="Bangalore"/>
    <s v="BTM Layout"/>
    <s v="Pizza Planet"/>
    <s v="Indian"/>
    <s v="Sandwich"/>
    <s v="Veg"/>
    <n v="3"/>
    <n v="198"/>
    <n v="594"/>
    <n v="53"/>
    <s v="Card"/>
    <n v="3.3"/>
    <x v="1"/>
    <n v="28"/>
    <n v="2024"/>
  </r>
  <r>
    <s v="CUST_370"/>
    <s v="O0853"/>
    <d v="2024-09-18T00:00:00"/>
    <s v="Bangalore"/>
    <s v="Whitefield"/>
    <s v="Chinese Bowl"/>
    <s v="Fast Food"/>
    <s v="Pasta"/>
    <s v="Veg"/>
    <n v="1"/>
    <n v="360"/>
    <n v="360"/>
    <n v="24"/>
    <s v="COD"/>
    <n v="4.4000000000000004"/>
    <x v="3"/>
    <n v="38"/>
    <n v="2024"/>
  </r>
  <r>
    <s v="CUST_370"/>
    <s v="O0854"/>
    <d v="2024-03-17T00:00:00"/>
    <s v="Hyderabad"/>
    <s v="Begumpet"/>
    <s v="Burger Hub"/>
    <s v="Fast Food"/>
    <s v="Masala Dosa"/>
    <s v="Veg"/>
    <n v="2"/>
    <n v="271"/>
    <n v="542"/>
    <n v="59"/>
    <s v="UPI"/>
    <n v="3.1"/>
    <x v="4"/>
    <n v="12"/>
    <n v="2024"/>
  </r>
  <r>
    <s v="CUST_371"/>
    <s v="O0855"/>
    <d v="2024-03-13T00:00:00"/>
    <s v="Chennai"/>
    <s v="Anna Nagar"/>
    <s v="Grill Masters"/>
    <s v="Italian"/>
    <s v="Pizza"/>
    <s v="Veg"/>
    <n v="3"/>
    <n v="318"/>
    <n v="954"/>
    <n v="43"/>
    <s v="UPI"/>
    <n v="3.3"/>
    <x v="4"/>
    <n v="11"/>
    <n v="2024"/>
  </r>
  <r>
    <s v="CUST_371"/>
    <s v="O0856"/>
    <d v="2024-08-29T00:00:00"/>
    <s v="Chennai"/>
    <s v="Tambaram"/>
    <s v="Burger Hub"/>
    <s v="North Indian"/>
    <s v="Fried Rice"/>
    <s v="Veg"/>
    <n v="1"/>
    <n v="498"/>
    <n v="498"/>
    <n v="34"/>
    <s v="UPI"/>
    <n v="3.9"/>
    <x v="9"/>
    <n v="35"/>
    <n v="2024"/>
  </r>
  <r>
    <s v="CUST_372"/>
    <s v="O0857"/>
    <d v="2024-10-12T00:00:00"/>
    <s v="Bangalore"/>
    <s v="Jayanagar"/>
    <s v="Urban Meals"/>
    <s v="Fast Food"/>
    <s v="Momos"/>
    <s v="Veg"/>
    <n v="1"/>
    <n v="144"/>
    <n v="144"/>
    <n v="24"/>
    <s v="UPI"/>
    <n v="4.3"/>
    <x v="0"/>
    <n v="41"/>
    <n v="2024"/>
  </r>
  <r>
    <s v="CUST_372"/>
    <s v="O0858"/>
    <d v="2024-02-25T00:00:00"/>
    <s v="Mumbai"/>
    <s v="Bandra"/>
    <s v="Tandoori Tales"/>
    <s v="South Indian"/>
    <s v="Momos"/>
    <s v="Veg"/>
    <n v="5"/>
    <n v="202"/>
    <n v="1010"/>
    <n v="40"/>
    <s v="Card"/>
    <n v="5"/>
    <x v="8"/>
    <n v="9"/>
    <n v="2024"/>
  </r>
  <r>
    <s v="CUST_372"/>
    <s v="O0859"/>
    <d v="2024-08-29T00:00:00"/>
    <s v="Mumbai"/>
    <s v="Goregaon"/>
    <s v="Sandwich Stop"/>
    <s v="Italian"/>
    <s v="Veg Burger"/>
    <s v="Veg"/>
    <n v="2"/>
    <n v="305"/>
    <n v="610"/>
    <n v="30"/>
    <s v="Card"/>
    <n v="4.0999999999999996"/>
    <x v="9"/>
    <n v="35"/>
    <n v="2024"/>
  </r>
  <r>
    <s v="CUST_372"/>
    <s v="O0860"/>
    <d v="2024-03-12T00:00:00"/>
    <s v="Delhi"/>
    <s v="Karol Bagh"/>
    <s v="Urban Meals"/>
    <s v="Fast Food"/>
    <s v="Pizza"/>
    <s v="Veg"/>
    <n v="3"/>
    <n v="156"/>
    <n v="468"/>
    <n v="32"/>
    <s v="Card"/>
    <n v="3.4"/>
    <x v="4"/>
    <n v="11"/>
    <n v="2024"/>
  </r>
  <r>
    <s v="CUST_372"/>
    <s v="O0861"/>
    <d v="2024-05-30T00:00:00"/>
    <s v="Bangalore"/>
    <s v="Koramangala"/>
    <s v="Pizza Planet"/>
    <s v="Chinese"/>
    <s v="Chicken Roll"/>
    <s v="Non-Veg"/>
    <n v="3"/>
    <n v="296"/>
    <n v="888"/>
    <n v="41"/>
    <s v="UPI"/>
    <n v="3.5"/>
    <x v="5"/>
    <n v="22"/>
    <n v="2024"/>
  </r>
  <r>
    <s v="CUST_373"/>
    <s v="O0862"/>
    <d v="2024-07-02T00:00:00"/>
    <s v="Delhi"/>
    <s v="Saket"/>
    <s v="Chinese Bowl"/>
    <s v="Indian"/>
    <s v="Veg Burger"/>
    <s v="Veg"/>
    <n v="2"/>
    <n v="377"/>
    <n v="754"/>
    <n v="30"/>
    <s v="Card"/>
    <n v="3.6"/>
    <x v="1"/>
    <n v="27"/>
    <n v="2024"/>
  </r>
  <r>
    <s v="CUST_373"/>
    <s v="O0863"/>
    <d v="2024-07-21T00:00:00"/>
    <s v="Chennai"/>
    <s v="Adyar"/>
    <s v="Café Delight"/>
    <s v="South Indian"/>
    <s v="Pizza"/>
    <s v="Veg"/>
    <n v="2"/>
    <n v="483"/>
    <n v="966"/>
    <n v="43"/>
    <s v="UPI"/>
    <n v="3.6"/>
    <x v="1"/>
    <n v="30"/>
    <n v="2024"/>
  </r>
  <r>
    <s v="CUST_373"/>
    <s v="O0864"/>
    <d v="2024-01-25T00:00:00"/>
    <s v="Mumbai"/>
    <s v="Dadar"/>
    <s v="Urban Meals"/>
    <s v="South Indian"/>
    <s v="Momos"/>
    <s v="Veg"/>
    <n v="3"/>
    <n v="286"/>
    <n v="858"/>
    <n v="58"/>
    <s v="UPI"/>
    <n v="3.6"/>
    <x v="6"/>
    <n v="4"/>
    <n v="2024"/>
  </r>
  <r>
    <s v="CUST_374"/>
    <s v="O0865"/>
    <d v="2024-07-25T00:00:00"/>
    <s v="Mumbai"/>
    <s v="Dadar"/>
    <s v="Biryani House"/>
    <s v="South Indian"/>
    <s v="Chicken Roll"/>
    <s v="Non-Veg"/>
    <n v="1"/>
    <n v="496"/>
    <n v="496"/>
    <n v="41"/>
    <s v="COD"/>
    <n v="3.7"/>
    <x v="1"/>
    <n v="30"/>
    <n v="2024"/>
  </r>
  <r>
    <s v="CUST_374"/>
    <s v="O0866"/>
    <d v="2024-01-22T00:00:00"/>
    <s v="Mumbai"/>
    <s v="Powai"/>
    <s v="Urban Meals"/>
    <s v="Fast Food"/>
    <s v="Momos"/>
    <s v="Veg"/>
    <n v="4"/>
    <n v="378"/>
    <n v="1512"/>
    <n v="33"/>
    <s v="Card"/>
    <n v="4.2"/>
    <x v="6"/>
    <n v="4"/>
    <n v="2024"/>
  </r>
  <r>
    <s v="CUST_374"/>
    <s v="O0867"/>
    <d v="2024-03-13T00:00:00"/>
    <s v="Chennai"/>
    <s v="Anna Nagar"/>
    <s v="Café Delight"/>
    <s v="South Indian"/>
    <s v="Pasta"/>
    <s v="Veg"/>
    <n v="2"/>
    <n v="216"/>
    <n v="432"/>
    <n v="52"/>
    <s v="Card"/>
    <n v="3.5"/>
    <x v="4"/>
    <n v="11"/>
    <n v="2024"/>
  </r>
  <r>
    <s v="CUST_375"/>
    <s v="O0868"/>
    <d v="2024-01-10T00:00:00"/>
    <s v="Delhi"/>
    <s v="Dwarka"/>
    <s v="Biryani House"/>
    <s v="Italian"/>
    <s v="Momos"/>
    <s v="Veg"/>
    <n v="3"/>
    <n v="203"/>
    <n v="609"/>
    <n v="25"/>
    <s v="Card"/>
    <n v="3"/>
    <x v="6"/>
    <n v="2"/>
    <n v="2024"/>
  </r>
  <r>
    <s v="CUST_375"/>
    <s v="O0869"/>
    <d v="2024-06-30T00:00:00"/>
    <s v="Delhi"/>
    <s v="Karol Bagh"/>
    <s v="Sandwich Stop"/>
    <s v="Indian"/>
    <s v="Momos"/>
    <s v="Veg"/>
    <n v="1"/>
    <n v="427"/>
    <n v="427"/>
    <n v="48"/>
    <s v="COD"/>
    <n v="4.3"/>
    <x v="7"/>
    <n v="27"/>
    <n v="2024"/>
  </r>
  <r>
    <s v="CUST_375"/>
    <s v="O0870"/>
    <d v="2024-05-16T00:00:00"/>
    <s v="Bangalore"/>
    <s v="Indiranagar"/>
    <s v="Pizza Planet"/>
    <s v="Italian"/>
    <s v="Pasta"/>
    <s v="Veg"/>
    <n v="4"/>
    <n v="314"/>
    <n v="1256"/>
    <n v="23"/>
    <s v="Card"/>
    <n v="4.5999999999999996"/>
    <x v="5"/>
    <n v="20"/>
    <n v="2024"/>
  </r>
  <r>
    <s v="CUST_376"/>
    <s v="O0871"/>
    <d v="2024-01-27T00:00:00"/>
    <s v="Bangalore"/>
    <s v="Indiranagar"/>
    <s v="Pizza Planet"/>
    <s v="Indian"/>
    <s v="Fried Rice"/>
    <s v="Veg"/>
    <n v="4"/>
    <n v="268"/>
    <n v="1072"/>
    <n v="50"/>
    <s v="COD"/>
    <n v="3.8"/>
    <x v="6"/>
    <n v="4"/>
    <n v="2024"/>
  </r>
  <r>
    <s v="CUST_376"/>
    <s v="O0872"/>
    <d v="2024-04-21T00:00:00"/>
    <s v="Hyderabad"/>
    <s v="Secunderabad"/>
    <s v="Tandoori Tales"/>
    <s v="Chinese"/>
    <s v="Pasta"/>
    <s v="Veg"/>
    <n v="2"/>
    <n v="346"/>
    <n v="692"/>
    <n v="41"/>
    <s v="Card"/>
    <n v="4.3"/>
    <x v="2"/>
    <n v="17"/>
    <n v="2024"/>
  </r>
  <r>
    <s v="CUST_376"/>
    <s v="O0873"/>
    <d v="2024-01-21T00:00:00"/>
    <s v="Delhi"/>
    <s v="Karol Bagh"/>
    <s v="Urban Meals"/>
    <s v="North Indian"/>
    <s v="Momos"/>
    <s v="Veg"/>
    <n v="1"/>
    <n v="193"/>
    <n v="193"/>
    <n v="53"/>
    <s v="Card"/>
    <n v="4.4000000000000004"/>
    <x v="6"/>
    <n v="4"/>
    <n v="2024"/>
  </r>
  <r>
    <s v="CUST_376"/>
    <s v="O0874"/>
    <d v="2024-06-26T00:00:00"/>
    <s v="Delhi"/>
    <s v="Rohini"/>
    <s v="Burger Hub"/>
    <s v="Indian"/>
    <s v="Veg Burger"/>
    <s v="Veg"/>
    <n v="2"/>
    <n v="490"/>
    <n v="980"/>
    <n v="22"/>
    <s v="COD"/>
    <n v="3.9"/>
    <x v="7"/>
    <n v="26"/>
    <n v="2024"/>
  </r>
  <r>
    <s v="CUST_377"/>
    <s v="O0875"/>
    <d v="2024-06-21T00:00:00"/>
    <s v="Hyderabad"/>
    <s v="Begumpet"/>
    <s v="Chinese Bowl"/>
    <s v="Italian"/>
    <s v="Paneer Tikka"/>
    <s v="Veg"/>
    <n v="4"/>
    <n v="222"/>
    <n v="888"/>
    <n v="41"/>
    <s v="UPI"/>
    <n v="3.6"/>
    <x v="7"/>
    <n v="25"/>
    <n v="2024"/>
  </r>
  <r>
    <s v="CUST_377"/>
    <s v="O0876"/>
    <d v="2024-02-10T00:00:00"/>
    <s v="Chennai"/>
    <s v="Adyar"/>
    <s v="Urban Meals"/>
    <s v="Chinese"/>
    <s v="Pizza"/>
    <s v="Veg"/>
    <n v="4"/>
    <n v="426"/>
    <n v="1704"/>
    <n v="51"/>
    <s v="UPI"/>
    <n v="3.7"/>
    <x v="8"/>
    <n v="6"/>
    <n v="2024"/>
  </r>
  <r>
    <s v="CUST_377"/>
    <s v="O0877"/>
    <d v="2024-08-18T00:00:00"/>
    <s v="Chennai"/>
    <s v="Adyar"/>
    <s v="Chinese Bowl"/>
    <s v="South Indian"/>
    <s v="Veg Burger"/>
    <s v="Veg"/>
    <n v="4"/>
    <n v="285"/>
    <n v="1140"/>
    <n v="48"/>
    <s v="Card"/>
    <n v="3.3"/>
    <x v="9"/>
    <n v="34"/>
    <n v="2024"/>
  </r>
  <r>
    <s v="CUST_378"/>
    <s v="O0878"/>
    <d v="2024-05-14T00:00:00"/>
    <s v="Mumbai"/>
    <s v="Powai"/>
    <s v="Pizza Planet"/>
    <s v="Fast Food"/>
    <s v="Paneer Tikka"/>
    <s v="Veg"/>
    <n v="4"/>
    <n v="158"/>
    <n v="632"/>
    <n v="49"/>
    <s v="UPI"/>
    <n v="4.4000000000000004"/>
    <x v="5"/>
    <n v="20"/>
    <n v="2024"/>
  </r>
  <r>
    <s v="CUST_378"/>
    <s v="O0879"/>
    <d v="2024-10-09T00:00:00"/>
    <s v="Delhi"/>
    <s v="Saket"/>
    <s v="Tandoori Tales"/>
    <s v="Indian"/>
    <s v="Momos"/>
    <s v="Veg"/>
    <n v="3"/>
    <n v="357"/>
    <n v="1071"/>
    <n v="24"/>
    <s v="UPI"/>
    <n v="4.2"/>
    <x v="0"/>
    <n v="41"/>
    <n v="2024"/>
  </r>
  <r>
    <s v="CUST_378"/>
    <s v="O0880"/>
    <d v="2024-04-19T00:00:00"/>
    <s v="Mumbai"/>
    <s v="Dadar"/>
    <s v="Grill Masters"/>
    <s v="Fast Food"/>
    <s v="Sandwich"/>
    <s v="Veg"/>
    <n v="5"/>
    <n v="171"/>
    <n v="855"/>
    <n v="29"/>
    <s v="COD"/>
    <n v="4.9000000000000004"/>
    <x v="2"/>
    <n v="16"/>
    <n v="2024"/>
  </r>
  <r>
    <s v="CUST_378"/>
    <s v="O0881"/>
    <d v="2024-05-06T00:00:00"/>
    <s v="Delhi"/>
    <s v="Dwarka"/>
    <s v="Tandoori Tales"/>
    <s v="Chinese"/>
    <s v="Fried Rice"/>
    <s v="Veg"/>
    <n v="1"/>
    <n v="189"/>
    <n v="189"/>
    <n v="26"/>
    <s v="UPI"/>
    <n v="3.6"/>
    <x v="5"/>
    <n v="19"/>
    <n v="2024"/>
  </r>
  <r>
    <s v="CUST_379"/>
    <s v="O0882"/>
    <d v="2024-02-10T00:00:00"/>
    <s v="Delhi"/>
    <s v="Connaught Place"/>
    <s v="Tandoori Tales"/>
    <s v="South Indian"/>
    <s v="Paneer Tikka"/>
    <s v="Veg"/>
    <n v="1"/>
    <n v="245"/>
    <n v="245"/>
    <n v="26"/>
    <s v="UPI"/>
    <n v="4.9000000000000004"/>
    <x v="8"/>
    <n v="6"/>
    <n v="2024"/>
  </r>
  <r>
    <s v="CUST_379"/>
    <s v="O0883"/>
    <d v="2024-09-22T00:00:00"/>
    <s v="Delhi"/>
    <s v="Dwarka"/>
    <s v="Burger Hub"/>
    <s v="South Indian"/>
    <s v="Chicken Roll"/>
    <s v="Non-Veg"/>
    <n v="3"/>
    <n v="165"/>
    <n v="495"/>
    <n v="26"/>
    <s v="UPI"/>
    <n v="4.0999999999999996"/>
    <x v="3"/>
    <n v="39"/>
    <n v="2024"/>
  </r>
  <r>
    <s v="CUST_379"/>
    <s v="O0884"/>
    <d v="2024-09-05T00:00:00"/>
    <s v="Hyderabad"/>
    <s v="Kukatpally"/>
    <s v="Chinese Bowl"/>
    <s v="Indian"/>
    <s v="Pasta"/>
    <s v="Veg"/>
    <n v="4"/>
    <n v="305"/>
    <n v="1220"/>
    <n v="25"/>
    <s v="UPI"/>
    <n v="3.8"/>
    <x v="3"/>
    <n v="36"/>
    <n v="2024"/>
  </r>
  <r>
    <s v="CUST_379"/>
    <s v="O0885"/>
    <d v="2024-10-25T00:00:00"/>
    <s v="Bangalore"/>
    <s v="Koramangala"/>
    <s v="Tandoori Tales"/>
    <s v="Chinese"/>
    <s v="Masala Dosa"/>
    <s v="Veg"/>
    <n v="4"/>
    <n v="295"/>
    <n v="1180"/>
    <n v="36"/>
    <s v="COD"/>
    <n v="3.2"/>
    <x v="0"/>
    <n v="43"/>
    <n v="2024"/>
  </r>
  <r>
    <s v="CUST_380"/>
    <s v="O0886"/>
    <d v="2024-01-18T00:00:00"/>
    <s v="Chennai"/>
    <s v="Velachery"/>
    <s v="Sandwich Stop"/>
    <s v="Italian"/>
    <s v="Paneer Tikka"/>
    <s v="Veg"/>
    <n v="2"/>
    <n v="391"/>
    <n v="782"/>
    <n v="28"/>
    <s v="UPI"/>
    <n v="3.3"/>
    <x v="6"/>
    <n v="3"/>
    <n v="2024"/>
  </r>
  <r>
    <s v="CUST_380"/>
    <s v="O0887"/>
    <d v="2024-06-19T00:00:00"/>
    <s v="Bangalore"/>
    <s v="Koramangala"/>
    <s v="Biryani House"/>
    <s v="Chinese"/>
    <s v="Chicken Biryani"/>
    <s v="Non-Veg"/>
    <n v="5"/>
    <n v="350"/>
    <n v="1750"/>
    <n v="54"/>
    <s v="COD"/>
    <n v="3.4"/>
    <x v="7"/>
    <n v="25"/>
    <n v="2024"/>
  </r>
  <r>
    <s v="CUST_380"/>
    <s v="O0888"/>
    <d v="2024-09-18T00:00:00"/>
    <s v="Bangalore"/>
    <s v="Koramangala"/>
    <s v="Chinese Bowl"/>
    <s v="Chinese"/>
    <s v="Chicken Roll"/>
    <s v="Non-Veg"/>
    <n v="4"/>
    <n v="463"/>
    <n v="1852"/>
    <n v="30"/>
    <s v="Card"/>
    <n v="3"/>
    <x v="3"/>
    <n v="38"/>
    <n v="2024"/>
  </r>
  <r>
    <s v="CUST_380"/>
    <s v="O0889"/>
    <d v="2024-06-07T00:00:00"/>
    <s v="Chennai"/>
    <s v="Velachery"/>
    <s v="Café Delight"/>
    <s v="South Indian"/>
    <s v="Momos"/>
    <s v="Veg"/>
    <n v="4"/>
    <n v="445"/>
    <n v="1780"/>
    <n v="37"/>
    <s v="Card"/>
    <n v="4.3"/>
    <x v="7"/>
    <n v="23"/>
    <n v="2024"/>
  </r>
  <r>
    <s v="CUST_381"/>
    <s v="O0890"/>
    <d v="2024-02-03T00:00:00"/>
    <s v="Chennai"/>
    <s v="Anna Nagar"/>
    <s v="Grill Masters"/>
    <s v="Italian"/>
    <s v="Sandwich"/>
    <s v="Veg"/>
    <n v="3"/>
    <n v="384"/>
    <n v="1152"/>
    <n v="25"/>
    <s v="COD"/>
    <n v="3"/>
    <x v="8"/>
    <n v="5"/>
    <n v="2024"/>
  </r>
  <r>
    <s v="CUST_381"/>
    <s v="O0891"/>
    <d v="2024-07-16T00:00:00"/>
    <s v="Hyderabad"/>
    <s v="Banjara Hills"/>
    <s v="Burger Hub"/>
    <s v="Italian"/>
    <s v="Pizza"/>
    <s v="Veg"/>
    <n v="1"/>
    <n v="260"/>
    <n v="260"/>
    <n v="59"/>
    <s v="Card"/>
    <n v="4.0999999999999996"/>
    <x v="1"/>
    <n v="29"/>
    <n v="2024"/>
  </r>
  <r>
    <s v="CUST_381"/>
    <s v="O0892"/>
    <d v="2024-08-04T00:00:00"/>
    <s v="Delhi"/>
    <s v="Saket"/>
    <s v="Biryani House"/>
    <s v="Indian"/>
    <s v="Chicken Roll"/>
    <s v="Non-Veg"/>
    <n v="4"/>
    <n v="131"/>
    <n v="524"/>
    <n v="48"/>
    <s v="UPI"/>
    <n v="4"/>
    <x v="9"/>
    <n v="32"/>
    <n v="2024"/>
  </r>
  <r>
    <s v="CUST_382"/>
    <s v="O0893"/>
    <d v="2024-10-11T00:00:00"/>
    <s v="Hyderabad"/>
    <s v="Banjara Hills"/>
    <s v="Burger Hub"/>
    <s v="Italian"/>
    <s v="Pizza"/>
    <s v="Veg"/>
    <n v="2"/>
    <n v="380"/>
    <n v="760"/>
    <n v="39"/>
    <s v="Card"/>
    <n v="4.5999999999999996"/>
    <x v="0"/>
    <n v="41"/>
    <n v="2024"/>
  </r>
  <r>
    <s v="CUST_382"/>
    <s v="O0894"/>
    <d v="2024-10-12T00:00:00"/>
    <s v="Mumbai"/>
    <s v="Andheri"/>
    <s v="Pizza Planet"/>
    <s v="South Indian"/>
    <s v="Chicken Biryani"/>
    <s v="Non-Veg"/>
    <n v="5"/>
    <n v="360"/>
    <n v="1800"/>
    <n v="44"/>
    <s v="COD"/>
    <n v="4.5"/>
    <x v="0"/>
    <n v="41"/>
    <n v="2024"/>
  </r>
  <r>
    <s v="CUST_382"/>
    <s v="O0895"/>
    <d v="2024-02-17T00:00:00"/>
    <s v="Mumbai"/>
    <s v="Bandra"/>
    <s v="Sandwich Stop"/>
    <s v="Fast Food"/>
    <s v="Pasta"/>
    <s v="Veg"/>
    <n v="4"/>
    <n v="471"/>
    <n v="1884"/>
    <n v="45"/>
    <s v="Card"/>
    <n v="4.0999999999999996"/>
    <x v="8"/>
    <n v="7"/>
    <n v="2024"/>
  </r>
  <r>
    <s v="CUST_383"/>
    <s v="O0896"/>
    <d v="2024-03-27T00:00:00"/>
    <s v="Bangalore"/>
    <s v="Whitefield"/>
    <s v="Grill Masters"/>
    <s v="Italian"/>
    <s v="Paneer Tikka"/>
    <s v="Veg"/>
    <n v="2"/>
    <n v="472"/>
    <n v="944"/>
    <n v="21"/>
    <s v="COD"/>
    <n v="3.3"/>
    <x v="4"/>
    <n v="13"/>
    <n v="2024"/>
  </r>
  <r>
    <s v="CUST_383"/>
    <s v="O0897"/>
    <d v="2024-04-27T00:00:00"/>
    <s v="Delhi"/>
    <s v="Connaught Place"/>
    <s v="Grill Masters"/>
    <s v="South Indian"/>
    <s v="Pasta"/>
    <s v="Veg"/>
    <n v="4"/>
    <n v="458"/>
    <n v="1832"/>
    <n v="55"/>
    <s v="COD"/>
    <n v="3.6"/>
    <x v="2"/>
    <n v="17"/>
    <n v="2024"/>
  </r>
  <r>
    <s v="CUST_383"/>
    <s v="O0898"/>
    <d v="2024-08-06T00:00:00"/>
    <s v="Chennai"/>
    <s v="Velachery"/>
    <s v="Tandoori Tales"/>
    <s v="South Indian"/>
    <s v="Fried Rice"/>
    <s v="Veg"/>
    <n v="5"/>
    <n v="171"/>
    <n v="855"/>
    <n v="23"/>
    <s v="Card"/>
    <n v="3.9"/>
    <x v="9"/>
    <n v="32"/>
    <n v="2024"/>
  </r>
  <r>
    <s v="CUST_384"/>
    <s v="O0899"/>
    <d v="2024-03-02T00:00:00"/>
    <s v="Delhi"/>
    <s v="Karol Bagh"/>
    <s v="Tandoori Tales"/>
    <s v="Italian"/>
    <s v="Chicken Roll"/>
    <s v="Non-Veg"/>
    <n v="1"/>
    <n v="473"/>
    <n v="473"/>
    <n v="23"/>
    <s v="UPI"/>
    <n v="3.4"/>
    <x v="4"/>
    <n v="9"/>
    <n v="2024"/>
  </r>
  <r>
    <s v="CUST_384"/>
    <s v="O0900"/>
    <d v="2024-08-13T00:00:00"/>
    <s v="Chennai"/>
    <s v="T Nagar"/>
    <s v="Pizza Planet"/>
    <s v="Indian"/>
    <s v="Pizza"/>
    <s v="Veg"/>
    <n v="5"/>
    <n v="214"/>
    <n v="1070"/>
    <n v="53"/>
    <s v="COD"/>
    <n v="3.6"/>
    <x v="9"/>
    <n v="33"/>
    <n v="2024"/>
  </r>
  <r>
    <s v="CUST_384"/>
    <s v="O0901"/>
    <d v="2024-04-01T00:00:00"/>
    <s v="Mumbai"/>
    <s v="Powai"/>
    <s v="Burger Hub"/>
    <s v="Italian"/>
    <s v="Chicken Biryani"/>
    <s v="Non-Veg"/>
    <n v="5"/>
    <n v="374"/>
    <n v="1870"/>
    <n v="50"/>
    <s v="Card"/>
    <n v="4.3"/>
    <x v="2"/>
    <n v="14"/>
    <n v="2024"/>
  </r>
  <r>
    <s v="CUST_385"/>
    <s v="O0902"/>
    <d v="2024-01-19T00:00:00"/>
    <s v="Bangalore"/>
    <s v="BTM Layout"/>
    <s v="Café Delight"/>
    <s v="Italian"/>
    <s v="Sandwich"/>
    <s v="Veg"/>
    <n v="5"/>
    <n v="462"/>
    <n v="2310"/>
    <n v="59"/>
    <s v="Card"/>
    <n v="3.7"/>
    <x v="6"/>
    <n v="3"/>
    <n v="2024"/>
  </r>
  <r>
    <s v="CUST_385"/>
    <s v="O0903"/>
    <d v="2024-09-04T00:00:00"/>
    <s v="Bangalore"/>
    <s v="Indiranagar"/>
    <s v="South Spice"/>
    <s v="South Indian"/>
    <s v="Sandwich"/>
    <s v="Veg"/>
    <n v="1"/>
    <n v="454"/>
    <n v="454"/>
    <n v="29"/>
    <s v="COD"/>
    <n v="3.7"/>
    <x v="3"/>
    <n v="36"/>
    <n v="2024"/>
  </r>
  <r>
    <s v="CUST_385"/>
    <s v="O0904"/>
    <d v="2024-03-10T00:00:00"/>
    <s v="Bangalore"/>
    <s v="Koramangala"/>
    <s v="Café Delight"/>
    <s v="Chinese"/>
    <s v="Sandwich"/>
    <s v="Veg"/>
    <n v="4"/>
    <n v="116"/>
    <n v="464"/>
    <n v="20"/>
    <s v="UPI"/>
    <n v="4.0999999999999996"/>
    <x v="4"/>
    <n v="11"/>
    <n v="2024"/>
  </r>
  <r>
    <s v="CUST_386"/>
    <s v="O0905"/>
    <d v="2024-03-02T00:00:00"/>
    <s v="Hyderabad"/>
    <s v="Kukatpally"/>
    <s v="Chinese Bowl"/>
    <s v="Fast Food"/>
    <s v="Veg Burger"/>
    <s v="Veg"/>
    <n v="2"/>
    <n v="195"/>
    <n v="390"/>
    <n v="58"/>
    <s v="COD"/>
    <n v="4.3"/>
    <x v="4"/>
    <n v="9"/>
    <n v="2024"/>
  </r>
  <r>
    <s v="CUST_386"/>
    <s v="O0906"/>
    <d v="2024-01-01T00:00:00"/>
    <s v="Hyderabad"/>
    <s v="Banjara Hills"/>
    <s v="Chinese Bowl"/>
    <s v="Fast Food"/>
    <s v="Fried Rice"/>
    <s v="Veg"/>
    <n v="2"/>
    <n v="442"/>
    <n v="884"/>
    <n v="40"/>
    <s v="Card"/>
    <n v="4.9000000000000004"/>
    <x v="6"/>
    <n v="1"/>
    <n v="2024"/>
  </r>
  <r>
    <s v="CUST_386"/>
    <s v="O0907"/>
    <d v="2024-06-24T00:00:00"/>
    <s v="Hyderabad"/>
    <s v="Madhapur"/>
    <s v="Burger Hub"/>
    <s v="North Indian"/>
    <s v="Sandwich"/>
    <s v="Veg"/>
    <n v="1"/>
    <n v="158"/>
    <n v="158"/>
    <n v="46"/>
    <s v="UPI"/>
    <n v="4.5"/>
    <x v="7"/>
    <n v="26"/>
    <n v="2024"/>
  </r>
  <r>
    <s v="CUST_386"/>
    <s v="O0908"/>
    <d v="2024-05-10T00:00:00"/>
    <s v="Mumbai"/>
    <s v="Dadar"/>
    <s v="South Spice"/>
    <s v="North Indian"/>
    <s v="Chicken Biryani"/>
    <s v="Non-Veg"/>
    <n v="2"/>
    <n v="274"/>
    <n v="548"/>
    <n v="36"/>
    <s v="Card"/>
    <n v="4.0999999999999996"/>
    <x v="5"/>
    <n v="19"/>
    <n v="2024"/>
  </r>
  <r>
    <s v="CUST_387"/>
    <s v="O0909"/>
    <d v="2024-09-03T00:00:00"/>
    <s v="Mumbai"/>
    <s v="Powai"/>
    <s v="Biryani House"/>
    <s v="Chinese"/>
    <s v="Pasta"/>
    <s v="Veg"/>
    <n v="3"/>
    <n v="359"/>
    <n v="1077"/>
    <n v="53"/>
    <s v="Card"/>
    <n v="4.0999999999999996"/>
    <x v="3"/>
    <n v="36"/>
    <n v="2024"/>
  </r>
  <r>
    <s v="CUST_387"/>
    <s v="O0910"/>
    <d v="2024-03-29T00:00:00"/>
    <s v="Bangalore"/>
    <s v="BTM Layout"/>
    <s v="Grill Masters"/>
    <s v="South Indian"/>
    <s v="Momos"/>
    <s v="Veg"/>
    <n v="1"/>
    <n v="362"/>
    <n v="362"/>
    <n v="55"/>
    <s v="UPI"/>
    <n v="3.9"/>
    <x v="4"/>
    <n v="13"/>
    <n v="2024"/>
  </r>
  <r>
    <s v="CUST_387"/>
    <s v="O0911"/>
    <d v="2024-03-06T00:00:00"/>
    <s v="Bangalore"/>
    <s v="Whitefield"/>
    <s v="Urban Meals"/>
    <s v="North Indian"/>
    <s v="Momos"/>
    <s v="Veg"/>
    <n v="4"/>
    <n v="431"/>
    <n v="1724"/>
    <n v="45"/>
    <s v="Card"/>
    <n v="4.8"/>
    <x v="4"/>
    <n v="10"/>
    <n v="2024"/>
  </r>
  <r>
    <s v="CUST_387"/>
    <s v="O0912"/>
    <d v="2024-10-02T00:00:00"/>
    <s v="Delhi"/>
    <s v="Rohini"/>
    <s v="Pizza Planet"/>
    <s v="Indian"/>
    <s v="Masala Dosa"/>
    <s v="Veg"/>
    <n v="2"/>
    <n v="407"/>
    <n v="814"/>
    <n v="52"/>
    <s v="UPI"/>
    <n v="4.3"/>
    <x v="0"/>
    <n v="40"/>
    <n v="2024"/>
  </r>
  <r>
    <s v="CUST_387"/>
    <s v="O0913"/>
    <d v="2024-02-13T00:00:00"/>
    <s v="Mumbai"/>
    <s v="Powai"/>
    <s v="Pizza Planet"/>
    <s v="Chinese"/>
    <s v="Sandwich"/>
    <s v="Veg"/>
    <n v="2"/>
    <n v="147"/>
    <n v="294"/>
    <n v="60"/>
    <s v="UPI"/>
    <n v="4.0999999999999996"/>
    <x v="8"/>
    <n v="7"/>
    <n v="2024"/>
  </r>
  <r>
    <s v="CUST_388"/>
    <s v="O0914"/>
    <d v="2024-03-19T00:00:00"/>
    <s v="Delhi"/>
    <s v="Dwarka"/>
    <s v="Sandwich Stop"/>
    <s v="Fast Food"/>
    <s v="Paneer Tikka"/>
    <s v="Veg"/>
    <n v="2"/>
    <n v="376"/>
    <n v="752"/>
    <n v="48"/>
    <s v="UPI"/>
    <n v="4.3"/>
    <x v="4"/>
    <n v="12"/>
    <n v="2024"/>
  </r>
  <r>
    <s v="CUST_388"/>
    <s v="O0915"/>
    <d v="2024-04-30T00:00:00"/>
    <s v="Delhi"/>
    <s v="Rohini"/>
    <s v="Pizza Planet"/>
    <s v="Italian"/>
    <s v="Pizza"/>
    <s v="Veg"/>
    <n v="4"/>
    <n v="482"/>
    <n v="1928"/>
    <n v="46"/>
    <s v="COD"/>
    <n v="3.9"/>
    <x v="2"/>
    <n v="18"/>
    <n v="2024"/>
  </r>
  <r>
    <s v="CUST_388"/>
    <s v="O0916"/>
    <d v="2024-09-12T00:00:00"/>
    <s v="Chennai"/>
    <s v="Velachery"/>
    <s v="Burger Hub"/>
    <s v="North Indian"/>
    <s v="Paneer Tikka"/>
    <s v="Veg"/>
    <n v="3"/>
    <n v="293"/>
    <n v="879"/>
    <n v="51"/>
    <s v="COD"/>
    <n v="4.5999999999999996"/>
    <x v="3"/>
    <n v="37"/>
    <n v="2024"/>
  </r>
  <r>
    <s v="CUST_388"/>
    <s v="O0917"/>
    <d v="2024-08-01T00:00:00"/>
    <s v="Chennai"/>
    <s v="Tambaram"/>
    <s v="Tandoori Tales"/>
    <s v="Italian"/>
    <s v="Momos"/>
    <s v="Veg"/>
    <n v="2"/>
    <n v="157"/>
    <n v="314"/>
    <n v="59"/>
    <s v="UPI"/>
    <n v="4.9000000000000004"/>
    <x v="9"/>
    <n v="31"/>
    <n v="2024"/>
  </r>
  <r>
    <s v="CUST_389"/>
    <s v="O0918"/>
    <d v="2024-02-12T00:00:00"/>
    <s v="Bangalore"/>
    <s v="Indiranagar"/>
    <s v="South Spice"/>
    <s v="North Indian"/>
    <s v="Fried Rice"/>
    <s v="Veg"/>
    <n v="2"/>
    <n v="268"/>
    <n v="536"/>
    <n v="57"/>
    <s v="COD"/>
    <n v="4.5999999999999996"/>
    <x v="8"/>
    <n v="7"/>
    <n v="2024"/>
  </r>
  <r>
    <s v="CUST_389"/>
    <s v="O0919"/>
    <d v="2024-01-22T00:00:00"/>
    <s v="Hyderabad"/>
    <s v="Madhapur"/>
    <s v="Pizza Planet"/>
    <s v="Fast Food"/>
    <s v="Pasta"/>
    <s v="Veg"/>
    <n v="5"/>
    <n v="169"/>
    <n v="845"/>
    <n v="53"/>
    <s v="UPI"/>
    <n v="3.7"/>
    <x v="6"/>
    <n v="4"/>
    <n v="2024"/>
  </r>
  <r>
    <s v="CUST_389"/>
    <s v="O0920"/>
    <d v="2024-02-10T00:00:00"/>
    <s v="Delhi"/>
    <s v="Dwarka"/>
    <s v="Café Delight"/>
    <s v="North Indian"/>
    <s v="Chicken Biryani"/>
    <s v="Non-Veg"/>
    <n v="1"/>
    <n v="356"/>
    <n v="356"/>
    <n v="38"/>
    <s v="UPI"/>
    <n v="4.0999999999999996"/>
    <x v="8"/>
    <n v="6"/>
    <n v="2024"/>
  </r>
  <r>
    <s v="CUST_389"/>
    <s v="O0921"/>
    <d v="2024-08-05T00:00:00"/>
    <s v="Bangalore"/>
    <s v="Jayanagar"/>
    <s v="Tandoori Tales"/>
    <s v="South Indian"/>
    <s v="Chicken Biryani"/>
    <s v="Non-Veg"/>
    <n v="2"/>
    <n v="143"/>
    <n v="286"/>
    <n v="20"/>
    <s v="UPI"/>
    <n v="3.3"/>
    <x v="9"/>
    <n v="32"/>
    <n v="2024"/>
  </r>
  <r>
    <s v="CUST_389"/>
    <s v="O0922"/>
    <d v="2024-03-20T00:00:00"/>
    <s v="Bangalore"/>
    <s v="Koramangala"/>
    <s v="Grill Masters"/>
    <s v="Italian"/>
    <s v="Chicken Roll"/>
    <s v="Non-Veg"/>
    <n v="5"/>
    <n v="391"/>
    <n v="1955"/>
    <n v="38"/>
    <s v="UPI"/>
    <n v="3.8"/>
    <x v="4"/>
    <n v="12"/>
    <n v="2024"/>
  </r>
  <r>
    <s v="CUST_390"/>
    <s v="O0923"/>
    <d v="2024-02-16T00:00:00"/>
    <s v="Chennai"/>
    <s v="Velachery"/>
    <s v="South Spice"/>
    <s v="Fast Food"/>
    <s v="Chicken Biryani"/>
    <s v="Non-Veg"/>
    <n v="1"/>
    <n v="490"/>
    <n v="490"/>
    <n v="39"/>
    <s v="Card"/>
    <n v="3.8"/>
    <x v="8"/>
    <n v="7"/>
    <n v="2024"/>
  </r>
  <r>
    <s v="CUST_390"/>
    <s v="O0924"/>
    <d v="2024-08-16T00:00:00"/>
    <s v="Delhi"/>
    <s v="Connaught Place"/>
    <s v="Pizza Planet"/>
    <s v="Indian"/>
    <s v="Pizza"/>
    <s v="Veg"/>
    <n v="3"/>
    <n v="308"/>
    <n v="924"/>
    <n v="52"/>
    <s v="UPI"/>
    <n v="4.4000000000000004"/>
    <x v="9"/>
    <n v="33"/>
    <n v="2024"/>
  </r>
  <r>
    <s v="CUST_390"/>
    <s v="O0925"/>
    <d v="2024-07-04T00:00:00"/>
    <s v="Delhi"/>
    <s v="Karol Bagh"/>
    <s v="Grill Masters"/>
    <s v="Italian"/>
    <s v="Paneer Tikka"/>
    <s v="Veg"/>
    <n v="5"/>
    <n v="402"/>
    <n v="2010"/>
    <n v="57"/>
    <s v="Card"/>
    <n v="4.9000000000000004"/>
    <x v="1"/>
    <n v="27"/>
    <n v="2024"/>
  </r>
  <r>
    <s v="CUST_390"/>
    <s v="O0926"/>
    <d v="2024-05-03T00:00:00"/>
    <s v="Bangalore"/>
    <s v="Jayanagar"/>
    <s v="Biryani House"/>
    <s v="Italian"/>
    <s v="Chicken Roll"/>
    <s v="Non-Veg"/>
    <n v="5"/>
    <n v="162"/>
    <n v="810"/>
    <n v="46"/>
    <s v="Card"/>
    <n v="3.3"/>
    <x v="5"/>
    <n v="18"/>
    <n v="2024"/>
  </r>
  <r>
    <s v="CUST_390"/>
    <s v="O0927"/>
    <d v="2024-08-13T00:00:00"/>
    <s v="Chennai"/>
    <s v="T Nagar"/>
    <s v="Grill Masters"/>
    <s v="Chinese"/>
    <s v="Paneer Tikka"/>
    <s v="Veg"/>
    <n v="5"/>
    <n v="321"/>
    <n v="1605"/>
    <n v="55"/>
    <s v="UPI"/>
    <n v="3.7"/>
    <x v="9"/>
    <n v="33"/>
    <n v="2024"/>
  </r>
  <r>
    <s v="CUST_391"/>
    <s v="O0928"/>
    <d v="2024-04-16T00:00:00"/>
    <s v="Bangalore"/>
    <s v="BTM Layout"/>
    <s v="Chinese Bowl"/>
    <s v="Italian"/>
    <s v="Chicken Roll"/>
    <s v="Non-Veg"/>
    <n v="1"/>
    <n v="483"/>
    <n v="483"/>
    <n v="44"/>
    <s v="UPI"/>
    <n v="4.0999999999999996"/>
    <x v="2"/>
    <n v="16"/>
    <n v="2024"/>
  </r>
  <r>
    <s v="CUST_391"/>
    <s v="O0929"/>
    <d v="2024-07-08T00:00:00"/>
    <s v="Bangalore"/>
    <s v="Koramangala"/>
    <s v="Biryani House"/>
    <s v="Italian"/>
    <s v="Chicken Biryani"/>
    <s v="Non-Veg"/>
    <n v="3"/>
    <n v="272"/>
    <n v="816"/>
    <n v="39"/>
    <s v="COD"/>
    <n v="4.4000000000000004"/>
    <x v="1"/>
    <n v="28"/>
    <n v="2024"/>
  </r>
  <r>
    <s v="CUST_391"/>
    <s v="O0930"/>
    <d v="2024-08-19T00:00:00"/>
    <s v="Mumbai"/>
    <s v="Powai"/>
    <s v="Urban Meals"/>
    <s v="North Indian"/>
    <s v="Pizza"/>
    <s v="Veg"/>
    <n v="5"/>
    <n v="134"/>
    <n v="670"/>
    <n v="31"/>
    <s v="COD"/>
    <n v="3.5"/>
    <x v="9"/>
    <n v="34"/>
    <n v="2024"/>
  </r>
  <r>
    <s v="CUST_392"/>
    <s v="O0931"/>
    <d v="2024-05-05T00:00:00"/>
    <s v="Bangalore"/>
    <s v="Jayanagar"/>
    <s v="Urban Meals"/>
    <s v="Fast Food"/>
    <s v="Fried Rice"/>
    <s v="Veg"/>
    <n v="3"/>
    <n v="263"/>
    <n v="789"/>
    <n v="31"/>
    <s v="UPI"/>
    <n v="4.9000000000000004"/>
    <x v="5"/>
    <n v="19"/>
    <n v="2024"/>
  </r>
  <r>
    <s v="CUST_392"/>
    <s v="O0932"/>
    <d v="2024-02-13T00:00:00"/>
    <s v="Chennai"/>
    <s v="Anna Nagar"/>
    <s v="Biryani House"/>
    <s v="Chinese"/>
    <s v="Paneer Tikka"/>
    <s v="Veg"/>
    <n v="2"/>
    <n v="456"/>
    <n v="912"/>
    <n v="44"/>
    <s v="COD"/>
    <n v="3.5"/>
    <x v="8"/>
    <n v="7"/>
    <n v="2024"/>
  </r>
  <r>
    <s v="CUST_392"/>
    <s v="O0933"/>
    <d v="2024-06-01T00:00:00"/>
    <s v="Chennai"/>
    <s v="T Nagar"/>
    <s v="Grill Masters"/>
    <s v="Indian"/>
    <s v="Paneer Tikka"/>
    <s v="Veg"/>
    <n v="3"/>
    <n v="104"/>
    <n v="312"/>
    <n v="35"/>
    <s v="COD"/>
    <n v="4.3"/>
    <x v="7"/>
    <n v="22"/>
    <n v="2024"/>
  </r>
  <r>
    <s v="CUST_392"/>
    <s v="O0934"/>
    <d v="2024-07-24T00:00:00"/>
    <s v="Chennai"/>
    <s v="Adyar"/>
    <s v="Urban Meals"/>
    <s v="North Indian"/>
    <s v="Momos"/>
    <s v="Veg"/>
    <n v="1"/>
    <n v="103"/>
    <n v="103"/>
    <n v="42"/>
    <s v="Card"/>
    <n v="3.3"/>
    <x v="1"/>
    <n v="30"/>
    <n v="2024"/>
  </r>
  <r>
    <s v="CUST_393"/>
    <s v="O0935"/>
    <d v="2024-10-17T00:00:00"/>
    <s v="Bangalore"/>
    <s v="Indiranagar"/>
    <s v="Tandoori Tales"/>
    <s v="Indian"/>
    <s v="Sandwich"/>
    <s v="Veg"/>
    <n v="1"/>
    <n v="164"/>
    <n v="164"/>
    <n v="46"/>
    <s v="Card"/>
    <n v="3.4"/>
    <x v="0"/>
    <n v="42"/>
    <n v="2024"/>
  </r>
  <r>
    <s v="CUST_393"/>
    <s v="O0936"/>
    <d v="2024-10-23T00:00:00"/>
    <s v="Hyderabad"/>
    <s v="Kukatpally"/>
    <s v="Café Delight"/>
    <s v="South Indian"/>
    <s v="Chicken Roll"/>
    <s v="Non-Veg"/>
    <n v="1"/>
    <n v="277"/>
    <n v="277"/>
    <n v="20"/>
    <s v="Card"/>
    <n v="3.5"/>
    <x v="0"/>
    <n v="43"/>
    <n v="2024"/>
  </r>
  <r>
    <s v="CUST_393"/>
    <s v="O0937"/>
    <d v="2024-07-18T00:00:00"/>
    <s v="Bangalore"/>
    <s v="Jayanagar"/>
    <s v="South Spice"/>
    <s v="North Indian"/>
    <s v="Chicken Roll"/>
    <s v="Non-Veg"/>
    <n v="5"/>
    <n v="254"/>
    <n v="1270"/>
    <n v="29"/>
    <s v="UPI"/>
    <n v="4.2"/>
    <x v="1"/>
    <n v="29"/>
    <n v="2024"/>
  </r>
  <r>
    <s v="CUST_393"/>
    <s v="O0938"/>
    <d v="2024-04-21T00:00:00"/>
    <s v="Chennai"/>
    <s v="Tambaram"/>
    <s v="Urban Meals"/>
    <s v="North Indian"/>
    <s v="Fried Rice"/>
    <s v="Veg"/>
    <n v="1"/>
    <n v="326"/>
    <n v="326"/>
    <n v="26"/>
    <s v="Card"/>
    <n v="4.7"/>
    <x v="2"/>
    <n v="17"/>
    <n v="2024"/>
  </r>
  <r>
    <s v="CUST_393"/>
    <s v="O0939"/>
    <d v="2024-04-08T00:00:00"/>
    <s v="Mumbai"/>
    <s v="Bandra"/>
    <s v="Biryani House"/>
    <s v="Fast Food"/>
    <s v="Fried Rice"/>
    <s v="Veg"/>
    <n v="1"/>
    <n v="391"/>
    <n v="391"/>
    <n v="41"/>
    <s v="Card"/>
    <n v="4.5"/>
    <x v="2"/>
    <n v="15"/>
    <n v="2024"/>
  </r>
  <r>
    <s v="CUST_394"/>
    <s v="O0940"/>
    <d v="2024-02-19T00:00:00"/>
    <s v="Mumbai"/>
    <s v="Andheri"/>
    <s v="Grill Masters"/>
    <s v="South Indian"/>
    <s v="Masala Dosa"/>
    <s v="Veg"/>
    <n v="2"/>
    <n v="485"/>
    <n v="970"/>
    <n v="51"/>
    <s v="UPI"/>
    <n v="3.1"/>
    <x v="8"/>
    <n v="8"/>
    <n v="2024"/>
  </r>
  <r>
    <s v="CUST_394"/>
    <s v="O0941"/>
    <d v="2024-02-16T00:00:00"/>
    <s v="Delhi"/>
    <s v="Dwarka"/>
    <s v="Burger Hub"/>
    <s v="Italian"/>
    <s v="Masala Dosa"/>
    <s v="Veg"/>
    <n v="1"/>
    <n v="321"/>
    <n v="321"/>
    <n v="33"/>
    <s v="COD"/>
    <n v="4.9000000000000004"/>
    <x v="8"/>
    <n v="7"/>
    <n v="2024"/>
  </r>
  <r>
    <s v="CUST_395"/>
    <s v="O0942"/>
    <d v="2024-09-12T00:00:00"/>
    <s v="Bangalore"/>
    <s v="Indiranagar"/>
    <s v="South Spice"/>
    <s v="South Indian"/>
    <s v="Paneer Tikka"/>
    <s v="Veg"/>
    <n v="2"/>
    <n v="205"/>
    <n v="410"/>
    <n v="36"/>
    <s v="UPI"/>
    <n v="4.3"/>
    <x v="3"/>
    <n v="37"/>
    <n v="2024"/>
  </r>
  <r>
    <s v="CUST_395"/>
    <s v="O0943"/>
    <d v="2024-10-26T00:00:00"/>
    <s v="Mumbai"/>
    <s v="Goregaon"/>
    <s v="Sandwich Stop"/>
    <s v="Italian"/>
    <s v="Pasta"/>
    <s v="Veg"/>
    <n v="4"/>
    <n v="295"/>
    <n v="1180"/>
    <n v="36"/>
    <s v="UPI"/>
    <n v="3.1"/>
    <x v="0"/>
    <n v="43"/>
    <n v="2024"/>
  </r>
  <r>
    <s v="CUST_396"/>
    <s v="O0944"/>
    <d v="2024-07-31T00:00:00"/>
    <s v="Mumbai"/>
    <s v="Goregaon"/>
    <s v="Urban Meals"/>
    <s v="Indian"/>
    <s v="Masala Dosa"/>
    <s v="Veg"/>
    <n v="4"/>
    <n v="133"/>
    <n v="532"/>
    <n v="58"/>
    <s v="UPI"/>
    <n v="3.3"/>
    <x v="1"/>
    <n v="31"/>
    <n v="2024"/>
  </r>
  <r>
    <s v="CUST_396"/>
    <s v="O0945"/>
    <d v="2024-01-11T00:00:00"/>
    <s v="Bangalore"/>
    <s v="Jayanagar"/>
    <s v="Urban Meals"/>
    <s v="Chinese"/>
    <s v="Masala Dosa"/>
    <s v="Veg"/>
    <n v="2"/>
    <n v="323"/>
    <n v="646"/>
    <n v="35"/>
    <s v="UPI"/>
    <n v="4.8"/>
    <x v="6"/>
    <n v="2"/>
    <n v="2024"/>
  </r>
  <r>
    <s v="CUST_396"/>
    <s v="O0946"/>
    <d v="2024-09-19T00:00:00"/>
    <s v="Chennai"/>
    <s v="T Nagar"/>
    <s v="South Spice"/>
    <s v="Indian"/>
    <s v="Chicken Biryani"/>
    <s v="Non-Veg"/>
    <n v="5"/>
    <n v="169"/>
    <n v="845"/>
    <n v="60"/>
    <s v="Card"/>
    <n v="4.2"/>
    <x v="3"/>
    <n v="38"/>
    <n v="2024"/>
  </r>
  <r>
    <s v="CUST_397"/>
    <s v="O0947"/>
    <d v="2024-03-27T00:00:00"/>
    <s v="Mumbai"/>
    <s v="Goregaon"/>
    <s v="Burger Hub"/>
    <s v="Italian"/>
    <s v="Fried Rice"/>
    <s v="Veg"/>
    <n v="3"/>
    <n v="105"/>
    <n v="315"/>
    <n v="24"/>
    <s v="UPI"/>
    <n v="4.5"/>
    <x v="4"/>
    <n v="13"/>
    <n v="2024"/>
  </r>
  <r>
    <s v="CUST_397"/>
    <s v="O0948"/>
    <d v="2024-04-09T00:00:00"/>
    <s v="Bangalore"/>
    <s v="Jayanagar"/>
    <s v="Biryani House"/>
    <s v="Chinese"/>
    <s v="Pasta"/>
    <s v="Veg"/>
    <n v="2"/>
    <n v="356"/>
    <n v="712"/>
    <n v="45"/>
    <s v="Card"/>
    <n v="3.3"/>
    <x v="2"/>
    <n v="15"/>
    <n v="2024"/>
  </r>
  <r>
    <s v="CUST_397"/>
    <s v="O0949"/>
    <d v="2024-01-20T00:00:00"/>
    <s v="Chennai"/>
    <s v="Adyar"/>
    <s v="Biryani House"/>
    <s v="South Indian"/>
    <s v="Veg Burger"/>
    <s v="Veg"/>
    <n v="3"/>
    <n v="224"/>
    <n v="672"/>
    <n v="22"/>
    <s v="Card"/>
    <n v="4.3"/>
    <x v="6"/>
    <n v="3"/>
    <n v="2024"/>
  </r>
  <r>
    <s v="CUST_397"/>
    <s v="O0950"/>
    <d v="2024-06-27T00:00:00"/>
    <s v="Bangalore"/>
    <s v="Jayanagar"/>
    <s v="Sandwich Stop"/>
    <s v="South Indian"/>
    <s v="Chicken Biryani"/>
    <s v="Non-Veg"/>
    <n v="2"/>
    <n v="239"/>
    <n v="478"/>
    <n v="26"/>
    <s v="UPI"/>
    <n v="4.9000000000000004"/>
    <x v="7"/>
    <n v="26"/>
    <n v="2024"/>
  </r>
  <r>
    <s v="CUST_397"/>
    <s v="O0951"/>
    <d v="2024-08-29T00:00:00"/>
    <s v="Chennai"/>
    <s v="Adyar"/>
    <s v="Burger Hub"/>
    <s v="Italian"/>
    <s v="Momos"/>
    <s v="Veg"/>
    <n v="5"/>
    <n v="303"/>
    <n v="1515"/>
    <n v="43"/>
    <s v="COD"/>
    <n v="3.1"/>
    <x v="9"/>
    <n v="35"/>
    <n v="2024"/>
  </r>
  <r>
    <s v="CUST_398"/>
    <s v="O0952"/>
    <d v="2024-06-03T00:00:00"/>
    <s v="Chennai"/>
    <s v="Adyar"/>
    <s v="South Spice"/>
    <s v="Fast Food"/>
    <s v="Sandwich"/>
    <s v="Veg"/>
    <n v="3"/>
    <n v="384"/>
    <n v="1152"/>
    <n v="38"/>
    <s v="Card"/>
    <n v="3.3"/>
    <x v="7"/>
    <n v="23"/>
    <n v="2024"/>
  </r>
  <r>
    <s v="CUST_398"/>
    <s v="O0953"/>
    <d v="2024-08-18T00:00:00"/>
    <s v="Delhi"/>
    <s v="Dwarka"/>
    <s v="Café Delight"/>
    <s v="South Indian"/>
    <s v="Momos"/>
    <s v="Veg"/>
    <n v="4"/>
    <n v="200"/>
    <n v="800"/>
    <n v="47"/>
    <s v="UPI"/>
    <n v="3"/>
    <x v="9"/>
    <n v="34"/>
    <n v="2024"/>
  </r>
  <r>
    <s v="CUST_398"/>
    <s v="O0954"/>
    <d v="2024-09-22T00:00:00"/>
    <s v="Mumbai"/>
    <s v="Powai"/>
    <s v="Tandoori Tales"/>
    <s v="South Indian"/>
    <s v="Veg Burger"/>
    <s v="Veg"/>
    <n v="2"/>
    <n v="161"/>
    <n v="322"/>
    <n v="54"/>
    <s v="UPI"/>
    <n v="4.5999999999999996"/>
    <x v="3"/>
    <n v="39"/>
    <n v="2024"/>
  </r>
  <r>
    <s v="CUST_398"/>
    <s v="O0955"/>
    <d v="2024-01-03T00:00:00"/>
    <s v="Chennai"/>
    <s v="Anna Nagar"/>
    <s v="Burger Hub"/>
    <s v="Indian"/>
    <s v="Paneer Tikka"/>
    <s v="Veg"/>
    <n v="5"/>
    <n v="365"/>
    <n v="1825"/>
    <n v="53"/>
    <s v="Card"/>
    <n v="4.2"/>
    <x v="6"/>
    <n v="1"/>
    <n v="2024"/>
  </r>
  <r>
    <s v="CUST_399"/>
    <s v="O0956"/>
    <d v="2024-07-31T00:00:00"/>
    <s v="Mumbai"/>
    <s v="Bandra"/>
    <s v="Tandoori Tales"/>
    <s v="North Indian"/>
    <s v="Fried Rice"/>
    <s v="Veg"/>
    <n v="3"/>
    <n v="156"/>
    <n v="468"/>
    <n v="22"/>
    <s v="Card"/>
    <n v="4.3"/>
    <x v="1"/>
    <n v="31"/>
    <n v="2024"/>
  </r>
  <r>
    <s v="CUST_399"/>
    <s v="O0957"/>
    <d v="2024-04-06T00:00:00"/>
    <s v="Mumbai"/>
    <s v="Powai"/>
    <s v="Grill Masters"/>
    <s v="Chinese"/>
    <s v="Masala Dosa"/>
    <s v="Veg"/>
    <n v="2"/>
    <n v="394"/>
    <n v="788"/>
    <n v="40"/>
    <s v="UPI"/>
    <n v="3.2"/>
    <x v="2"/>
    <n v="14"/>
    <n v="2024"/>
  </r>
  <r>
    <s v="CUST_400"/>
    <s v="O0958"/>
    <d v="2024-02-15T00:00:00"/>
    <s v="Chennai"/>
    <s v="Adyar"/>
    <s v="Café Delight"/>
    <s v="North Indian"/>
    <s v="Sandwich"/>
    <s v="Veg"/>
    <n v="2"/>
    <n v="200"/>
    <n v="400"/>
    <n v="50"/>
    <s v="COD"/>
    <n v="4.8"/>
    <x v="8"/>
    <n v="7"/>
    <n v="2024"/>
  </r>
  <r>
    <s v="CUST_400"/>
    <s v="O0959"/>
    <d v="2024-07-21T00:00:00"/>
    <s v="Mumbai"/>
    <s v="Dadar"/>
    <s v="Café Delight"/>
    <s v="South Indian"/>
    <s v="Sandwich"/>
    <s v="Veg"/>
    <n v="1"/>
    <n v="416"/>
    <n v="416"/>
    <n v="51"/>
    <s v="Card"/>
    <n v="3.8"/>
    <x v="1"/>
    <n v="30"/>
    <n v="2024"/>
  </r>
  <r>
    <s v="CUST_400"/>
    <s v="O0960"/>
    <d v="2024-06-11T00:00:00"/>
    <s v="Delhi"/>
    <s v="Saket"/>
    <s v="Grill Masters"/>
    <s v="Chinese"/>
    <s v="Momos"/>
    <s v="Veg"/>
    <n v="1"/>
    <n v="180"/>
    <n v="180"/>
    <n v="51"/>
    <s v="Card"/>
    <n v="4.4000000000000004"/>
    <x v="7"/>
    <n v="24"/>
    <n v="2024"/>
  </r>
  <r>
    <s v="CUST_400"/>
    <s v="O0961"/>
    <d v="2024-10-12T00:00:00"/>
    <s v="Bangalore"/>
    <s v="Whitefield"/>
    <s v="Pizza Planet"/>
    <s v="South Indian"/>
    <s v="Chicken Roll"/>
    <s v="Non-Veg"/>
    <n v="3"/>
    <n v="288"/>
    <n v="864"/>
    <n v="48"/>
    <s v="UPI"/>
    <n v="4.5"/>
    <x v="0"/>
    <n v="41"/>
    <n v="2024"/>
  </r>
  <r>
    <s v="CUST_400"/>
    <s v="O0962"/>
    <d v="2024-06-05T00:00:00"/>
    <s v="Delhi"/>
    <s v="Karol Bagh"/>
    <s v="Urban Meals"/>
    <s v="Chinese"/>
    <s v="Chicken Biryani"/>
    <s v="Non-Veg"/>
    <n v="4"/>
    <n v="109"/>
    <n v="436"/>
    <n v="53"/>
    <s v="COD"/>
    <n v="3.4"/>
    <x v="7"/>
    <n v="23"/>
    <n v="2024"/>
  </r>
  <r>
    <s v="CUST_401"/>
    <s v="O0963"/>
    <d v="2024-06-13T00:00:00"/>
    <s v="Mumbai"/>
    <s v="Dadar"/>
    <s v="Chinese Bowl"/>
    <s v="South Indian"/>
    <s v="Chicken Biryani"/>
    <s v="Non-Veg"/>
    <n v="3"/>
    <n v="104"/>
    <n v="312"/>
    <n v="27"/>
    <s v="Card"/>
    <n v="4.4000000000000004"/>
    <x v="7"/>
    <n v="24"/>
    <n v="2024"/>
  </r>
  <r>
    <s v="CUST_401"/>
    <s v="O0964"/>
    <d v="2024-10-04T00:00:00"/>
    <s v="Bangalore"/>
    <s v="Jayanagar"/>
    <s v="Urban Meals"/>
    <s v="Italian"/>
    <s v="Pasta"/>
    <s v="Veg"/>
    <n v="4"/>
    <n v="225"/>
    <n v="900"/>
    <n v="25"/>
    <s v="UPI"/>
    <n v="3.8"/>
    <x v="0"/>
    <n v="40"/>
    <n v="2024"/>
  </r>
  <r>
    <s v="CUST_401"/>
    <s v="O0965"/>
    <d v="2024-03-06T00:00:00"/>
    <s v="Delhi"/>
    <s v="Saket"/>
    <s v="Tandoori Tales"/>
    <s v="South Indian"/>
    <s v="Pizza"/>
    <s v="Veg"/>
    <n v="2"/>
    <n v="106"/>
    <n v="212"/>
    <n v="55"/>
    <s v="COD"/>
    <n v="4.5999999999999996"/>
    <x v="4"/>
    <n v="10"/>
    <n v="2024"/>
  </r>
  <r>
    <s v="CUST_401"/>
    <s v="O0966"/>
    <d v="2024-02-27T00:00:00"/>
    <s v="Delhi"/>
    <s v="Saket"/>
    <s v="Urban Meals"/>
    <s v="Fast Food"/>
    <s v="Sandwich"/>
    <s v="Veg"/>
    <n v="5"/>
    <n v="337"/>
    <n v="1685"/>
    <n v="20"/>
    <s v="COD"/>
    <n v="3.1"/>
    <x v="8"/>
    <n v="9"/>
    <n v="2024"/>
  </r>
  <r>
    <s v="CUST_401"/>
    <s v="O0967"/>
    <d v="2024-02-02T00:00:00"/>
    <s v="Hyderabad"/>
    <s v="Banjara Hills"/>
    <s v="Pizza Planet"/>
    <s v="Chinese"/>
    <s v="Momos"/>
    <s v="Veg"/>
    <n v="3"/>
    <n v="332"/>
    <n v="996"/>
    <n v="35"/>
    <s v="UPI"/>
    <n v="3"/>
    <x v="8"/>
    <n v="5"/>
    <n v="2024"/>
  </r>
  <r>
    <s v="CUST_402"/>
    <s v="O0968"/>
    <d v="2024-05-14T00:00:00"/>
    <s v="Hyderabad"/>
    <s v="Secunderabad"/>
    <s v="South Spice"/>
    <s v="Chinese"/>
    <s v="Chicken Roll"/>
    <s v="Non-Veg"/>
    <n v="1"/>
    <n v="344"/>
    <n v="344"/>
    <n v="26"/>
    <s v="COD"/>
    <n v="4"/>
    <x v="5"/>
    <n v="20"/>
    <n v="2024"/>
  </r>
  <r>
    <s v="CUST_402"/>
    <s v="O0969"/>
    <d v="2024-04-08T00:00:00"/>
    <s v="Chennai"/>
    <s v="Anna Nagar"/>
    <s v="Café Delight"/>
    <s v="Fast Food"/>
    <s v="Pizza"/>
    <s v="Veg"/>
    <n v="1"/>
    <n v="408"/>
    <n v="408"/>
    <n v="56"/>
    <s v="UPI"/>
    <n v="3.6"/>
    <x v="2"/>
    <n v="15"/>
    <n v="2024"/>
  </r>
  <r>
    <s v="CUST_402"/>
    <s v="O0970"/>
    <d v="2024-10-03T00:00:00"/>
    <s v="Chennai"/>
    <s v="Anna Nagar"/>
    <s v="South Spice"/>
    <s v="Indian"/>
    <s v="Veg Burger"/>
    <s v="Veg"/>
    <n v="5"/>
    <n v="187"/>
    <n v="935"/>
    <n v="36"/>
    <s v="COD"/>
    <n v="4.4000000000000004"/>
    <x v="0"/>
    <n v="40"/>
    <n v="2024"/>
  </r>
  <r>
    <s v="CUST_402"/>
    <s v="O0971"/>
    <d v="2024-03-03T00:00:00"/>
    <s v="Chennai"/>
    <s v="T Nagar"/>
    <s v="Chinese Bowl"/>
    <s v="South Indian"/>
    <s v="Veg Burger"/>
    <s v="Veg"/>
    <n v="4"/>
    <n v="222"/>
    <n v="888"/>
    <n v="31"/>
    <s v="UPI"/>
    <n v="4.8"/>
    <x v="4"/>
    <n v="10"/>
    <n v="2024"/>
  </r>
  <r>
    <s v="CUST_402"/>
    <s v="O0972"/>
    <d v="2024-02-05T00:00:00"/>
    <s v="Bangalore"/>
    <s v="Koramangala"/>
    <s v="South Spice"/>
    <s v="Indian"/>
    <s v="Pasta"/>
    <s v="Veg"/>
    <n v="1"/>
    <n v="360"/>
    <n v="360"/>
    <n v="46"/>
    <s v="UPI"/>
    <n v="4"/>
    <x v="8"/>
    <n v="6"/>
    <n v="2024"/>
  </r>
  <r>
    <s v="CUST_403"/>
    <s v="O0973"/>
    <d v="2024-09-25T00:00:00"/>
    <s v="Delhi"/>
    <s v="Connaught Place"/>
    <s v="Burger Hub"/>
    <s v="Chinese"/>
    <s v="Sandwich"/>
    <s v="Veg"/>
    <n v="3"/>
    <n v="425"/>
    <n v="1275"/>
    <n v="57"/>
    <s v="UPI"/>
    <n v="3.4"/>
    <x v="3"/>
    <n v="39"/>
    <n v="2024"/>
  </r>
  <r>
    <s v="CUST_403"/>
    <s v="O0974"/>
    <d v="2024-05-10T00:00:00"/>
    <s v="Chennai"/>
    <s v="T Nagar"/>
    <s v="Burger Hub"/>
    <s v="Italian"/>
    <s v="Chicken Roll"/>
    <s v="Non-Veg"/>
    <n v="3"/>
    <n v="398"/>
    <n v="1194"/>
    <n v="47"/>
    <s v="COD"/>
    <n v="3.2"/>
    <x v="5"/>
    <n v="19"/>
    <n v="2024"/>
  </r>
  <r>
    <s v="CUST_403"/>
    <s v="O0975"/>
    <d v="2024-10-11T00:00:00"/>
    <s v="Bangalore"/>
    <s v="BTM Layout"/>
    <s v="Burger Hub"/>
    <s v="Indian"/>
    <s v="Pizza"/>
    <s v="Veg"/>
    <n v="3"/>
    <n v="172"/>
    <n v="516"/>
    <n v="47"/>
    <s v="COD"/>
    <n v="3.8"/>
    <x v="0"/>
    <n v="41"/>
    <n v="2024"/>
  </r>
  <r>
    <s v="CUST_403"/>
    <s v="O0976"/>
    <d v="2024-09-03T00:00:00"/>
    <s v="Bangalore"/>
    <s v="BTM Layout"/>
    <s v="Grill Masters"/>
    <s v="Italian"/>
    <s v="Paneer Tikka"/>
    <s v="Veg"/>
    <n v="1"/>
    <n v="141"/>
    <n v="141"/>
    <n v="46"/>
    <s v="Card"/>
    <n v="4.5"/>
    <x v="3"/>
    <n v="36"/>
    <n v="2024"/>
  </r>
  <r>
    <s v="CUST_403"/>
    <s v="O0977"/>
    <d v="2024-01-23T00:00:00"/>
    <s v="Bangalore"/>
    <s v="Indiranagar"/>
    <s v="Pizza Planet"/>
    <s v="North Indian"/>
    <s v="Fried Rice"/>
    <s v="Veg"/>
    <n v="1"/>
    <n v="158"/>
    <n v="158"/>
    <n v="53"/>
    <s v="UPI"/>
    <n v="4.0999999999999996"/>
    <x v="6"/>
    <n v="4"/>
    <n v="2024"/>
  </r>
  <r>
    <s v="CUST_404"/>
    <s v="O0978"/>
    <d v="2024-01-12T00:00:00"/>
    <s v="Bangalore"/>
    <s v="Indiranagar"/>
    <s v="Urban Meals"/>
    <s v="Fast Food"/>
    <s v="Chicken Biryani"/>
    <s v="Non-Veg"/>
    <n v="4"/>
    <n v="284"/>
    <n v="1136"/>
    <n v="35"/>
    <s v="Card"/>
    <n v="4.7"/>
    <x v="6"/>
    <n v="2"/>
    <n v="2024"/>
  </r>
  <r>
    <s v="CUST_404"/>
    <s v="O0979"/>
    <d v="2024-04-16T00:00:00"/>
    <s v="Delhi"/>
    <s v="Karol Bagh"/>
    <s v="Sandwich Stop"/>
    <s v="North Indian"/>
    <s v="Veg Burger"/>
    <s v="Veg"/>
    <n v="4"/>
    <n v="498"/>
    <n v="1992"/>
    <n v="22"/>
    <s v="COD"/>
    <n v="3.3"/>
    <x v="2"/>
    <n v="16"/>
    <n v="2024"/>
  </r>
  <r>
    <s v="CUST_405"/>
    <s v="O0980"/>
    <d v="2024-02-20T00:00:00"/>
    <s v="Delhi"/>
    <s v="Dwarka"/>
    <s v="Café Delight"/>
    <s v="Italian"/>
    <s v="Masala Dosa"/>
    <s v="Veg"/>
    <n v="3"/>
    <n v="298"/>
    <n v="894"/>
    <n v="20"/>
    <s v="Card"/>
    <n v="4.4000000000000004"/>
    <x v="8"/>
    <n v="8"/>
    <n v="2024"/>
  </r>
  <r>
    <s v="CUST_405"/>
    <s v="O0981"/>
    <d v="2024-01-26T00:00:00"/>
    <s v="Mumbai"/>
    <s v="Andheri"/>
    <s v="Grill Masters"/>
    <s v="Chinese"/>
    <s v="Chicken Biryani"/>
    <s v="Non-Veg"/>
    <n v="5"/>
    <n v="390"/>
    <n v="1950"/>
    <n v="38"/>
    <s v="Card"/>
    <n v="4.2"/>
    <x v="6"/>
    <n v="4"/>
    <n v="2024"/>
  </r>
  <r>
    <s v="CUST_405"/>
    <s v="O0982"/>
    <d v="2024-07-22T00:00:00"/>
    <s v="Bangalore"/>
    <s v="BTM Layout"/>
    <s v="Biryani House"/>
    <s v="South Indian"/>
    <s v="Pasta"/>
    <s v="Veg"/>
    <n v="5"/>
    <n v="180"/>
    <n v="900"/>
    <n v="37"/>
    <s v="COD"/>
    <n v="4.7"/>
    <x v="1"/>
    <n v="30"/>
    <n v="2024"/>
  </r>
  <r>
    <s v="CUST_405"/>
    <s v="O0983"/>
    <d v="2024-07-08T00:00:00"/>
    <s v="Bangalore"/>
    <s v="BTM Layout"/>
    <s v="Sandwich Stop"/>
    <s v="Italian"/>
    <s v="Chicken Roll"/>
    <s v="Non-Veg"/>
    <n v="1"/>
    <n v="198"/>
    <n v="198"/>
    <n v="52"/>
    <s v="Card"/>
    <n v="4.0999999999999996"/>
    <x v="1"/>
    <n v="28"/>
    <n v="2024"/>
  </r>
  <r>
    <s v="CUST_405"/>
    <s v="O0984"/>
    <d v="2024-06-02T00:00:00"/>
    <s v="Mumbai"/>
    <s v="Powai"/>
    <s v="Biryani House"/>
    <s v="Fast Food"/>
    <s v="Sandwich"/>
    <s v="Veg"/>
    <n v="3"/>
    <n v="299"/>
    <n v="897"/>
    <n v="45"/>
    <s v="Card"/>
    <n v="4.0999999999999996"/>
    <x v="7"/>
    <n v="23"/>
    <n v="2024"/>
  </r>
  <r>
    <s v="CUST_406"/>
    <s v="O0985"/>
    <d v="2024-05-19T00:00:00"/>
    <s v="Bangalore"/>
    <s v="Indiranagar"/>
    <s v="Pizza Planet"/>
    <s v="Indian"/>
    <s v="Sandwich"/>
    <s v="Veg"/>
    <n v="2"/>
    <n v="438"/>
    <n v="876"/>
    <n v="37"/>
    <s v="Card"/>
    <n v="4.5"/>
    <x v="5"/>
    <n v="21"/>
    <n v="2024"/>
  </r>
  <r>
    <s v="CUST_406"/>
    <s v="O0986"/>
    <d v="2024-07-22T00:00:00"/>
    <s v="Hyderabad"/>
    <s v="Madhapur"/>
    <s v="Urban Meals"/>
    <s v="Chinese"/>
    <s v="Paneer Tikka"/>
    <s v="Veg"/>
    <n v="5"/>
    <n v="257"/>
    <n v="1285"/>
    <n v="54"/>
    <s v="UPI"/>
    <n v="3.6"/>
    <x v="1"/>
    <n v="30"/>
    <n v="2024"/>
  </r>
  <r>
    <s v="CUST_406"/>
    <s v="O0987"/>
    <d v="2024-02-02T00:00:00"/>
    <s v="Delhi"/>
    <s v="Connaught Place"/>
    <s v="Biryani House"/>
    <s v="Fast Food"/>
    <s v="Veg Burger"/>
    <s v="Veg"/>
    <n v="3"/>
    <n v="272"/>
    <n v="816"/>
    <n v="30"/>
    <s v="Card"/>
    <n v="5"/>
    <x v="8"/>
    <n v="5"/>
    <n v="2024"/>
  </r>
  <r>
    <s v="CUST_406"/>
    <s v="O0988"/>
    <d v="2024-06-03T00:00:00"/>
    <s v="Mumbai"/>
    <s v="Dadar"/>
    <s v="Chinese Bowl"/>
    <s v="South Indian"/>
    <s v="Momos"/>
    <s v="Veg"/>
    <n v="2"/>
    <n v="249"/>
    <n v="498"/>
    <n v="31"/>
    <s v="UPI"/>
    <n v="3.7"/>
    <x v="7"/>
    <n v="23"/>
    <n v="2024"/>
  </r>
  <r>
    <s v="CUST_407"/>
    <s v="O0989"/>
    <d v="2024-01-19T00:00:00"/>
    <s v="Chennai"/>
    <s v="Anna Nagar"/>
    <s v="South Spice"/>
    <s v="Chinese"/>
    <s v="Chicken Biryani"/>
    <s v="Non-Veg"/>
    <n v="5"/>
    <n v="297"/>
    <n v="1485"/>
    <n v="21"/>
    <s v="COD"/>
    <n v="3.4"/>
    <x v="6"/>
    <n v="3"/>
    <n v="2024"/>
  </r>
  <r>
    <s v="CUST_407"/>
    <s v="O0990"/>
    <d v="2024-03-05T00:00:00"/>
    <s v="Bangalore"/>
    <s v="BTM Layout"/>
    <s v="Biryani House"/>
    <s v="North Indian"/>
    <s v="Fried Rice"/>
    <s v="Veg"/>
    <n v="4"/>
    <n v="402"/>
    <n v="1608"/>
    <n v="22"/>
    <s v="UPI"/>
    <n v="3"/>
    <x v="4"/>
    <n v="10"/>
    <n v="2024"/>
  </r>
  <r>
    <s v="CUST_407"/>
    <s v="O0991"/>
    <d v="2024-05-05T00:00:00"/>
    <s v="Chennai"/>
    <s v="Tambaram"/>
    <s v="Grill Masters"/>
    <s v="Italian"/>
    <s v="Chicken Roll"/>
    <s v="Non-Veg"/>
    <n v="2"/>
    <n v="266"/>
    <n v="532"/>
    <n v="51"/>
    <s v="UPI"/>
    <n v="3.9"/>
    <x v="5"/>
    <n v="19"/>
    <n v="2024"/>
  </r>
  <r>
    <s v="CUST_408"/>
    <s v="O0992"/>
    <d v="2024-06-23T00:00:00"/>
    <s v="Bangalore"/>
    <s v="Koramangala"/>
    <s v="Grill Masters"/>
    <s v="Chinese"/>
    <s v="Chicken Roll"/>
    <s v="Non-Veg"/>
    <n v="5"/>
    <n v="336"/>
    <n v="1680"/>
    <n v="53"/>
    <s v="UPI"/>
    <n v="3.1"/>
    <x v="7"/>
    <n v="26"/>
    <n v="2024"/>
  </r>
  <r>
    <s v="CUST_408"/>
    <s v="O0993"/>
    <d v="2024-03-16T00:00:00"/>
    <s v="Chennai"/>
    <s v="Tambaram"/>
    <s v="Café Delight"/>
    <s v="North Indian"/>
    <s v="Sandwich"/>
    <s v="Veg"/>
    <n v="1"/>
    <n v="139"/>
    <n v="139"/>
    <n v="59"/>
    <s v="UPI"/>
    <n v="5"/>
    <x v="4"/>
    <n v="11"/>
    <n v="2024"/>
  </r>
  <r>
    <s v="CUST_409"/>
    <s v="O0994"/>
    <d v="2024-08-19T00:00:00"/>
    <s v="Mumbai"/>
    <s v="Powai"/>
    <s v="Burger Hub"/>
    <s v="North Indian"/>
    <s v="Chicken Roll"/>
    <s v="Non-Veg"/>
    <n v="4"/>
    <n v="194"/>
    <n v="776"/>
    <n v="56"/>
    <s v="UPI"/>
    <n v="4.4000000000000004"/>
    <x v="9"/>
    <n v="34"/>
    <n v="2024"/>
  </r>
  <r>
    <s v="CUST_409"/>
    <s v="O0995"/>
    <d v="2024-02-16T00:00:00"/>
    <s v="Mumbai"/>
    <s v="Dadar"/>
    <s v="Biryani House"/>
    <s v="Chinese"/>
    <s v="Chicken Roll"/>
    <s v="Non-Veg"/>
    <n v="2"/>
    <n v="245"/>
    <n v="490"/>
    <n v="25"/>
    <s v="COD"/>
    <n v="4"/>
    <x v="8"/>
    <n v="7"/>
    <n v="2024"/>
  </r>
  <r>
    <s v="CUST_409"/>
    <s v="O0996"/>
    <d v="2024-04-17T00:00:00"/>
    <s v="Chennai"/>
    <s v="T Nagar"/>
    <s v="Chinese Bowl"/>
    <s v="Italian"/>
    <s v="Momos"/>
    <s v="Veg"/>
    <n v="2"/>
    <n v="308"/>
    <n v="616"/>
    <n v="28"/>
    <s v="Card"/>
    <n v="3.5"/>
    <x v="2"/>
    <n v="16"/>
    <n v="2024"/>
  </r>
  <r>
    <s v="CUST_409"/>
    <s v="O0997"/>
    <d v="2024-09-23T00:00:00"/>
    <s v="Delhi"/>
    <s v="Karol Bagh"/>
    <s v="South Spice"/>
    <s v="Italian"/>
    <s v="Pasta"/>
    <s v="Veg"/>
    <n v="3"/>
    <n v="167"/>
    <n v="501"/>
    <n v="48"/>
    <s v="COD"/>
    <n v="3.1"/>
    <x v="3"/>
    <n v="39"/>
    <n v="2024"/>
  </r>
  <r>
    <s v="CUST_409"/>
    <s v="O0998"/>
    <d v="2024-01-17T00:00:00"/>
    <s v="Delhi"/>
    <s v="Saket"/>
    <s v="Tandoori Tales"/>
    <s v="South Indian"/>
    <s v="Pasta"/>
    <s v="Veg"/>
    <n v="3"/>
    <n v="122"/>
    <n v="366"/>
    <n v="28"/>
    <s v="Card"/>
    <n v="3.9"/>
    <x v="6"/>
    <n v="3"/>
    <n v="2024"/>
  </r>
  <r>
    <s v="CUST_410"/>
    <s v="O0999"/>
    <d v="2024-01-08T00:00:00"/>
    <s v="Chennai"/>
    <s v="T Nagar"/>
    <s v="South Spice"/>
    <s v="Fast Food"/>
    <s v="Sandwich"/>
    <s v="Veg"/>
    <n v="4"/>
    <n v="298"/>
    <n v="1192"/>
    <n v="20"/>
    <s v="UPI"/>
    <n v="3.9"/>
    <x v="6"/>
    <n v="2"/>
    <n v="2024"/>
  </r>
  <r>
    <s v="CUST_410"/>
    <s v="O1000"/>
    <d v="2024-05-02T00:00:00"/>
    <s v="Bangalore"/>
    <s v="Koramangala"/>
    <s v="Burger Hub"/>
    <s v="South Indian"/>
    <s v="Pizza"/>
    <s v="Veg"/>
    <n v="1"/>
    <n v="458"/>
    <n v="458"/>
    <n v="49"/>
    <s v="UPI"/>
    <n v="3.1"/>
    <x v="5"/>
    <n v="18"/>
    <n v="2024"/>
  </r>
  <r>
    <s v="CUST_410"/>
    <s v="O1001"/>
    <d v="2024-03-02T00:00:00"/>
    <s v="Chennai"/>
    <s v="Anna Nagar"/>
    <s v="Café Delight"/>
    <s v="Italian"/>
    <s v="Momos"/>
    <s v="Veg"/>
    <n v="1"/>
    <n v="461"/>
    <n v="461"/>
    <n v="30"/>
    <s v="UPI"/>
    <n v="4.5"/>
    <x v="4"/>
    <n v="9"/>
    <n v="2024"/>
  </r>
  <r>
    <s v="CUST_410"/>
    <s v="O1002"/>
    <d v="2024-08-13T00:00:00"/>
    <s v="Chennai"/>
    <s v="Velachery"/>
    <s v="Grill Masters"/>
    <s v="Chinese"/>
    <s v="Pasta"/>
    <s v="Veg"/>
    <n v="3"/>
    <n v="457"/>
    <n v="1371"/>
    <n v="42"/>
    <s v="UPI"/>
    <n v="3.6"/>
    <x v="9"/>
    <n v="33"/>
    <n v="2024"/>
  </r>
  <r>
    <s v="CUST_411"/>
    <s v="O1003"/>
    <d v="2024-04-01T00:00:00"/>
    <s v="Mumbai"/>
    <s v="Dadar"/>
    <s v="Burger Hub"/>
    <s v="North Indian"/>
    <s v="Veg Burger"/>
    <s v="Veg"/>
    <n v="3"/>
    <n v="373"/>
    <n v="1119"/>
    <n v="32"/>
    <s v="COD"/>
    <n v="5"/>
    <x v="2"/>
    <n v="14"/>
    <n v="2024"/>
  </r>
  <r>
    <s v="CUST_411"/>
    <s v="O1004"/>
    <d v="2024-01-19T00:00:00"/>
    <s v="Chennai"/>
    <s v="Velachery"/>
    <s v="Tandoori Tales"/>
    <s v="South Indian"/>
    <s v="Masala Dosa"/>
    <s v="Veg"/>
    <n v="3"/>
    <n v="424"/>
    <n v="1272"/>
    <n v="44"/>
    <s v="Card"/>
    <n v="3.7"/>
    <x v="6"/>
    <n v="3"/>
    <n v="2024"/>
  </r>
  <r>
    <s v="CUST_411"/>
    <s v="O1005"/>
    <d v="2024-09-04T00:00:00"/>
    <s v="Mumbai"/>
    <s v="Andheri"/>
    <s v="Chinese Bowl"/>
    <s v="Chinese"/>
    <s v="Momos"/>
    <s v="Veg"/>
    <n v="5"/>
    <n v="313"/>
    <n v="1565"/>
    <n v="30"/>
    <s v="COD"/>
    <n v="3.4"/>
    <x v="3"/>
    <n v="36"/>
    <n v="2024"/>
  </r>
  <r>
    <s v="CUST_411"/>
    <s v="O1006"/>
    <d v="2024-03-10T00:00:00"/>
    <s v="Delhi"/>
    <s v="Connaught Place"/>
    <s v="Urban Meals"/>
    <s v="Indian"/>
    <s v="Momos"/>
    <s v="Veg"/>
    <n v="1"/>
    <n v="431"/>
    <n v="431"/>
    <n v="54"/>
    <s v="Card"/>
    <n v="3"/>
    <x v="4"/>
    <n v="11"/>
    <n v="2024"/>
  </r>
  <r>
    <s v="CUST_411"/>
    <s v="O1007"/>
    <d v="2024-03-02T00:00:00"/>
    <s v="Hyderabad"/>
    <s v="Begumpet"/>
    <s v="Café Delight"/>
    <s v="South Indian"/>
    <s v="Fried Rice"/>
    <s v="Veg"/>
    <n v="4"/>
    <n v="495"/>
    <n v="1980"/>
    <n v="33"/>
    <s v="COD"/>
    <n v="3.9"/>
    <x v="4"/>
    <n v="9"/>
    <n v="2024"/>
  </r>
  <r>
    <s v="CUST_412"/>
    <s v="O1008"/>
    <d v="2024-01-01T00:00:00"/>
    <s v="Delhi"/>
    <s v="Rohini"/>
    <s v="Grill Masters"/>
    <s v="Italian"/>
    <s v="Sandwich"/>
    <s v="Veg"/>
    <n v="4"/>
    <n v="318"/>
    <n v="1272"/>
    <n v="46"/>
    <s v="COD"/>
    <n v="3.1"/>
    <x v="6"/>
    <n v="1"/>
    <n v="2024"/>
  </r>
  <r>
    <s v="CUST_412"/>
    <s v="O1009"/>
    <d v="2024-06-24T00:00:00"/>
    <s v="Mumbai"/>
    <s v="Andheri"/>
    <s v="Café Delight"/>
    <s v="Chinese"/>
    <s v="Pizza"/>
    <s v="Veg"/>
    <n v="2"/>
    <n v="220"/>
    <n v="440"/>
    <n v="46"/>
    <s v="UPI"/>
    <n v="5"/>
    <x v="7"/>
    <n v="26"/>
    <n v="2024"/>
  </r>
  <r>
    <s v="CUST_413"/>
    <s v="O1010"/>
    <d v="2024-05-10T00:00:00"/>
    <s v="Bangalore"/>
    <s v="BTM Layout"/>
    <s v="Urban Meals"/>
    <s v="North Indian"/>
    <s v="Chicken Biryani"/>
    <s v="Non-Veg"/>
    <n v="5"/>
    <n v="158"/>
    <n v="790"/>
    <n v="46"/>
    <s v="COD"/>
    <n v="4.4000000000000004"/>
    <x v="5"/>
    <n v="19"/>
    <n v="2024"/>
  </r>
  <r>
    <s v="CUST_413"/>
    <s v="O1011"/>
    <d v="2024-09-03T00:00:00"/>
    <s v="Bangalore"/>
    <s v="Whitefield"/>
    <s v="Chinese Bowl"/>
    <s v="Italian"/>
    <s v="Pasta"/>
    <s v="Veg"/>
    <n v="3"/>
    <n v="264"/>
    <n v="792"/>
    <n v="21"/>
    <s v="UPI"/>
    <n v="4"/>
    <x v="3"/>
    <n v="36"/>
    <n v="2024"/>
  </r>
  <r>
    <s v="CUST_413"/>
    <s v="O1012"/>
    <d v="2024-03-29T00:00:00"/>
    <s v="Hyderabad"/>
    <s v="Kukatpally"/>
    <s v="South Spice"/>
    <s v="South Indian"/>
    <s v="Paneer Tikka"/>
    <s v="Veg"/>
    <n v="4"/>
    <n v="387"/>
    <n v="1548"/>
    <n v="52"/>
    <s v="COD"/>
    <n v="3.5"/>
    <x v="4"/>
    <n v="13"/>
    <n v="2024"/>
  </r>
  <r>
    <s v="CUST_414"/>
    <s v="O1013"/>
    <d v="2024-03-06T00:00:00"/>
    <s v="Hyderabad"/>
    <s v="Madhapur"/>
    <s v="Sandwich Stop"/>
    <s v="Chinese"/>
    <s v="Pizza"/>
    <s v="Veg"/>
    <n v="1"/>
    <n v="313"/>
    <n v="313"/>
    <n v="40"/>
    <s v="Card"/>
    <n v="3.1"/>
    <x v="4"/>
    <n v="10"/>
    <n v="2024"/>
  </r>
  <r>
    <s v="CUST_414"/>
    <s v="O1014"/>
    <d v="2024-10-02T00:00:00"/>
    <s v="Mumbai"/>
    <s v="Bandra"/>
    <s v="Biryani House"/>
    <s v="Fast Food"/>
    <s v="Chicken Biryani"/>
    <s v="Non-Veg"/>
    <n v="1"/>
    <n v="241"/>
    <n v="241"/>
    <n v="35"/>
    <s v="Card"/>
    <n v="3.9"/>
    <x v="0"/>
    <n v="40"/>
    <n v="2024"/>
  </r>
  <r>
    <s v="CUST_414"/>
    <s v="O1015"/>
    <d v="2024-02-13T00:00:00"/>
    <s v="Bangalore"/>
    <s v="Indiranagar"/>
    <s v="Sandwich Stop"/>
    <s v="South Indian"/>
    <s v="Sandwich"/>
    <s v="Veg"/>
    <n v="2"/>
    <n v="199"/>
    <n v="398"/>
    <n v="47"/>
    <s v="COD"/>
    <n v="3.9"/>
    <x v="8"/>
    <n v="7"/>
    <n v="2024"/>
  </r>
  <r>
    <s v="CUST_415"/>
    <s v="O1016"/>
    <d v="2024-03-19T00:00:00"/>
    <s v="Mumbai"/>
    <s v="Goregaon"/>
    <s v="Urban Meals"/>
    <s v="Italian"/>
    <s v="Pasta"/>
    <s v="Veg"/>
    <n v="2"/>
    <n v="309"/>
    <n v="618"/>
    <n v="23"/>
    <s v="Card"/>
    <n v="3.9"/>
    <x v="4"/>
    <n v="12"/>
    <n v="2024"/>
  </r>
  <r>
    <s v="CUST_415"/>
    <s v="O1017"/>
    <d v="2024-04-30T00:00:00"/>
    <s v="Delhi"/>
    <s v="Rohini"/>
    <s v="Urban Meals"/>
    <s v="Fast Food"/>
    <s v="Masala Dosa"/>
    <s v="Veg"/>
    <n v="5"/>
    <n v="111"/>
    <n v="555"/>
    <n v="30"/>
    <s v="Card"/>
    <n v="4.5"/>
    <x v="2"/>
    <n v="18"/>
    <n v="2024"/>
  </r>
  <r>
    <s v="CUST_415"/>
    <s v="O1018"/>
    <d v="2024-09-12T00:00:00"/>
    <s v="Chennai"/>
    <s v="Anna Nagar"/>
    <s v="Urban Meals"/>
    <s v="Indian"/>
    <s v="Fried Rice"/>
    <s v="Veg"/>
    <n v="5"/>
    <n v="223"/>
    <n v="1115"/>
    <n v="23"/>
    <s v="COD"/>
    <n v="3.6"/>
    <x v="3"/>
    <n v="37"/>
    <n v="2024"/>
  </r>
  <r>
    <s v="CUST_415"/>
    <s v="O1019"/>
    <d v="2024-08-01T00:00:00"/>
    <s v="Mumbai"/>
    <s v="Goregaon"/>
    <s v="Café Delight"/>
    <s v="Indian"/>
    <s v="Pizza"/>
    <s v="Veg"/>
    <n v="2"/>
    <n v="153"/>
    <n v="306"/>
    <n v="24"/>
    <s v="UPI"/>
    <n v="5"/>
    <x v="9"/>
    <n v="31"/>
    <n v="2024"/>
  </r>
  <r>
    <s v="CUST_416"/>
    <s v="O1020"/>
    <d v="2024-02-12T00:00:00"/>
    <s v="Delhi"/>
    <s v="Karol Bagh"/>
    <s v="Burger Hub"/>
    <s v="Chinese"/>
    <s v="Fried Rice"/>
    <s v="Veg"/>
    <n v="2"/>
    <n v="291"/>
    <n v="582"/>
    <n v="40"/>
    <s v="Card"/>
    <n v="3.7"/>
    <x v="8"/>
    <n v="7"/>
    <n v="2024"/>
  </r>
  <r>
    <s v="CUST_416"/>
    <s v="O1021"/>
    <d v="2024-01-22T00:00:00"/>
    <s v="Delhi"/>
    <s v="Rohini"/>
    <s v="Biryani House"/>
    <s v="Italian"/>
    <s v="Veg Burger"/>
    <s v="Veg"/>
    <n v="1"/>
    <n v="276"/>
    <n v="276"/>
    <n v="51"/>
    <s v="Card"/>
    <n v="3.4"/>
    <x v="6"/>
    <n v="4"/>
    <n v="2024"/>
  </r>
  <r>
    <s v="CUST_416"/>
    <s v="O1022"/>
    <d v="2024-02-10T00:00:00"/>
    <s v="Bangalore"/>
    <s v="Indiranagar"/>
    <s v="Pizza Planet"/>
    <s v="South Indian"/>
    <s v="Fried Rice"/>
    <s v="Veg"/>
    <n v="3"/>
    <n v="389"/>
    <n v="1167"/>
    <n v="41"/>
    <s v="COD"/>
    <n v="3"/>
    <x v="8"/>
    <n v="6"/>
    <n v="2024"/>
  </r>
  <r>
    <s v="CUST_416"/>
    <s v="O1023"/>
    <d v="2024-08-05T00:00:00"/>
    <s v="Chennai"/>
    <s v="Anna Nagar"/>
    <s v="South Spice"/>
    <s v="Fast Food"/>
    <s v="Fried Rice"/>
    <s v="Veg"/>
    <n v="2"/>
    <n v="213"/>
    <n v="426"/>
    <n v="27"/>
    <s v="COD"/>
    <n v="3.9"/>
    <x v="9"/>
    <n v="32"/>
    <n v="2024"/>
  </r>
  <r>
    <s v="CUST_416"/>
    <s v="O1024"/>
    <d v="2024-03-20T00:00:00"/>
    <s v="Hyderabad"/>
    <s v="Begumpet"/>
    <s v="Burger Hub"/>
    <s v="Chinese"/>
    <s v="Pizza"/>
    <s v="Veg"/>
    <n v="4"/>
    <n v="448"/>
    <n v="1792"/>
    <n v="40"/>
    <s v="UPI"/>
    <n v="3.1"/>
    <x v="4"/>
    <n v="12"/>
    <n v="2024"/>
  </r>
  <r>
    <s v="CUST_417"/>
    <s v="O1025"/>
    <d v="2024-02-16T00:00:00"/>
    <s v="Delhi"/>
    <s v="Karol Bagh"/>
    <s v="Grill Masters"/>
    <s v="Italian"/>
    <s v="Momos"/>
    <s v="Veg"/>
    <n v="5"/>
    <n v="148"/>
    <n v="740"/>
    <n v="43"/>
    <s v="COD"/>
    <n v="5"/>
    <x v="8"/>
    <n v="7"/>
    <n v="2024"/>
  </r>
  <r>
    <s v="CUST_417"/>
    <s v="O1026"/>
    <d v="2024-08-16T00:00:00"/>
    <s v="Mumbai"/>
    <s v="Bandra"/>
    <s v="Café Delight"/>
    <s v="Chinese"/>
    <s v="Sandwich"/>
    <s v="Veg"/>
    <n v="5"/>
    <n v="269"/>
    <n v="1345"/>
    <n v="21"/>
    <s v="Card"/>
    <n v="4.4000000000000004"/>
    <x v="9"/>
    <n v="33"/>
    <n v="2024"/>
  </r>
  <r>
    <s v="CUST_417"/>
    <s v="O1027"/>
    <d v="2024-07-04T00:00:00"/>
    <s v="Bangalore"/>
    <s v="Indiranagar"/>
    <s v="Urban Meals"/>
    <s v="Indian"/>
    <s v="Veg Burger"/>
    <s v="Veg"/>
    <n v="1"/>
    <n v="471"/>
    <n v="471"/>
    <n v="38"/>
    <s v="Card"/>
    <n v="4"/>
    <x v="1"/>
    <n v="27"/>
    <n v="2024"/>
  </r>
  <r>
    <s v="CUST_417"/>
    <s v="O1028"/>
    <d v="2024-05-03T00:00:00"/>
    <s v="Hyderabad"/>
    <s v="Begumpet"/>
    <s v="Grill Masters"/>
    <s v="Indian"/>
    <s v="Fried Rice"/>
    <s v="Veg"/>
    <n v="4"/>
    <n v="105"/>
    <n v="420"/>
    <n v="28"/>
    <s v="Card"/>
    <n v="3.5"/>
    <x v="5"/>
    <n v="18"/>
    <n v="2024"/>
  </r>
  <r>
    <s v="CUST_418"/>
    <s v="O1029"/>
    <d v="2024-08-13T00:00:00"/>
    <s v="Delhi"/>
    <s v="Dwarka"/>
    <s v="Urban Meals"/>
    <s v="Fast Food"/>
    <s v="Sandwich"/>
    <s v="Veg"/>
    <n v="3"/>
    <n v="334"/>
    <n v="1002"/>
    <n v="54"/>
    <s v="COD"/>
    <n v="3.1"/>
    <x v="9"/>
    <n v="33"/>
    <n v="2024"/>
  </r>
  <r>
    <s v="CUST_418"/>
    <s v="O1030"/>
    <d v="2024-04-16T00:00:00"/>
    <s v="Chennai"/>
    <s v="T Nagar"/>
    <s v="Pizza Planet"/>
    <s v="South Indian"/>
    <s v="Sandwich"/>
    <s v="Veg"/>
    <n v="3"/>
    <n v="316"/>
    <n v="948"/>
    <n v="46"/>
    <s v="UPI"/>
    <n v="3.9"/>
    <x v="2"/>
    <n v="16"/>
    <n v="2024"/>
  </r>
  <r>
    <s v="CUST_418"/>
    <s v="O1031"/>
    <d v="2024-07-08T00:00:00"/>
    <s v="Hyderabad"/>
    <s v="Begumpet"/>
    <s v="Biryani House"/>
    <s v="South Indian"/>
    <s v="Momos"/>
    <s v="Veg"/>
    <n v="5"/>
    <n v="349"/>
    <n v="1745"/>
    <n v="38"/>
    <s v="COD"/>
    <n v="3.9"/>
    <x v="1"/>
    <n v="28"/>
    <n v="2024"/>
  </r>
  <r>
    <s v="CUST_418"/>
    <s v="O1032"/>
    <d v="2024-08-19T00:00:00"/>
    <s v="Mumbai"/>
    <s v="Powai"/>
    <s v="Café Delight"/>
    <s v="Italian"/>
    <s v="Pizza"/>
    <s v="Veg"/>
    <n v="5"/>
    <n v="139"/>
    <n v="695"/>
    <n v="28"/>
    <s v="UPI"/>
    <n v="3.2"/>
    <x v="9"/>
    <n v="34"/>
    <n v="2024"/>
  </r>
  <r>
    <s v="CUST_419"/>
    <s v="O1033"/>
    <d v="2024-05-05T00:00:00"/>
    <s v="Mumbai"/>
    <s v="Andheri"/>
    <s v="Burger Hub"/>
    <s v="South Indian"/>
    <s v="Paneer Tikka"/>
    <s v="Veg"/>
    <n v="1"/>
    <n v="491"/>
    <n v="491"/>
    <n v="57"/>
    <s v="UPI"/>
    <n v="3.4"/>
    <x v="5"/>
    <n v="19"/>
    <n v="2024"/>
  </r>
  <r>
    <s v="CUST_419"/>
    <s v="O1034"/>
    <d v="2024-02-13T00:00:00"/>
    <s v="Bangalore"/>
    <s v="Whitefield"/>
    <s v="Biryani House"/>
    <s v="North Indian"/>
    <s v="Sandwich"/>
    <s v="Veg"/>
    <n v="4"/>
    <n v="481"/>
    <n v="1924"/>
    <n v="51"/>
    <s v="UPI"/>
    <n v="3.2"/>
    <x v="8"/>
    <n v="7"/>
    <n v="2024"/>
  </r>
  <r>
    <s v="CUST_419"/>
    <s v="O1035"/>
    <d v="2024-06-01T00:00:00"/>
    <s v="Delhi"/>
    <s v="Rohini"/>
    <s v="Urban Meals"/>
    <s v="South Indian"/>
    <s v="Veg Burger"/>
    <s v="Veg"/>
    <n v="4"/>
    <n v="402"/>
    <n v="1608"/>
    <n v="41"/>
    <s v="UPI"/>
    <n v="3.8"/>
    <x v="7"/>
    <n v="22"/>
    <n v="2024"/>
  </r>
  <r>
    <s v="CUST_419"/>
    <s v="O1036"/>
    <d v="2024-07-24T00:00:00"/>
    <s v="Chennai"/>
    <s v="Adyar"/>
    <s v="Café Delight"/>
    <s v="South Indian"/>
    <s v="Masala Dosa"/>
    <s v="Veg"/>
    <n v="4"/>
    <n v="133"/>
    <n v="532"/>
    <n v="21"/>
    <s v="COD"/>
    <n v="4.5"/>
    <x v="1"/>
    <n v="30"/>
    <n v="2024"/>
  </r>
  <r>
    <s v="CUST_419"/>
    <s v="O1037"/>
    <d v="2024-10-17T00:00:00"/>
    <s v="Bangalore"/>
    <s v="Jayanagar"/>
    <s v="Burger Hub"/>
    <s v="Chinese"/>
    <s v="Sandwich"/>
    <s v="Veg"/>
    <n v="3"/>
    <n v="185"/>
    <n v="555"/>
    <n v="46"/>
    <s v="Card"/>
    <n v="4.0999999999999996"/>
    <x v="0"/>
    <n v="42"/>
    <n v="2024"/>
  </r>
  <r>
    <s v="CUST_420"/>
    <s v="O1038"/>
    <d v="2024-10-23T00:00:00"/>
    <s v="Mumbai"/>
    <s v="Goregaon"/>
    <s v="Pizza Planet"/>
    <s v="North Indian"/>
    <s v="Veg Burger"/>
    <s v="Veg"/>
    <n v="3"/>
    <n v="329"/>
    <n v="987"/>
    <n v="39"/>
    <s v="COD"/>
    <n v="4.7"/>
    <x v="0"/>
    <n v="43"/>
    <n v="2024"/>
  </r>
  <r>
    <s v="CUST_420"/>
    <s v="O1039"/>
    <d v="2024-07-18T00:00:00"/>
    <s v="Mumbai"/>
    <s v="Bandra"/>
    <s v="Pizza Planet"/>
    <s v="Italian"/>
    <s v="Chicken Biryani"/>
    <s v="Non-Veg"/>
    <n v="1"/>
    <n v="298"/>
    <n v="298"/>
    <n v="47"/>
    <s v="COD"/>
    <n v="3.3"/>
    <x v="1"/>
    <n v="29"/>
    <n v="2024"/>
  </r>
  <r>
    <s v="CUST_420"/>
    <s v="O1040"/>
    <d v="2024-04-21T00:00:00"/>
    <s v="Bangalore"/>
    <s v="Jayanagar"/>
    <s v="Urban Meals"/>
    <s v="Indian"/>
    <s v="Pizza"/>
    <s v="Veg"/>
    <n v="3"/>
    <n v="305"/>
    <n v="915"/>
    <n v="55"/>
    <s v="UPI"/>
    <n v="4.4000000000000004"/>
    <x v="2"/>
    <n v="17"/>
    <n v="2024"/>
  </r>
  <r>
    <s v="CUST_420"/>
    <s v="O1041"/>
    <d v="2024-04-08T00:00:00"/>
    <s v="Delhi"/>
    <s v="Saket"/>
    <s v="Biryani House"/>
    <s v="North Indian"/>
    <s v="Fried Rice"/>
    <s v="Veg"/>
    <n v="5"/>
    <n v="227"/>
    <n v="1135"/>
    <n v="28"/>
    <s v="Card"/>
    <n v="4.2"/>
    <x v="2"/>
    <n v="15"/>
    <n v="2024"/>
  </r>
  <r>
    <s v="CUST_420"/>
    <s v="O1042"/>
    <d v="2024-02-19T00:00:00"/>
    <s v="Chennai"/>
    <s v="Tambaram"/>
    <s v="Tandoori Tales"/>
    <s v="South Indian"/>
    <s v="Fried Rice"/>
    <s v="Veg"/>
    <n v="4"/>
    <n v="131"/>
    <n v="524"/>
    <n v="44"/>
    <s v="UPI"/>
    <n v="4.7"/>
    <x v="8"/>
    <n v="8"/>
    <n v="2024"/>
  </r>
  <r>
    <s v="CUST_421"/>
    <s v="O1043"/>
    <d v="2024-02-16T00:00:00"/>
    <s v="Mumbai"/>
    <s v="Goregaon"/>
    <s v="Sandwich Stop"/>
    <s v="Italian"/>
    <s v="Momos"/>
    <s v="Veg"/>
    <n v="3"/>
    <n v="272"/>
    <n v="816"/>
    <n v="42"/>
    <s v="UPI"/>
    <n v="4.0999999999999996"/>
    <x v="8"/>
    <n v="7"/>
    <n v="2024"/>
  </r>
  <r>
    <s v="CUST_421"/>
    <s v="O1044"/>
    <d v="2024-09-12T00:00:00"/>
    <s v="Chennai"/>
    <s v="T Nagar"/>
    <s v="Sandwich Stop"/>
    <s v="South Indian"/>
    <s v="Pasta"/>
    <s v="Veg"/>
    <n v="4"/>
    <n v="273"/>
    <n v="1092"/>
    <n v="42"/>
    <s v="UPI"/>
    <n v="4.0999999999999996"/>
    <x v="3"/>
    <n v="37"/>
    <n v="2024"/>
  </r>
  <r>
    <s v="CUST_422"/>
    <s v="O1045"/>
    <d v="2024-10-26T00:00:00"/>
    <s v="Delhi"/>
    <s v="Dwarka"/>
    <s v="Pizza Planet"/>
    <s v="Chinese"/>
    <s v="Chicken Biryani"/>
    <s v="Non-Veg"/>
    <n v="2"/>
    <n v="433"/>
    <n v="866"/>
    <n v="59"/>
    <s v="COD"/>
    <n v="4.5"/>
    <x v="0"/>
    <n v="43"/>
    <n v="2024"/>
  </r>
  <r>
    <s v="CUST_422"/>
    <s v="O1046"/>
    <d v="2024-07-31T00:00:00"/>
    <s v="Bangalore"/>
    <s v="Jayanagar"/>
    <s v="Burger Hub"/>
    <s v="Fast Food"/>
    <s v="Veg Burger"/>
    <s v="Veg"/>
    <n v="5"/>
    <n v="445"/>
    <n v="2225"/>
    <n v="39"/>
    <s v="Card"/>
    <n v="3.6"/>
    <x v="1"/>
    <n v="31"/>
    <n v="2024"/>
  </r>
  <r>
    <s v="CUST_423"/>
    <s v="O1047"/>
    <d v="2024-01-11T00:00:00"/>
    <s v="Hyderabad"/>
    <s v="Kukatpally"/>
    <s v="Café Delight"/>
    <s v="Chinese"/>
    <s v="Paneer Tikka"/>
    <s v="Veg"/>
    <n v="2"/>
    <n v="418"/>
    <n v="836"/>
    <n v="20"/>
    <s v="Card"/>
    <n v="5"/>
    <x v="6"/>
    <n v="2"/>
    <n v="2024"/>
  </r>
  <r>
    <s v="CUST_423"/>
    <s v="O1048"/>
    <d v="2024-09-19T00:00:00"/>
    <s v="Hyderabad"/>
    <s v="Begumpet"/>
    <s v="Sandwich Stop"/>
    <s v="Chinese"/>
    <s v="Sandwich"/>
    <s v="Veg"/>
    <n v="2"/>
    <n v="214"/>
    <n v="428"/>
    <n v="21"/>
    <s v="COD"/>
    <n v="3.7"/>
    <x v="3"/>
    <n v="38"/>
    <n v="2024"/>
  </r>
  <r>
    <s v="CUST_423"/>
    <s v="O1049"/>
    <d v="2024-03-27T00:00:00"/>
    <s v="Chennai"/>
    <s v="Tambaram"/>
    <s v="Pizza Planet"/>
    <s v="South Indian"/>
    <s v="Chicken Roll"/>
    <s v="Non-Veg"/>
    <n v="1"/>
    <n v="336"/>
    <n v="336"/>
    <n v="40"/>
    <s v="UPI"/>
    <n v="3.4"/>
    <x v="4"/>
    <n v="13"/>
    <n v="2024"/>
  </r>
  <r>
    <s v="CUST_424"/>
    <s v="O1050"/>
    <d v="2024-04-09T00:00:00"/>
    <s v="Bangalore"/>
    <s v="Jayanagar"/>
    <s v="Biryani House"/>
    <s v="Chinese"/>
    <s v="Chicken Biryani"/>
    <s v="Non-Veg"/>
    <n v="3"/>
    <n v="464"/>
    <n v="1392"/>
    <n v="56"/>
    <s v="Card"/>
    <n v="3"/>
    <x v="2"/>
    <n v="15"/>
    <n v="2024"/>
  </r>
  <r>
    <s v="CUST_424"/>
    <s v="O1051"/>
    <d v="2024-01-20T00:00:00"/>
    <s v="Chennai"/>
    <s v="Velachery"/>
    <s v="Biryani House"/>
    <s v="Chinese"/>
    <s v="Veg Burger"/>
    <s v="Veg"/>
    <n v="1"/>
    <n v="395"/>
    <n v="395"/>
    <n v="41"/>
    <s v="UPI"/>
    <n v="3.9"/>
    <x v="6"/>
    <n v="3"/>
    <n v="2024"/>
  </r>
  <r>
    <s v="CUST_424"/>
    <s v="O1052"/>
    <d v="2024-06-27T00:00:00"/>
    <s v="Bangalore"/>
    <s v="Indiranagar"/>
    <s v="Chinese Bowl"/>
    <s v="Italian"/>
    <s v="Masala Dosa"/>
    <s v="Veg"/>
    <n v="5"/>
    <n v="432"/>
    <n v="2160"/>
    <n v="41"/>
    <s v="UPI"/>
    <n v="3.1"/>
    <x v="7"/>
    <n v="26"/>
    <n v="2024"/>
  </r>
  <r>
    <s v="CUST_424"/>
    <s v="O1053"/>
    <d v="2024-08-29T00:00:00"/>
    <s v="Hyderabad"/>
    <s v="Madhapur"/>
    <s v="Pizza Planet"/>
    <s v="Indian"/>
    <s v="Pasta"/>
    <s v="Veg"/>
    <n v="1"/>
    <n v="394"/>
    <n v="394"/>
    <n v="46"/>
    <s v="UPI"/>
    <n v="5"/>
    <x v="9"/>
    <n v="35"/>
    <n v="2024"/>
  </r>
  <r>
    <s v="CUST_424"/>
    <s v="O1054"/>
    <d v="2024-06-03T00:00:00"/>
    <s v="Delhi"/>
    <s v="Dwarka"/>
    <s v="Burger Hub"/>
    <s v="Italian"/>
    <s v="Fried Rice"/>
    <s v="Veg"/>
    <n v="4"/>
    <n v="264"/>
    <n v="1056"/>
    <n v="55"/>
    <s v="COD"/>
    <n v="4.4000000000000004"/>
    <x v="7"/>
    <n v="23"/>
    <n v="2024"/>
  </r>
  <r>
    <s v="CUST_425"/>
    <s v="O1055"/>
    <d v="2024-08-18T00:00:00"/>
    <s v="Hyderabad"/>
    <s v="Secunderabad"/>
    <s v="Biryani House"/>
    <s v="Indian"/>
    <s v="Fried Rice"/>
    <s v="Veg"/>
    <n v="3"/>
    <n v="256"/>
    <n v="768"/>
    <n v="43"/>
    <s v="COD"/>
    <n v="4"/>
    <x v="9"/>
    <n v="34"/>
    <n v="2024"/>
  </r>
  <r>
    <s v="CUST_425"/>
    <s v="O1056"/>
    <d v="2024-09-22T00:00:00"/>
    <s v="Hyderabad"/>
    <s v="Madhapur"/>
    <s v="Chinese Bowl"/>
    <s v="Chinese"/>
    <s v="Paneer Tikka"/>
    <s v="Veg"/>
    <n v="4"/>
    <n v="178"/>
    <n v="712"/>
    <n v="53"/>
    <s v="Card"/>
    <n v="3.5"/>
    <x v="3"/>
    <n v="39"/>
    <n v="2024"/>
  </r>
  <r>
    <s v="CUST_426"/>
    <s v="O1057"/>
    <d v="2024-01-03T00:00:00"/>
    <s v="Hyderabad"/>
    <s v="Begumpet"/>
    <s v="Chinese Bowl"/>
    <s v="Italian"/>
    <s v="Veg Burger"/>
    <s v="Veg"/>
    <n v="1"/>
    <n v="481"/>
    <n v="481"/>
    <n v="41"/>
    <s v="UPI"/>
    <n v="3.1"/>
    <x v="6"/>
    <n v="1"/>
    <n v="2024"/>
  </r>
  <r>
    <s v="CUST_426"/>
    <s v="O1058"/>
    <d v="2024-07-31T00:00:00"/>
    <s v="Bangalore"/>
    <s v="Indiranagar"/>
    <s v="Sandwich Stop"/>
    <s v="North Indian"/>
    <s v="Sandwich"/>
    <s v="Veg"/>
    <n v="3"/>
    <n v="200"/>
    <n v="600"/>
    <n v="36"/>
    <s v="COD"/>
    <n v="3.9"/>
    <x v="1"/>
    <n v="31"/>
    <n v="2024"/>
  </r>
  <r>
    <s v="CUST_426"/>
    <s v="O1059"/>
    <d v="2024-04-06T00:00:00"/>
    <s v="Hyderabad"/>
    <s v="Banjara Hills"/>
    <s v="South Spice"/>
    <s v="South Indian"/>
    <s v="Paneer Tikka"/>
    <s v="Veg"/>
    <n v="2"/>
    <n v="441"/>
    <n v="882"/>
    <n v="36"/>
    <s v="Card"/>
    <n v="3.9"/>
    <x v="2"/>
    <n v="14"/>
    <n v="2024"/>
  </r>
  <r>
    <s v="CUST_427"/>
    <s v="O1060"/>
    <d v="2024-02-15T00:00:00"/>
    <s v="Mumbai"/>
    <s v="Goregaon"/>
    <s v="Biryani House"/>
    <s v="North Indian"/>
    <s v="Veg Burger"/>
    <s v="Veg"/>
    <n v="4"/>
    <n v="441"/>
    <n v="1764"/>
    <n v="28"/>
    <s v="COD"/>
    <n v="3.1"/>
    <x v="8"/>
    <n v="7"/>
    <n v="2024"/>
  </r>
  <r>
    <s v="CUST_427"/>
    <s v="O1061"/>
    <d v="2024-07-21T00:00:00"/>
    <s v="Mumbai"/>
    <s v="Powai"/>
    <s v="Grill Masters"/>
    <s v="Chinese"/>
    <s v="Masala Dosa"/>
    <s v="Veg"/>
    <n v="3"/>
    <n v="251"/>
    <n v="753"/>
    <n v="33"/>
    <s v="UPI"/>
    <n v="4.5"/>
    <x v="1"/>
    <n v="30"/>
    <n v="2024"/>
  </r>
  <r>
    <s v="CUST_427"/>
    <s v="O1062"/>
    <d v="2024-06-11T00:00:00"/>
    <s v="Bangalore"/>
    <s v="Koramangala"/>
    <s v="Sandwich Stop"/>
    <s v="Indian"/>
    <s v="Chicken Roll"/>
    <s v="Non-Veg"/>
    <n v="2"/>
    <n v="180"/>
    <n v="360"/>
    <n v="30"/>
    <s v="Card"/>
    <n v="3.6"/>
    <x v="7"/>
    <n v="24"/>
    <n v="2024"/>
  </r>
  <r>
    <s v="CUST_427"/>
    <s v="O1063"/>
    <d v="2024-10-12T00:00:00"/>
    <s v="Mumbai"/>
    <s v="Bandra"/>
    <s v="Chinese Bowl"/>
    <s v="Indian"/>
    <s v="Pasta"/>
    <s v="Veg"/>
    <n v="2"/>
    <n v="421"/>
    <n v="842"/>
    <n v="34"/>
    <s v="Card"/>
    <n v="5"/>
    <x v="0"/>
    <n v="41"/>
    <n v="2024"/>
  </r>
  <r>
    <s v="CUST_428"/>
    <s v="O1064"/>
    <d v="2024-06-05T00:00:00"/>
    <s v="Delhi"/>
    <s v="Dwarka"/>
    <s v="Burger Hub"/>
    <s v="Indian"/>
    <s v="Sandwich"/>
    <s v="Veg"/>
    <n v="4"/>
    <n v="213"/>
    <n v="852"/>
    <n v="40"/>
    <s v="COD"/>
    <n v="3.7"/>
    <x v="7"/>
    <n v="23"/>
    <n v="2024"/>
  </r>
  <r>
    <s v="CUST_428"/>
    <s v="O1065"/>
    <d v="2024-06-13T00:00:00"/>
    <s v="Bangalore"/>
    <s v="Koramangala"/>
    <s v="Urban Meals"/>
    <s v="Chinese"/>
    <s v="Chicken Roll"/>
    <s v="Non-Veg"/>
    <n v="1"/>
    <n v="322"/>
    <n v="322"/>
    <n v="24"/>
    <s v="Card"/>
    <n v="3.4"/>
    <x v="7"/>
    <n v="24"/>
    <n v="2024"/>
  </r>
  <r>
    <s v="CUST_428"/>
    <s v="O1066"/>
    <d v="2024-10-04T00:00:00"/>
    <s v="Delhi"/>
    <s v="Rohini"/>
    <s v="Chinese Bowl"/>
    <s v="Fast Food"/>
    <s v="Momos"/>
    <s v="Veg"/>
    <n v="2"/>
    <n v="166"/>
    <n v="332"/>
    <n v="33"/>
    <s v="COD"/>
    <n v="3"/>
    <x v="0"/>
    <n v="40"/>
    <n v="2024"/>
  </r>
  <r>
    <s v="CUST_429"/>
    <s v="O1067"/>
    <d v="2024-03-06T00:00:00"/>
    <s v="Delhi"/>
    <s v="Saket"/>
    <s v="Burger Hub"/>
    <s v="North Indian"/>
    <s v="Sandwich"/>
    <s v="Veg"/>
    <n v="2"/>
    <n v="305"/>
    <n v="610"/>
    <n v="37"/>
    <s v="COD"/>
    <n v="3.9"/>
    <x v="4"/>
    <n v="10"/>
    <n v="2024"/>
  </r>
  <r>
    <s v="CUST_429"/>
    <s v="O1068"/>
    <d v="2024-02-27T00:00:00"/>
    <s v="Mumbai"/>
    <s v="Bandra"/>
    <s v="Pizza Planet"/>
    <s v="Chinese"/>
    <s v="Pizza"/>
    <s v="Veg"/>
    <n v="2"/>
    <n v="280"/>
    <n v="560"/>
    <n v="32"/>
    <s v="COD"/>
    <n v="3.1"/>
    <x v="8"/>
    <n v="9"/>
    <n v="2024"/>
  </r>
  <r>
    <s v="CUST_430"/>
    <s v="O1069"/>
    <d v="2024-02-02T00:00:00"/>
    <s v="Mumbai"/>
    <s v="Bandra"/>
    <s v="Pizza Planet"/>
    <s v="North Indian"/>
    <s v="Veg Burger"/>
    <s v="Veg"/>
    <n v="1"/>
    <n v="408"/>
    <n v="408"/>
    <n v="51"/>
    <s v="UPI"/>
    <n v="5"/>
    <x v="8"/>
    <n v="5"/>
    <n v="2024"/>
  </r>
  <r>
    <s v="CUST_430"/>
    <s v="O1070"/>
    <d v="2024-05-14T00:00:00"/>
    <s v="Mumbai"/>
    <s v="Powai"/>
    <s v="Burger Hub"/>
    <s v="Fast Food"/>
    <s v="Pasta"/>
    <s v="Veg"/>
    <n v="4"/>
    <n v="203"/>
    <n v="812"/>
    <n v="58"/>
    <s v="Card"/>
    <n v="4.4000000000000004"/>
    <x v="5"/>
    <n v="20"/>
    <n v="2024"/>
  </r>
  <r>
    <s v="CUST_431"/>
    <s v="O1071"/>
    <d v="2024-04-08T00:00:00"/>
    <s v="Chennai"/>
    <s v="Anna Nagar"/>
    <s v="Pizza Planet"/>
    <s v="Indian"/>
    <s v="Masala Dosa"/>
    <s v="Veg"/>
    <n v="5"/>
    <n v="487"/>
    <n v="2435"/>
    <n v="48"/>
    <s v="COD"/>
    <n v="4"/>
    <x v="2"/>
    <n v="15"/>
    <n v="2024"/>
  </r>
  <r>
    <s v="CUST_431"/>
    <s v="O1072"/>
    <d v="2024-10-03T00:00:00"/>
    <s v="Bangalore"/>
    <s v="Indiranagar"/>
    <s v="Biryani House"/>
    <s v="South Indian"/>
    <s v="Paneer Tikka"/>
    <s v="Veg"/>
    <n v="1"/>
    <n v="292"/>
    <n v="292"/>
    <n v="21"/>
    <s v="UPI"/>
    <n v="3.5"/>
    <x v="0"/>
    <n v="40"/>
    <n v="2024"/>
  </r>
  <r>
    <s v="CUST_431"/>
    <s v="O1073"/>
    <d v="2024-03-03T00:00:00"/>
    <s v="Delhi"/>
    <s v="Rohini"/>
    <s v="Sandwich Stop"/>
    <s v="Italian"/>
    <s v="Momos"/>
    <s v="Veg"/>
    <n v="3"/>
    <n v="401"/>
    <n v="1203"/>
    <n v="40"/>
    <s v="UPI"/>
    <n v="3.1"/>
    <x v="4"/>
    <n v="10"/>
    <n v="2024"/>
  </r>
  <r>
    <s v="CUST_431"/>
    <s v="O1074"/>
    <d v="2024-02-05T00:00:00"/>
    <s v="Bangalore"/>
    <s v="Jayanagar"/>
    <s v="Burger Hub"/>
    <s v="Italian"/>
    <s v="Veg Burger"/>
    <s v="Veg"/>
    <n v="4"/>
    <n v="392"/>
    <n v="1568"/>
    <n v="20"/>
    <s v="COD"/>
    <n v="3.9"/>
    <x v="8"/>
    <n v="6"/>
    <n v="2024"/>
  </r>
  <r>
    <s v="CUST_432"/>
    <s v="O1075"/>
    <d v="2024-09-25T00:00:00"/>
    <s v="Bangalore"/>
    <s v="Jayanagar"/>
    <s v="Chinese Bowl"/>
    <s v="Italian"/>
    <s v="Paneer Tikka"/>
    <s v="Veg"/>
    <n v="5"/>
    <n v="146"/>
    <n v="730"/>
    <n v="53"/>
    <s v="COD"/>
    <n v="3.9"/>
    <x v="3"/>
    <n v="39"/>
    <n v="2024"/>
  </r>
  <r>
    <s v="CUST_432"/>
    <s v="O1076"/>
    <d v="2024-05-10T00:00:00"/>
    <s v="Bangalore"/>
    <s v="Koramangala"/>
    <s v="Café Delight"/>
    <s v="Indian"/>
    <s v="Pizza"/>
    <s v="Veg"/>
    <n v="4"/>
    <n v="199"/>
    <n v="796"/>
    <n v="27"/>
    <s v="Card"/>
    <n v="3.9"/>
    <x v="5"/>
    <n v="19"/>
    <n v="2024"/>
  </r>
  <r>
    <s v="CUST_432"/>
    <s v="O1077"/>
    <d v="2024-10-11T00:00:00"/>
    <s v="Delhi"/>
    <s v="Karol Bagh"/>
    <s v="Pizza Planet"/>
    <s v="Indian"/>
    <s v="Chicken Biryani"/>
    <s v="Non-Veg"/>
    <n v="1"/>
    <n v="137"/>
    <n v="137"/>
    <n v="20"/>
    <s v="COD"/>
    <n v="4.5"/>
    <x v="0"/>
    <n v="41"/>
    <n v="2024"/>
  </r>
  <r>
    <s v="CUST_432"/>
    <s v="O1078"/>
    <d v="2024-09-03T00:00:00"/>
    <s v="Delhi"/>
    <s v="Rohini"/>
    <s v="South Spice"/>
    <s v="Italian"/>
    <s v="Sandwich"/>
    <s v="Veg"/>
    <n v="3"/>
    <n v="139"/>
    <n v="417"/>
    <n v="51"/>
    <s v="UPI"/>
    <n v="3.6"/>
    <x v="3"/>
    <n v="36"/>
    <n v="2024"/>
  </r>
  <r>
    <s v="CUST_432"/>
    <s v="O1079"/>
    <d v="2024-01-23T00:00:00"/>
    <s v="Delhi"/>
    <s v="Rohini"/>
    <s v="Burger Hub"/>
    <s v="Italian"/>
    <s v="Paneer Tikka"/>
    <s v="Veg"/>
    <n v="4"/>
    <n v="108"/>
    <n v="432"/>
    <n v="29"/>
    <s v="COD"/>
    <n v="5"/>
    <x v="6"/>
    <n v="4"/>
    <n v="2024"/>
  </r>
  <r>
    <s v="CUST_433"/>
    <s v="O1080"/>
    <d v="2024-01-12T00:00:00"/>
    <s v="Chennai"/>
    <s v="Velachery"/>
    <s v="Biryani House"/>
    <s v="Fast Food"/>
    <s v="Paneer Tikka"/>
    <s v="Veg"/>
    <n v="4"/>
    <n v="332"/>
    <n v="1328"/>
    <n v="30"/>
    <s v="UPI"/>
    <n v="3.7"/>
    <x v="6"/>
    <n v="2"/>
    <n v="2024"/>
  </r>
  <r>
    <s v="CUST_433"/>
    <s v="O1081"/>
    <d v="2024-04-16T00:00:00"/>
    <s v="Hyderabad"/>
    <s v="Kukatpally"/>
    <s v="South Spice"/>
    <s v="North Indian"/>
    <s v="Momos"/>
    <s v="Veg"/>
    <n v="2"/>
    <n v="146"/>
    <n v="292"/>
    <n v="50"/>
    <s v="COD"/>
    <n v="3.4"/>
    <x v="2"/>
    <n v="16"/>
    <n v="2024"/>
  </r>
  <r>
    <s v="CUST_433"/>
    <s v="O1082"/>
    <d v="2024-02-20T00:00:00"/>
    <s v="Delhi"/>
    <s v="Saket"/>
    <s v="Tandoori Tales"/>
    <s v="Italian"/>
    <s v="Pasta"/>
    <s v="Veg"/>
    <n v="4"/>
    <n v="126"/>
    <n v="504"/>
    <n v="21"/>
    <s v="COD"/>
    <n v="3"/>
    <x v="8"/>
    <n v="8"/>
    <n v="2024"/>
  </r>
  <r>
    <s v="CUST_433"/>
    <s v="O1083"/>
    <d v="2024-01-26T00:00:00"/>
    <s v="Mumbai"/>
    <s v="Goregaon"/>
    <s v="Tandoori Tales"/>
    <s v="Fast Food"/>
    <s v="Paneer Tikka"/>
    <s v="Veg"/>
    <n v="5"/>
    <n v="203"/>
    <n v="1015"/>
    <n v="29"/>
    <s v="Card"/>
    <n v="3.9"/>
    <x v="6"/>
    <n v="4"/>
    <n v="2024"/>
  </r>
  <r>
    <s v="CUST_434"/>
    <s v="O1084"/>
    <d v="2024-07-22T00:00:00"/>
    <s v="Bangalore"/>
    <s v="Whitefield"/>
    <s v="Chinese Bowl"/>
    <s v="Italian"/>
    <s v="Sandwich"/>
    <s v="Veg"/>
    <n v="4"/>
    <n v="119"/>
    <n v="476"/>
    <n v="30"/>
    <s v="COD"/>
    <n v="3.1"/>
    <x v="1"/>
    <n v="30"/>
    <n v="2024"/>
  </r>
  <r>
    <s v="CUST_434"/>
    <s v="O1085"/>
    <d v="2024-07-08T00:00:00"/>
    <s v="Bangalore"/>
    <s v="Jayanagar"/>
    <s v="Tandoori Tales"/>
    <s v="Fast Food"/>
    <s v="Momos"/>
    <s v="Veg"/>
    <n v="2"/>
    <n v="349"/>
    <n v="698"/>
    <n v="31"/>
    <s v="COD"/>
    <n v="5"/>
    <x v="1"/>
    <n v="28"/>
    <n v="2024"/>
  </r>
  <r>
    <s v="CUST_434"/>
    <s v="O1086"/>
    <d v="2024-06-02T00:00:00"/>
    <s v="Mumbai"/>
    <s v="Andheri"/>
    <s v="Burger Hub"/>
    <s v="Indian"/>
    <s v="Pasta"/>
    <s v="Veg"/>
    <n v="2"/>
    <n v="481"/>
    <n v="962"/>
    <n v="58"/>
    <s v="UPI"/>
    <n v="4.4000000000000004"/>
    <x v="7"/>
    <n v="23"/>
    <n v="2024"/>
  </r>
  <r>
    <s v="CUST_434"/>
    <s v="O1087"/>
    <d v="2024-05-19T00:00:00"/>
    <s v="Hyderabad"/>
    <s v="Banjara Hills"/>
    <s v="Café Delight"/>
    <s v="Fast Food"/>
    <s v="Veg Burger"/>
    <s v="Veg"/>
    <n v="3"/>
    <n v="389"/>
    <n v="1167"/>
    <n v="48"/>
    <s v="Card"/>
    <n v="4"/>
    <x v="5"/>
    <n v="21"/>
    <n v="2024"/>
  </r>
  <r>
    <s v="CUST_435"/>
    <s v="O1088"/>
    <d v="2024-07-22T00:00:00"/>
    <s v="Chennai"/>
    <s v="Tambaram"/>
    <s v="Pizza Planet"/>
    <s v="North Indian"/>
    <s v="Momos"/>
    <s v="Veg"/>
    <n v="1"/>
    <n v="259"/>
    <n v="259"/>
    <n v="44"/>
    <s v="UPI"/>
    <n v="3.5"/>
    <x v="1"/>
    <n v="30"/>
    <n v="2024"/>
  </r>
  <r>
    <s v="CUST_435"/>
    <s v="O1089"/>
    <d v="2024-02-02T00:00:00"/>
    <s v="Mumbai"/>
    <s v="Goregaon"/>
    <s v="Burger Hub"/>
    <s v="Indian"/>
    <s v="Momos"/>
    <s v="Veg"/>
    <n v="2"/>
    <n v="151"/>
    <n v="302"/>
    <n v="55"/>
    <s v="COD"/>
    <n v="3.1"/>
    <x v="8"/>
    <n v="5"/>
    <n v="2024"/>
  </r>
  <r>
    <s v="CUST_435"/>
    <s v="O1090"/>
    <d v="2024-06-03T00:00:00"/>
    <s v="Chennai"/>
    <s v="T Nagar"/>
    <s v="Tandoori Tales"/>
    <s v="Chinese"/>
    <s v="Masala Dosa"/>
    <s v="Veg"/>
    <n v="3"/>
    <n v="407"/>
    <n v="1221"/>
    <n v="55"/>
    <s v="UPI"/>
    <n v="3.9"/>
    <x v="7"/>
    <n v="23"/>
    <n v="2024"/>
  </r>
  <r>
    <s v="CUST_436"/>
    <s v="O1091"/>
    <d v="2024-01-19T00:00:00"/>
    <s v="Delhi"/>
    <s v="Saket"/>
    <s v="Biryani House"/>
    <s v="Indian"/>
    <s v="Fried Rice"/>
    <s v="Veg"/>
    <n v="3"/>
    <n v="221"/>
    <n v="663"/>
    <n v="38"/>
    <s v="COD"/>
    <n v="3.9"/>
    <x v="6"/>
    <n v="3"/>
    <n v="2024"/>
  </r>
  <r>
    <s v="CUST_436"/>
    <s v="O1092"/>
    <d v="2024-03-05T00:00:00"/>
    <s v="Mumbai"/>
    <s v="Bandra"/>
    <s v="Burger Hub"/>
    <s v="Fast Food"/>
    <s v="Veg Burger"/>
    <s v="Veg"/>
    <n v="3"/>
    <n v="443"/>
    <n v="1329"/>
    <n v="44"/>
    <s v="UPI"/>
    <n v="3.2"/>
    <x v="4"/>
    <n v="10"/>
    <n v="2024"/>
  </r>
  <r>
    <s v="CUST_436"/>
    <s v="O1093"/>
    <d v="2024-05-05T00:00:00"/>
    <s v="Chennai"/>
    <s v="T Nagar"/>
    <s v="Sandwich Stop"/>
    <s v="Italian"/>
    <s v="Veg Burger"/>
    <s v="Veg"/>
    <n v="3"/>
    <n v="133"/>
    <n v="399"/>
    <n v="43"/>
    <s v="UPI"/>
    <n v="3.4"/>
    <x v="5"/>
    <n v="19"/>
    <n v="2024"/>
  </r>
  <r>
    <s v="CUST_436"/>
    <s v="O1094"/>
    <d v="2024-06-23T00:00:00"/>
    <s v="Hyderabad"/>
    <s v="Madhapur"/>
    <s v="Grill Masters"/>
    <s v="Indian"/>
    <s v="Sandwich"/>
    <s v="Veg"/>
    <n v="1"/>
    <n v="451"/>
    <n v="451"/>
    <n v="39"/>
    <s v="COD"/>
    <n v="3.2"/>
    <x v="7"/>
    <n v="26"/>
    <n v="2024"/>
  </r>
  <r>
    <s v="CUST_436"/>
    <s v="O1095"/>
    <d v="2024-03-16T00:00:00"/>
    <s v="Delhi"/>
    <s v="Saket"/>
    <s v="Grill Masters"/>
    <s v="South Indian"/>
    <s v="Masala Dosa"/>
    <s v="Veg"/>
    <n v="2"/>
    <n v="327"/>
    <n v="654"/>
    <n v="58"/>
    <s v="COD"/>
    <n v="3.8"/>
    <x v="4"/>
    <n v="11"/>
    <n v="2024"/>
  </r>
  <r>
    <s v="CUST_437"/>
    <s v="O1096"/>
    <d v="2024-08-19T00:00:00"/>
    <s v="Mumbai"/>
    <s v="Goregaon"/>
    <s v="Sandwich Stop"/>
    <s v="South Indian"/>
    <s v="Fried Rice"/>
    <s v="Veg"/>
    <n v="5"/>
    <n v="133"/>
    <n v="665"/>
    <n v="39"/>
    <s v="UPI"/>
    <n v="4.5"/>
    <x v="9"/>
    <n v="34"/>
    <n v="2024"/>
  </r>
  <r>
    <s v="CUST_437"/>
    <s v="O1097"/>
    <d v="2024-02-16T00:00:00"/>
    <s v="Mumbai"/>
    <s v="Bandra"/>
    <s v="Chinese Bowl"/>
    <s v="Fast Food"/>
    <s v="Chicken Biryani"/>
    <s v="Non-Veg"/>
    <n v="3"/>
    <n v="457"/>
    <n v="1371"/>
    <n v="35"/>
    <s v="UPI"/>
    <n v="4.0999999999999996"/>
    <x v="8"/>
    <n v="7"/>
    <n v="2024"/>
  </r>
  <r>
    <s v="CUST_437"/>
    <s v="O1098"/>
    <d v="2024-04-17T00:00:00"/>
    <s v="Delhi"/>
    <s v="Rohini"/>
    <s v="Burger Hub"/>
    <s v="Indian"/>
    <s v="Paneer Tikka"/>
    <s v="Veg"/>
    <n v="3"/>
    <n v="199"/>
    <n v="597"/>
    <n v="22"/>
    <s v="Card"/>
    <n v="4.7"/>
    <x v="2"/>
    <n v="16"/>
    <n v="2024"/>
  </r>
  <r>
    <s v="CUST_437"/>
    <s v="O1099"/>
    <d v="2024-09-23T00:00:00"/>
    <s v="Delhi"/>
    <s v="Rohini"/>
    <s v="Urban Meals"/>
    <s v="Indian"/>
    <s v="Chicken Biryani"/>
    <s v="Non-Veg"/>
    <n v="3"/>
    <n v="322"/>
    <n v="966"/>
    <n v="33"/>
    <s v="UPI"/>
    <n v="3.3"/>
    <x v="3"/>
    <n v="39"/>
    <n v="2024"/>
  </r>
  <r>
    <s v="CUST_438"/>
    <s v="O1100"/>
    <d v="2024-01-17T00:00:00"/>
    <s v="Hyderabad"/>
    <s v="Secunderabad"/>
    <s v="Grill Masters"/>
    <s v="Italian"/>
    <s v="Paneer Tikka"/>
    <s v="Veg"/>
    <n v="4"/>
    <n v="348"/>
    <n v="1392"/>
    <n v="32"/>
    <s v="UPI"/>
    <n v="4.4000000000000004"/>
    <x v="6"/>
    <n v="3"/>
    <n v="2024"/>
  </r>
  <r>
    <s v="CUST_438"/>
    <s v="O1101"/>
    <d v="2024-01-08T00:00:00"/>
    <s v="Chennai"/>
    <s v="Anna Nagar"/>
    <s v="Sandwich Stop"/>
    <s v="Italian"/>
    <s v="Pasta"/>
    <s v="Veg"/>
    <n v="3"/>
    <n v="109"/>
    <n v="327"/>
    <n v="37"/>
    <s v="UPI"/>
    <n v="4.2"/>
    <x v="6"/>
    <n v="2"/>
    <n v="2024"/>
  </r>
  <r>
    <s v="CUST_438"/>
    <s v="O1102"/>
    <d v="2024-05-02T00:00:00"/>
    <s v="Chennai"/>
    <s v="Tambaram"/>
    <s v="Burger Hub"/>
    <s v="Chinese"/>
    <s v="Pasta"/>
    <s v="Veg"/>
    <n v="1"/>
    <n v="108"/>
    <n v="108"/>
    <n v="27"/>
    <s v="Card"/>
    <n v="4.7"/>
    <x v="5"/>
    <n v="18"/>
    <n v="2024"/>
  </r>
  <r>
    <s v="CUST_438"/>
    <s v="O1103"/>
    <d v="2024-10-14T00:00:00"/>
    <s v="Bangalore"/>
    <s v="Jayanagar"/>
    <s v="Biryani House"/>
    <s v="North Indian"/>
    <s v="Pasta"/>
    <s v="Veg"/>
    <n v="3"/>
    <n v="310"/>
    <n v="930"/>
    <n v="54"/>
    <s v="Card"/>
    <n v="4.0999999999999996"/>
    <x v="0"/>
    <n v="42"/>
    <n v="2024"/>
  </r>
  <r>
    <s v="CUST_438"/>
    <s v="O1104"/>
    <d v="2024-07-15T00:00:00"/>
    <s v="Delhi"/>
    <s v="Karol Bagh"/>
    <s v="Café Delight"/>
    <s v="Indian"/>
    <s v="Pasta"/>
    <s v="Veg"/>
    <n v="5"/>
    <n v="228"/>
    <n v="1140"/>
    <n v="52"/>
    <s v="Card"/>
    <n v="4.0999999999999996"/>
    <x v="1"/>
    <n v="29"/>
    <n v="2024"/>
  </r>
  <r>
    <s v="CUST_439"/>
    <s v="O1105"/>
    <d v="2024-04-30T00:00:00"/>
    <s v="Mumbai"/>
    <s v="Dadar"/>
    <s v="South Spice"/>
    <s v="North Indian"/>
    <s v="Chicken Biryani"/>
    <s v="Non-Veg"/>
    <n v="4"/>
    <n v="213"/>
    <n v="852"/>
    <n v="21"/>
    <s v="COD"/>
    <n v="4.5"/>
    <x v="2"/>
    <n v="18"/>
    <n v="2024"/>
  </r>
  <r>
    <s v="CUST_439"/>
    <s v="O1106"/>
    <d v="2024-09-20T00:00:00"/>
    <s v="Hyderabad"/>
    <s v="Banjara Hills"/>
    <s v="Chinese Bowl"/>
    <s v="South Indian"/>
    <s v="Pasta"/>
    <s v="Veg"/>
    <n v="2"/>
    <n v="240"/>
    <n v="480"/>
    <n v="55"/>
    <s v="COD"/>
    <n v="3.6"/>
    <x v="3"/>
    <n v="38"/>
    <n v="2024"/>
  </r>
  <r>
    <s v="CUST_439"/>
    <s v="O1107"/>
    <d v="2024-03-08T00:00:00"/>
    <s v="Hyderabad"/>
    <s v="Madhapur"/>
    <s v="Café Delight"/>
    <s v="Indian"/>
    <s v="Paneer Tikka"/>
    <s v="Veg"/>
    <n v="3"/>
    <n v="444"/>
    <n v="1332"/>
    <n v="31"/>
    <s v="COD"/>
    <n v="5"/>
    <x v="4"/>
    <n v="10"/>
    <n v="2024"/>
  </r>
  <r>
    <s v="CUST_440"/>
    <s v="O1108"/>
    <d v="2024-09-03T00:00:00"/>
    <s v="Mumbai"/>
    <s v="Powai"/>
    <s v="Urban Meals"/>
    <s v="Fast Food"/>
    <s v="Chicken Roll"/>
    <s v="Non-Veg"/>
    <n v="4"/>
    <n v="361"/>
    <n v="1444"/>
    <n v="50"/>
    <s v="Card"/>
    <n v="3.7"/>
    <x v="3"/>
    <n v="36"/>
    <n v="2024"/>
  </r>
  <r>
    <s v="CUST_440"/>
    <s v="O1109"/>
    <d v="2024-05-20T00:00:00"/>
    <s v="Delhi"/>
    <s v="Rohini"/>
    <s v="Urban Meals"/>
    <s v="Indian"/>
    <s v="Chicken Roll"/>
    <s v="Non-Veg"/>
    <n v="1"/>
    <n v="158"/>
    <n v="158"/>
    <n v="30"/>
    <s v="COD"/>
    <n v="3.4"/>
    <x v="5"/>
    <n v="21"/>
    <n v="2024"/>
  </r>
  <r>
    <s v="CUST_440"/>
    <s v="O1110"/>
    <d v="2024-03-24T00:00:00"/>
    <s v="Chennai"/>
    <s v="Anna Nagar"/>
    <s v="Grill Masters"/>
    <s v="North Indian"/>
    <s v="Sandwich"/>
    <s v="Veg"/>
    <n v="1"/>
    <n v="232"/>
    <n v="232"/>
    <n v="49"/>
    <s v="COD"/>
    <n v="3"/>
    <x v="4"/>
    <n v="13"/>
    <n v="2024"/>
  </r>
  <r>
    <s v="CUST_440"/>
    <s v="O1111"/>
    <d v="2024-01-19T00:00:00"/>
    <s v="Mumbai"/>
    <s v="Bandra"/>
    <s v="Pizza Planet"/>
    <s v="Chinese"/>
    <s v="Pasta"/>
    <s v="Veg"/>
    <n v="5"/>
    <n v="198"/>
    <n v="990"/>
    <n v="59"/>
    <s v="UPI"/>
    <n v="3.9"/>
    <x v="6"/>
    <n v="3"/>
    <n v="2024"/>
  </r>
  <r>
    <s v="CUST_440"/>
    <s v="O1112"/>
    <d v="2024-04-01T00:00:00"/>
    <s v="Mumbai"/>
    <s v="Powai"/>
    <s v="Café Delight"/>
    <s v="North Indian"/>
    <s v="Paneer Tikka"/>
    <s v="Veg"/>
    <n v="3"/>
    <n v="165"/>
    <n v="495"/>
    <n v="36"/>
    <s v="COD"/>
    <n v="3.1"/>
    <x v="2"/>
    <n v="14"/>
    <n v="2024"/>
  </r>
  <r>
    <s v="CUST_441"/>
    <s v="O1113"/>
    <d v="2024-10-15T00:00:00"/>
    <s v="Chennai"/>
    <s v="T Nagar"/>
    <s v="Pizza Planet"/>
    <s v="Fast Food"/>
    <s v="Masala Dosa"/>
    <s v="Veg"/>
    <n v="5"/>
    <n v="369"/>
    <n v="1845"/>
    <n v="20"/>
    <s v="Card"/>
    <n v="5"/>
    <x v="0"/>
    <n v="42"/>
    <n v="2024"/>
  </r>
  <r>
    <s v="CUST_441"/>
    <s v="O1114"/>
    <d v="2024-05-29T00:00:00"/>
    <s v="Bangalore"/>
    <s v="Whitefield"/>
    <s v="Chinese Bowl"/>
    <s v="Chinese"/>
    <s v="Sandwich"/>
    <s v="Veg"/>
    <n v="4"/>
    <n v="178"/>
    <n v="712"/>
    <n v="45"/>
    <s v="COD"/>
    <n v="4.4000000000000004"/>
    <x v="5"/>
    <n v="22"/>
    <n v="2024"/>
  </r>
  <r>
    <s v="CUST_442"/>
    <s v="O1115"/>
    <d v="2024-04-30T00:00:00"/>
    <s v="Delhi"/>
    <s v="Connaught Place"/>
    <s v="Biryani House"/>
    <s v="Italian"/>
    <s v="Pizza"/>
    <s v="Veg"/>
    <n v="3"/>
    <n v="262"/>
    <n v="786"/>
    <n v="20"/>
    <s v="Card"/>
    <n v="4"/>
    <x v="2"/>
    <n v="18"/>
    <n v="2024"/>
  </r>
  <r>
    <s v="CUST_442"/>
    <s v="O1116"/>
    <d v="2024-06-19T00:00:00"/>
    <s v="Mumbai"/>
    <s v="Andheri"/>
    <s v="Chinese Bowl"/>
    <s v="Italian"/>
    <s v="Masala Dosa"/>
    <s v="Veg"/>
    <n v="5"/>
    <n v="386"/>
    <n v="1930"/>
    <n v="32"/>
    <s v="COD"/>
    <n v="3.5"/>
    <x v="7"/>
    <n v="25"/>
    <n v="2024"/>
  </r>
  <r>
    <s v="CUST_442"/>
    <s v="O1117"/>
    <d v="2024-02-23T00:00:00"/>
    <s v="Bangalore"/>
    <s v="Jayanagar"/>
    <s v="Grill Masters"/>
    <s v="South Indian"/>
    <s v="Masala Dosa"/>
    <s v="Veg"/>
    <n v="5"/>
    <n v="319"/>
    <n v="1595"/>
    <n v="30"/>
    <s v="Card"/>
    <n v="3.1"/>
    <x v="8"/>
    <n v="8"/>
    <n v="2024"/>
  </r>
  <r>
    <s v="CUST_442"/>
    <s v="O1118"/>
    <d v="2024-01-22T00:00:00"/>
    <s v="Hyderabad"/>
    <s v="Begumpet"/>
    <s v="Sandwich Stop"/>
    <s v="South Indian"/>
    <s v="Fried Rice"/>
    <s v="Veg"/>
    <n v="2"/>
    <n v="413"/>
    <n v="826"/>
    <n v="27"/>
    <s v="Card"/>
    <n v="3.9"/>
    <x v="6"/>
    <n v="4"/>
    <n v="2024"/>
  </r>
  <r>
    <s v="CUST_443"/>
    <s v="O1119"/>
    <d v="2024-05-16T00:00:00"/>
    <s v="Hyderabad"/>
    <s v="Secunderabad"/>
    <s v="Pizza Planet"/>
    <s v="Fast Food"/>
    <s v="Paneer Tikka"/>
    <s v="Veg"/>
    <n v="3"/>
    <n v="222"/>
    <n v="666"/>
    <n v="37"/>
    <s v="Card"/>
    <n v="3.9"/>
    <x v="5"/>
    <n v="20"/>
    <n v="2024"/>
  </r>
  <r>
    <s v="CUST_443"/>
    <s v="O1120"/>
    <d v="2024-08-29T00:00:00"/>
    <s v="Bangalore"/>
    <s v="Indiranagar"/>
    <s v="Biryani House"/>
    <s v="Italian"/>
    <s v="Chicken Roll"/>
    <s v="Non-Veg"/>
    <n v="3"/>
    <n v="491"/>
    <n v="1473"/>
    <n v="40"/>
    <s v="COD"/>
    <n v="3.1"/>
    <x v="9"/>
    <n v="35"/>
    <n v="2024"/>
  </r>
  <r>
    <s v="CUST_443"/>
    <s v="O1121"/>
    <d v="2024-03-06T00:00:00"/>
    <s v="Bangalore"/>
    <s v="BTM Layout"/>
    <s v="Chinese Bowl"/>
    <s v="Fast Food"/>
    <s v="Pizza"/>
    <s v="Veg"/>
    <n v="1"/>
    <n v="322"/>
    <n v="322"/>
    <n v="44"/>
    <s v="Card"/>
    <n v="4.5"/>
    <x v="4"/>
    <n v="10"/>
    <n v="2024"/>
  </r>
  <r>
    <s v="CUST_444"/>
    <s v="O1122"/>
    <d v="2024-09-24T00:00:00"/>
    <s v="Mumbai"/>
    <s v="Goregaon"/>
    <s v="Urban Meals"/>
    <s v="North Indian"/>
    <s v="Sandwich"/>
    <s v="Veg"/>
    <n v="2"/>
    <n v="350"/>
    <n v="700"/>
    <n v="31"/>
    <s v="Card"/>
    <n v="3.6"/>
    <x v="3"/>
    <n v="39"/>
    <n v="2024"/>
  </r>
  <r>
    <s v="CUST_444"/>
    <s v="O1123"/>
    <d v="2024-07-07T00:00:00"/>
    <s v="Delhi"/>
    <s v="Connaught Place"/>
    <s v="Grill Masters"/>
    <s v="North Indian"/>
    <s v="Paneer Tikka"/>
    <s v="Veg"/>
    <n v="4"/>
    <n v="348"/>
    <n v="1392"/>
    <n v="31"/>
    <s v="UPI"/>
    <n v="5"/>
    <x v="1"/>
    <n v="28"/>
    <n v="2024"/>
  </r>
  <r>
    <s v="CUST_444"/>
    <s v="O1124"/>
    <d v="2024-09-30T00:00:00"/>
    <s v="Bangalore"/>
    <s v="BTM Layout"/>
    <s v="Chinese Bowl"/>
    <s v="Italian"/>
    <s v="Chicken Roll"/>
    <s v="Non-Veg"/>
    <n v="4"/>
    <n v="485"/>
    <n v="1940"/>
    <n v="42"/>
    <s v="COD"/>
    <n v="3.7"/>
    <x v="3"/>
    <n v="40"/>
    <n v="2024"/>
  </r>
  <r>
    <s v="CUST_444"/>
    <s v="O1125"/>
    <d v="2024-04-30T00:00:00"/>
    <s v="Chennai"/>
    <s v="Velachery"/>
    <s v="Pizza Planet"/>
    <s v="North Indian"/>
    <s v="Chicken Roll"/>
    <s v="Non-Veg"/>
    <n v="3"/>
    <n v="133"/>
    <n v="399"/>
    <n v="24"/>
    <s v="Card"/>
    <n v="3.4"/>
    <x v="2"/>
    <n v="18"/>
    <n v="2024"/>
  </r>
  <r>
    <s v="CUST_445"/>
    <s v="O1126"/>
    <d v="2024-04-27T00:00:00"/>
    <s v="Chennai"/>
    <s v="Anna Nagar"/>
    <s v="Chinese Bowl"/>
    <s v="Chinese"/>
    <s v="Momos"/>
    <s v="Veg"/>
    <n v="3"/>
    <n v="486"/>
    <n v="1458"/>
    <n v="33"/>
    <s v="COD"/>
    <n v="3"/>
    <x v="2"/>
    <n v="17"/>
    <n v="2024"/>
  </r>
  <r>
    <s v="CUST_445"/>
    <s v="O1127"/>
    <d v="2024-06-08T00:00:00"/>
    <s v="Delhi"/>
    <s v="Rohini"/>
    <s v="Biryani House"/>
    <s v="Italian"/>
    <s v="Masala Dosa"/>
    <s v="Veg"/>
    <n v="3"/>
    <n v="220"/>
    <n v="660"/>
    <n v="47"/>
    <s v="Card"/>
    <n v="3.9"/>
    <x v="7"/>
    <n v="23"/>
    <n v="2024"/>
  </r>
  <r>
    <s v="CUST_445"/>
    <s v="O1128"/>
    <d v="2024-06-21T00:00:00"/>
    <s v="Bangalore"/>
    <s v="Jayanagar"/>
    <s v="Urban Meals"/>
    <s v="Italian"/>
    <s v="Momos"/>
    <s v="Veg"/>
    <n v="4"/>
    <n v="454"/>
    <n v="1816"/>
    <n v="33"/>
    <s v="Card"/>
    <n v="3.1"/>
    <x v="7"/>
    <n v="25"/>
    <n v="2024"/>
  </r>
  <r>
    <s v="CUST_446"/>
    <s v="O1129"/>
    <d v="2024-01-28T00:00:00"/>
    <s v="Bangalore"/>
    <s v="Whitefield"/>
    <s v="Chinese Bowl"/>
    <s v="Indian"/>
    <s v="Veg Burger"/>
    <s v="Veg"/>
    <n v="2"/>
    <n v="261"/>
    <n v="522"/>
    <n v="23"/>
    <s v="Card"/>
    <n v="5"/>
    <x v="6"/>
    <n v="5"/>
    <n v="2024"/>
  </r>
  <r>
    <s v="CUST_446"/>
    <s v="O1130"/>
    <d v="2024-09-18T00:00:00"/>
    <s v="Hyderabad"/>
    <s v="Kukatpally"/>
    <s v="Burger Hub"/>
    <s v="North Indian"/>
    <s v="Fried Rice"/>
    <s v="Veg"/>
    <n v="4"/>
    <n v="268"/>
    <n v="1072"/>
    <n v="38"/>
    <s v="UPI"/>
    <n v="4.4000000000000004"/>
    <x v="3"/>
    <n v="38"/>
    <n v="2024"/>
  </r>
  <r>
    <s v="CUST_447"/>
    <s v="O1131"/>
    <d v="2024-03-16T00:00:00"/>
    <s v="Hyderabad"/>
    <s v="Begumpet"/>
    <s v="Burger Hub"/>
    <s v="Italian"/>
    <s v="Masala Dosa"/>
    <s v="Veg"/>
    <n v="5"/>
    <n v="400"/>
    <n v="2000"/>
    <n v="55"/>
    <s v="Card"/>
    <n v="4"/>
    <x v="4"/>
    <n v="11"/>
    <n v="2024"/>
  </r>
  <r>
    <s v="CUST_447"/>
    <s v="O1132"/>
    <d v="2024-08-08T00:00:00"/>
    <s v="Chennai"/>
    <s v="Velachery"/>
    <s v="Sandwich Stop"/>
    <s v="Italian"/>
    <s v="Masala Dosa"/>
    <s v="Veg"/>
    <n v="1"/>
    <n v="185"/>
    <n v="185"/>
    <n v="32"/>
    <s v="Card"/>
    <n v="3.5"/>
    <x v="9"/>
    <n v="32"/>
    <n v="2024"/>
  </r>
  <r>
    <s v="CUST_447"/>
    <s v="O1133"/>
    <d v="2024-04-08T00:00:00"/>
    <s v="Chennai"/>
    <s v="Velachery"/>
    <s v="Pizza Planet"/>
    <s v="Fast Food"/>
    <s v="Chicken Roll"/>
    <s v="Non-Veg"/>
    <n v="5"/>
    <n v="320"/>
    <n v="1600"/>
    <n v="54"/>
    <s v="Card"/>
    <n v="3.1"/>
    <x v="2"/>
    <n v="15"/>
    <n v="2024"/>
  </r>
  <r>
    <s v="CUST_447"/>
    <s v="O1134"/>
    <d v="2024-09-23T00:00:00"/>
    <s v="Delhi"/>
    <s v="Connaught Place"/>
    <s v="Biryani House"/>
    <s v="North Indian"/>
    <s v="Momos"/>
    <s v="Veg"/>
    <n v="2"/>
    <n v="233"/>
    <n v="466"/>
    <n v="48"/>
    <s v="UPI"/>
    <n v="3.9"/>
    <x v="3"/>
    <n v="39"/>
    <n v="2024"/>
  </r>
  <r>
    <s v="CUST_448"/>
    <s v="O1135"/>
    <d v="2024-10-12T00:00:00"/>
    <s v="Chennai"/>
    <s v="Tambaram"/>
    <s v="Burger Hub"/>
    <s v="Italian"/>
    <s v="Paneer Tikka"/>
    <s v="Veg"/>
    <n v="3"/>
    <n v="149"/>
    <n v="447"/>
    <n v="21"/>
    <s v="UPI"/>
    <n v="3.9"/>
    <x v="0"/>
    <n v="41"/>
    <n v="2024"/>
  </r>
  <r>
    <s v="CUST_448"/>
    <s v="O1136"/>
    <d v="2024-07-04T00:00:00"/>
    <s v="Hyderabad"/>
    <s v="Kukatpally"/>
    <s v="Grill Masters"/>
    <s v="Italian"/>
    <s v="Paneer Tikka"/>
    <s v="Veg"/>
    <n v="4"/>
    <n v="234"/>
    <n v="936"/>
    <n v="41"/>
    <s v="UPI"/>
    <n v="3.9"/>
    <x v="1"/>
    <n v="27"/>
    <n v="2024"/>
  </r>
  <r>
    <s v="CUST_448"/>
    <s v="O1137"/>
    <d v="2024-04-17T00:00:00"/>
    <s v="Mumbai"/>
    <s v="Powai"/>
    <s v="Pizza Planet"/>
    <s v="Fast Food"/>
    <s v="Chicken Roll"/>
    <s v="Non-Veg"/>
    <n v="2"/>
    <n v="319"/>
    <n v="638"/>
    <n v="32"/>
    <s v="UPI"/>
    <n v="4.5"/>
    <x v="2"/>
    <n v="16"/>
    <n v="2024"/>
  </r>
  <r>
    <s v="CUST_449"/>
    <s v="O1138"/>
    <d v="2024-06-25T00:00:00"/>
    <s v="Mumbai"/>
    <s v="Powai"/>
    <s v="Biryani House"/>
    <s v="South Indian"/>
    <s v="Pizza"/>
    <s v="Veg"/>
    <n v="3"/>
    <n v="175"/>
    <n v="525"/>
    <n v="40"/>
    <s v="Card"/>
    <n v="3.6"/>
    <x v="7"/>
    <n v="26"/>
    <n v="2024"/>
  </r>
  <r>
    <s v="CUST_449"/>
    <s v="O1139"/>
    <d v="2024-05-30T00:00:00"/>
    <s v="Hyderabad"/>
    <s v="Kukatpally"/>
    <s v="Tandoori Tales"/>
    <s v="South Indian"/>
    <s v="Momos"/>
    <s v="Veg"/>
    <n v="3"/>
    <n v="401"/>
    <n v="1203"/>
    <n v="30"/>
    <s v="COD"/>
    <n v="5"/>
    <x v="5"/>
    <n v="22"/>
    <n v="2024"/>
  </r>
  <r>
    <s v="CUST_449"/>
    <s v="O1140"/>
    <d v="2024-10-01T00:00:00"/>
    <s v="Delhi"/>
    <s v="Rohini"/>
    <s v="Sandwich Stop"/>
    <s v="Fast Food"/>
    <s v="Chicken Biryani"/>
    <s v="Non-Veg"/>
    <n v="2"/>
    <n v="104"/>
    <n v="208"/>
    <n v="49"/>
    <s v="UPI"/>
    <n v="3.7"/>
    <x v="0"/>
    <n v="40"/>
    <n v="2024"/>
  </r>
  <r>
    <s v="CUST_449"/>
    <s v="O1141"/>
    <d v="2024-01-17T00:00:00"/>
    <s v="Bangalore"/>
    <s v="Jayanagar"/>
    <s v="Burger Hub"/>
    <s v="Indian"/>
    <s v="Sandwich"/>
    <s v="Veg"/>
    <n v="1"/>
    <n v="147"/>
    <n v="147"/>
    <n v="53"/>
    <s v="COD"/>
    <n v="3.4"/>
    <x v="6"/>
    <n v="3"/>
    <n v="2024"/>
  </r>
  <r>
    <s v="CUST_449"/>
    <s v="O1142"/>
    <d v="2024-05-31T00:00:00"/>
    <s v="Mumbai"/>
    <s v="Andheri"/>
    <s v="Tandoori Tales"/>
    <s v="Chinese"/>
    <s v="Pasta"/>
    <s v="Veg"/>
    <n v="2"/>
    <n v="227"/>
    <n v="454"/>
    <n v="33"/>
    <s v="UPI"/>
    <n v="3"/>
    <x v="5"/>
    <n v="22"/>
    <n v="2024"/>
  </r>
  <r>
    <s v="CUST_450"/>
    <s v="O1143"/>
    <d v="2024-07-12T00:00:00"/>
    <s v="Bangalore"/>
    <s v="Koramangala"/>
    <s v="Chinese Bowl"/>
    <s v="Indian"/>
    <s v="Veg Burger"/>
    <s v="Veg"/>
    <n v="3"/>
    <n v="450"/>
    <n v="1350"/>
    <n v="33"/>
    <s v="UPI"/>
    <n v="3.9"/>
    <x v="1"/>
    <n v="28"/>
    <n v="2024"/>
  </r>
  <r>
    <s v="CUST_450"/>
    <s v="O1144"/>
    <d v="2024-01-11T00:00:00"/>
    <s v="Hyderabad"/>
    <s v="Secunderabad"/>
    <s v="Tandoori Tales"/>
    <s v="Indian"/>
    <s v="Paneer Tikka"/>
    <s v="Veg"/>
    <n v="2"/>
    <n v="117"/>
    <n v="234"/>
    <n v="26"/>
    <s v="UPI"/>
    <n v="3.1"/>
    <x v="6"/>
    <n v="2"/>
    <n v="2024"/>
  </r>
  <r>
    <s v="CUST_451"/>
    <s v="O1145"/>
    <d v="2024-04-04T00:00:00"/>
    <s v="Bangalore"/>
    <s v="Indiranagar"/>
    <s v="Tandoori Tales"/>
    <s v="South Indian"/>
    <s v="Chicken Biryani"/>
    <s v="Non-Veg"/>
    <n v="4"/>
    <n v="381"/>
    <n v="1524"/>
    <n v="21"/>
    <s v="COD"/>
    <n v="5"/>
    <x v="2"/>
    <n v="14"/>
    <n v="2024"/>
  </r>
  <r>
    <s v="CUST_451"/>
    <s v="O1146"/>
    <d v="2024-07-21T00:00:00"/>
    <s v="Chennai"/>
    <s v="Velachery"/>
    <s v="Sandwich Stop"/>
    <s v="North Indian"/>
    <s v="Chicken Biryani"/>
    <s v="Non-Veg"/>
    <n v="4"/>
    <n v="460"/>
    <n v="1840"/>
    <n v="31"/>
    <s v="COD"/>
    <n v="4.4000000000000004"/>
    <x v="1"/>
    <n v="30"/>
    <n v="2024"/>
  </r>
  <r>
    <s v="CUST_451"/>
    <s v="O1147"/>
    <d v="2024-10-16T00:00:00"/>
    <s v="Mumbai"/>
    <s v="Powai"/>
    <s v="Biryani House"/>
    <s v="North Indian"/>
    <s v="Pasta"/>
    <s v="Veg"/>
    <n v="2"/>
    <n v="133"/>
    <n v="266"/>
    <n v="60"/>
    <s v="COD"/>
    <n v="4"/>
    <x v="0"/>
    <n v="42"/>
    <n v="2024"/>
  </r>
  <r>
    <s v="CUST_451"/>
    <s v="O1148"/>
    <d v="2024-09-11T00:00:00"/>
    <s v="Bangalore"/>
    <s v="Whitefield"/>
    <s v="Urban Meals"/>
    <s v="North Indian"/>
    <s v="Chicken Biryani"/>
    <s v="Non-Veg"/>
    <n v="1"/>
    <n v="497"/>
    <n v="497"/>
    <n v="33"/>
    <s v="UPI"/>
    <n v="3.5"/>
    <x v="3"/>
    <n v="37"/>
    <n v="2024"/>
  </r>
  <r>
    <s v="CUST_452"/>
    <s v="O1149"/>
    <d v="2024-04-07T00:00:00"/>
    <s v="Chennai"/>
    <s v="Adyar"/>
    <s v="South Spice"/>
    <s v="Chinese"/>
    <s v="Paneer Tikka"/>
    <s v="Veg"/>
    <n v="2"/>
    <n v="119"/>
    <n v="238"/>
    <n v="58"/>
    <s v="UPI"/>
    <n v="3.1"/>
    <x v="2"/>
    <n v="15"/>
    <n v="2024"/>
  </r>
  <r>
    <s v="CUST_452"/>
    <s v="O1150"/>
    <d v="2024-07-09T00:00:00"/>
    <s v="Mumbai"/>
    <s v="Dadar"/>
    <s v="Café Delight"/>
    <s v="Fast Food"/>
    <s v="Chicken Roll"/>
    <s v="Non-Veg"/>
    <n v="3"/>
    <n v="264"/>
    <n v="792"/>
    <n v="39"/>
    <s v="Card"/>
    <n v="3.9"/>
    <x v="1"/>
    <n v="28"/>
    <n v="2024"/>
  </r>
  <r>
    <s v="CUST_452"/>
    <s v="O1151"/>
    <d v="2024-04-29T00:00:00"/>
    <s v="Bangalore"/>
    <s v="Koramangala"/>
    <s v="Chinese Bowl"/>
    <s v="Chinese"/>
    <s v="Masala Dosa"/>
    <s v="Veg"/>
    <n v="1"/>
    <n v="495"/>
    <n v="495"/>
    <n v="59"/>
    <s v="Card"/>
    <n v="3.9"/>
    <x v="2"/>
    <n v="18"/>
    <n v="2024"/>
  </r>
  <r>
    <s v="CUST_453"/>
    <s v="O1152"/>
    <d v="2024-06-24T00:00:00"/>
    <s v="Bangalore"/>
    <s v="Whitefield"/>
    <s v="Tandoori Tales"/>
    <s v="Indian"/>
    <s v="Masala Dosa"/>
    <s v="Veg"/>
    <n v="2"/>
    <n v="438"/>
    <n v="876"/>
    <n v="25"/>
    <s v="UPI"/>
    <n v="3.9"/>
    <x v="7"/>
    <n v="26"/>
    <n v="2024"/>
  </r>
  <r>
    <s v="CUST_453"/>
    <s v="O1153"/>
    <d v="2024-07-16T00:00:00"/>
    <s v="Bangalore"/>
    <s v="Whitefield"/>
    <s v="Sandwich Stop"/>
    <s v="North Indian"/>
    <s v="Paneer Tikka"/>
    <s v="Veg"/>
    <n v="4"/>
    <n v="121"/>
    <n v="484"/>
    <n v="27"/>
    <s v="UPI"/>
    <n v="4.8"/>
    <x v="1"/>
    <n v="29"/>
    <n v="2024"/>
  </r>
  <r>
    <s v="CUST_453"/>
    <s v="O1154"/>
    <d v="2024-04-22T00:00:00"/>
    <s v="Bangalore"/>
    <s v="Koramangala"/>
    <s v="Sandwich Stop"/>
    <s v="Indian"/>
    <s v="Momos"/>
    <s v="Veg"/>
    <n v="1"/>
    <n v="260"/>
    <n v="260"/>
    <n v="21"/>
    <s v="UPI"/>
    <n v="4.3"/>
    <x v="2"/>
    <n v="17"/>
    <n v="2024"/>
  </r>
  <r>
    <s v="CUST_453"/>
    <s v="O1155"/>
    <d v="2024-02-01T00:00:00"/>
    <s v="Bangalore"/>
    <s v="Jayanagar"/>
    <s v="Grill Masters"/>
    <s v="Chinese"/>
    <s v="Fried Rice"/>
    <s v="Veg"/>
    <n v="2"/>
    <n v="109"/>
    <n v="218"/>
    <n v="51"/>
    <s v="Card"/>
    <n v="4.0999999999999996"/>
    <x v="8"/>
    <n v="5"/>
    <n v="2024"/>
  </r>
  <r>
    <s v="CUST_453"/>
    <s v="O1156"/>
    <d v="2024-10-16T00:00:00"/>
    <s v="Bangalore"/>
    <s v="Koramangala"/>
    <s v="Pizza Planet"/>
    <s v="Chinese"/>
    <s v="Veg Burger"/>
    <s v="Veg"/>
    <n v="4"/>
    <n v="143"/>
    <n v="572"/>
    <n v="47"/>
    <s v="UPI"/>
    <n v="4.3"/>
    <x v="0"/>
    <n v="42"/>
    <n v="2024"/>
  </r>
  <r>
    <s v="CUST_454"/>
    <s v="O1157"/>
    <d v="2024-05-19T00:00:00"/>
    <s v="Mumbai"/>
    <s v="Powai"/>
    <s v="Burger Hub"/>
    <s v="South Indian"/>
    <s v="Pasta"/>
    <s v="Veg"/>
    <n v="5"/>
    <n v="311"/>
    <n v="1555"/>
    <n v="56"/>
    <s v="Card"/>
    <n v="3.9"/>
    <x v="5"/>
    <n v="21"/>
    <n v="2024"/>
  </r>
  <r>
    <s v="CUST_454"/>
    <s v="O1158"/>
    <d v="2024-09-10T00:00:00"/>
    <s v="Mumbai"/>
    <s v="Andheri"/>
    <s v="Grill Masters"/>
    <s v="Chinese"/>
    <s v="Paneer Tikka"/>
    <s v="Veg"/>
    <n v="4"/>
    <n v="117"/>
    <n v="468"/>
    <n v="38"/>
    <s v="UPI"/>
    <n v="4.5999999999999996"/>
    <x v="3"/>
    <n v="37"/>
    <n v="2024"/>
  </r>
  <r>
    <s v="CUST_455"/>
    <s v="O1159"/>
    <d v="2024-03-21T00:00:00"/>
    <s v="Chennai"/>
    <s v="Adyar"/>
    <s v="Pizza Planet"/>
    <s v="Chinese"/>
    <s v="Sandwich"/>
    <s v="Veg"/>
    <n v="3"/>
    <n v="336"/>
    <n v="1008"/>
    <n v="46"/>
    <s v="UPI"/>
    <n v="4.9000000000000004"/>
    <x v="4"/>
    <n v="12"/>
    <n v="2024"/>
  </r>
  <r>
    <s v="CUST_455"/>
    <s v="O1160"/>
    <d v="2024-07-17T00:00:00"/>
    <s v="Chennai"/>
    <s v="T Nagar"/>
    <s v="Grill Masters"/>
    <s v="Chinese"/>
    <s v="Pasta"/>
    <s v="Veg"/>
    <n v="3"/>
    <n v="170"/>
    <n v="510"/>
    <n v="57"/>
    <s v="UPI"/>
    <n v="4.5999999999999996"/>
    <x v="1"/>
    <n v="29"/>
    <n v="2024"/>
  </r>
  <r>
    <s v="CUST_455"/>
    <s v="O1161"/>
    <d v="2024-10-22T00:00:00"/>
    <s v="Mumbai"/>
    <s v="Andheri"/>
    <s v="Café Delight"/>
    <s v="Chinese"/>
    <s v="Chicken Roll"/>
    <s v="Non-Veg"/>
    <n v="2"/>
    <n v="246"/>
    <n v="492"/>
    <n v="49"/>
    <s v="COD"/>
    <n v="3.7"/>
    <x v="0"/>
    <n v="43"/>
    <n v="2024"/>
  </r>
  <r>
    <s v="CUST_456"/>
    <s v="O1162"/>
    <d v="2024-10-02T00:00:00"/>
    <s v="Hyderabad"/>
    <s v="Secunderabad"/>
    <s v="Biryani House"/>
    <s v="North Indian"/>
    <s v="Pasta"/>
    <s v="Veg"/>
    <n v="3"/>
    <n v="461"/>
    <n v="1383"/>
    <n v="57"/>
    <s v="COD"/>
    <n v="4.0999999999999996"/>
    <x v="0"/>
    <n v="40"/>
    <n v="2024"/>
  </r>
  <r>
    <s v="CUST_456"/>
    <s v="O1163"/>
    <d v="2024-05-25T00:00:00"/>
    <s v="Bangalore"/>
    <s v="Koramangala"/>
    <s v="Sandwich Stop"/>
    <s v="Indian"/>
    <s v="Chicken Roll"/>
    <s v="Non-Veg"/>
    <n v="3"/>
    <n v="296"/>
    <n v="888"/>
    <n v="52"/>
    <s v="UPI"/>
    <n v="3.3"/>
    <x v="5"/>
    <n v="21"/>
    <n v="2024"/>
  </r>
  <r>
    <s v="CUST_456"/>
    <s v="O1164"/>
    <d v="2024-04-07T00:00:00"/>
    <s v="Delhi"/>
    <s v="Karol Bagh"/>
    <s v="Burger Hub"/>
    <s v="Indian"/>
    <s v="Fried Rice"/>
    <s v="Veg"/>
    <n v="2"/>
    <n v="499"/>
    <n v="998"/>
    <n v="44"/>
    <s v="Card"/>
    <n v="3.8"/>
    <x v="2"/>
    <n v="15"/>
    <n v="2024"/>
  </r>
  <r>
    <s v="CUST_456"/>
    <s v="O1165"/>
    <d v="2024-01-04T00:00:00"/>
    <s v="Bangalore"/>
    <s v="Jayanagar"/>
    <s v="Chinese Bowl"/>
    <s v="Indian"/>
    <s v="Paneer Tikka"/>
    <s v="Veg"/>
    <n v="2"/>
    <n v="151"/>
    <n v="302"/>
    <n v="39"/>
    <s v="UPI"/>
    <n v="3.8"/>
    <x v="6"/>
    <n v="1"/>
    <n v="2024"/>
  </r>
  <r>
    <s v="CUST_457"/>
    <s v="O1166"/>
    <d v="2024-08-31T00:00:00"/>
    <s v="Bangalore"/>
    <s v="Whitefield"/>
    <s v="Biryani House"/>
    <s v="Chinese"/>
    <s v="Chicken Biryani"/>
    <s v="Non-Veg"/>
    <n v="1"/>
    <n v="124"/>
    <n v="124"/>
    <n v="37"/>
    <s v="COD"/>
    <n v="4.4000000000000004"/>
    <x v="9"/>
    <n v="35"/>
    <n v="2024"/>
  </r>
  <r>
    <s v="CUST_457"/>
    <s v="O1167"/>
    <d v="2024-09-23T00:00:00"/>
    <s v="Chennai"/>
    <s v="T Nagar"/>
    <s v="Sandwich Stop"/>
    <s v="Chinese"/>
    <s v="Sandwich"/>
    <s v="Veg"/>
    <n v="5"/>
    <n v="482"/>
    <n v="2410"/>
    <n v="49"/>
    <s v="COD"/>
    <n v="4.9000000000000004"/>
    <x v="3"/>
    <n v="39"/>
    <n v="2024"/>
  </r>
  <r>
    <s v="CUST_457"/>
    <s v="O1168"/>
    <d v="2024-03-06T00:00:00"/>
    <s v="Mumbai"/>
    <s v="Dadar"/>
    <s v="Biryani House"/>
    <s v="Italian"/>
    <s v="Veg Burger"/>
    <s v="Veg"/>
    <n v="1"/>
    <n v="203"/>
    <n v="203"/>
    <n v="55"/>
    <s v="UPI"/>
    <n v="3.3"/>
    <x v="4"/>
    <n v="10"/>
    <n v="2024"/>
  </r>
  <r>
    <s v="CUST_458"/>
    <s v="O1169"/>
    <d v="2024-04-16T00:00:00"/>
    <s v="Bangalore"/>
    <s v="Jayanagar"/>
    <s v="Tandoori Tales"/>
    <s v="South Indian"/>
    <s v="Fried Rice"/>
    <s v="Veg"/>
    <n v="3"/>
    <n v="455"/>
    <n v="1365"/>
    <n v="29"/>
    <s v="UPI"/>
    <n v="3.7"/>
    <x v="2"/>
    <n v="16"/>
    <n v="2024"/>
  </r>
  <r>
    <s v="CUST_458"/>
    <s v="O1170"/>
    <d v="2024-01-07T00:00:00"/>
    <s v="Chennai"/>
    <s v="Velachery"/>
    <s v="Tandoori Tales"/>
    <s v="North Indian"/>
    <s v="Pasta"/>
    <s v="Veg"/>
    <n v="2"/>
    <n v="253"/>
    <n v="506"/>
    <n v="29"/>
    <s v="Card"/>
    <n v="4.0999999999999996"/>
    <x v="6"/>
    <n v="2"/>
    <n v="2024"/>
  </r>
  <r>
    <s v="CUST_458"/>
    <s v="O1171"/>
    <d v="2024-06-26T00:00:00"/>
    <s v="Chennai"/>
    <s v="Velachery"/>
    <s v="Pizza Planet"/>
    <s v="Fast Food"/>
    <s v="Chicken Biryani"/>
    <s v="Non-Veg"/>
    <n v="5"/>
    <n v="356"/>
    <n v="1780"/>
    <n v="45"/>
    <s v="COD"/>
    <n v="4.4000000000000004"/>
    <x v="7"/>
    <n v="26"/>
    <n v="2024"/>
  </r>
  <r>
    <s v="CUST_459"/>
    <s v="O1172"/>
    <d v="2024-08-10T00:00:00"/>
    <s v="Hyderabad"/>
    <s v="Begumpet"/>
    <s v="Burger Hub"/>
    <s v="South Indian"/>
    <s v="Veg Burger"/>
    <s v="Veg"/>
    <n v="2"/>
    <n v="209"/>
    <n v="418"/>
    <n v="53"/>
    <s v="Card"/>
    <n v="3.5"/>
    <x v="9"/>
    <n v="32"/>
    <n v="2024"/>
  </r>
  <r>
    <s v="CUST_459"/>
    <s v="O1173"/>
    <d v="2024-04-14T00:00:00"/>
    <s v="Chennai"/>
    <s v="Anna Nagar"/>
    <s v="Biryani House"/>
    <s v="South Indian"/>
    <s v="Pizza"/>
    <s v="Veg"/>
    <n v="2"/>
    <n v="408"/>
    <n v="816"/>
    <n v="43"/>
    <s v="COD"/>
    <n v="4.9000000000000004"/>
    <x v="2"/>
    <n v="16"/>
    <n v="2024"/>
  </r>
  <r>
    <s v="CUST_460"/>
    <s v="O1174"/>
    <d v="2024-02-01T00:00:00"/>
    <s v="Bangalore"/>
    <s v="Koramangala"/>
    <s v="Café Delight"/>
    <s v="Italian"/>
    <s v="Pasta"/>
    <s v="Veg"/>
    <n v="4"/>
    <n v="375"/>
    <n v="1500"/>
    <n v="22"/>
    <s v="UPI"/>
    <n v="3.5"/>
    <x v="8"/>
    <n v="5"/>
    <n v="2024"/>
  </r>
  <r>
    <s v="CUST_460"/>
    <s v="O1175"/>
    <d v="2024-09-21T00:00:00"/>
    <s v="Bangalore"/>
    <s v="Jayanagar"/>
    <s v="Pizza Planet"/>
    <s v="Fast Food"/>
    <s v="Fried Rice"/>
    <s v="Veg"/>
    <n v="4"/>
    <n v="117"/>
    <n v="468"/>
    <n v="34"/>
    <s v="Card"/>
    <n v="4.3"/>
    <x v="3"/>
    <n v="38"/>
    <n v="2024"/>
  </r>
  <r>
    <s v="CUST_460"/>
    <s v="O1176"/>
    <d v="2024-05-15T00:00:00"/>
    <s v="Hyderabad"/>
    <s v="Madhapur"/>
    <s v="South Spice"/>
    <s v="Fast Food"/>
    <s v="Chicken Biryani"/>
    <s v="Non-Veg"/>
    <n v="3"/>
    <n v="407"/>
    <n v="1221"/>
    <n v="32"/>
    <s v="UPI"/>
    <n v="3.3"/>
    <x v="5"/>
    <n v="20"/>
    <n v="2024"/>
  </r>
  <r>
    <s v="CUST_460"/>
    <s v="O1177"/>
    <d v="2024-09-16T00:00:00"/>
    <s v="Delhi"/>
    <s v="Rohini"/>
    <s v="Tandoori Tales"/>
    <s v="Fast Food"/>
    <s v="Masala Dosa"/>
    <s v="Veg"/>
    <n v="3"/>
    <n v="292"/>
    <n v="876"/>
    <n v="22"/>
    <s v="UPI"/>
    <n v="3.4"/>
    <x v="3"/>
    <n v="38"/>
    <n v="2024"/>
  </r>
  <r>
    <s v="CUST_461"/>
    <s v="O1178"/>
    <d v="2024-04-19T00:00:00"/>
    <s v="Chennai"/>
    <s v="Anna Nagar"/>
    <s v="Sandwich Stop"/>
    <s v="North Indian"/>
    <s v="Chicken Biryani"/>
    <s v="Non-Veg"/>
    <n v="5"/>
    <n v="165"/>
    <n v="825"/>
    <n v="29"/>
    <s v="COD"/>
    <n v="3.5"/>
    <x v="2"/>
    <n v="16"/>
    <n v="2024"/>
  </r>
  <r>
    <s v="CUST_461"/>
    <s v="O1179"/>
    <d v="2024-02-14T00:00:00"/>
    <s v="Chennai"/>
    <s v="T Nagar"/>
    <s v="Urban Meals"/>
    <s v="Indian"/>
    <s v="Momos"/>
    <s v="Veg"/>
    <n v="2"/>
    <n v="268"/>
    <n v="536"/>
    <n v="60"/>
    <s v="COD"/>
    <n v="4.2"/>
    <x v="8"/>
    <n v="7"/>
    <n v="2024"/>
  </r>
  <r>
    <s v="CUST_461"/>
    <s v="O1180"/>
    <d v="2024-04-10T00:00:00"/>
    <s v="Mumbai"/>
    <s v="Goregaon"/>
    <s v="Grill Masters"/>
    <s v="Chinese"/>
    <s v="Sandwich"/>
    <s v="Veg"/>
    <n v="3"/>
    <n v="355"/>
    <n v="1065"/>
    <n v="28"/>
    <s v="UPI"/>
    <n v="4.7"/>
    <x v="2"/>
    <n v="15"/>
    <n v="2024"/>
  </r>
  <r>
    <s v="CUST_461"/>
    <s v="O1181"/>
    <d v="2024-01-23T00:00:00"/>
    <s v="Delhi"/>
    <s v="Dwarka"/>
    <s v="Tandoori Tales"/>
    <s v="North Indian"/>
    <s v="Paneer Tikka"/>
    <s v="Veg"/>
    <n v="5"/>
    <n v="118"/>
    <n v="590"/>
    <n v="43"/>
    <s v="COD"/>
    <n v="4.5"/>
    <x v="6"/>
    <n v="4"/>
    <n v="2024"/>
  </r>
  <r>
    <s v="CUST_462"/>
    <s v="O1182"/>
    <d v="2024-08-08T00:00:00"/>
    <s v="Bangalore"/>
    <s v="Indiranagar"/>
    <s v="South Spice"/>
    <s v="South Indian"/>
    <s v="Masala Dosa"/>
    <s v="Veg"/>
    <n v="2"/>
    <n v="412"/>
    <n v="824"/>
    <n v="32"/>
    <s v="UPI"/>
    <n v="3.1"/>
    <x v="9"/>
    <n v="32"/>
    <n v="2024"/>
  </r>
  <r>
    <s v="CUST_462"/>
    <s v="O1183"/>
    <d v="2024-06-15T00:00:00"/>
    <s v="Hyderabad"/>
    <s v="Begumpet"/>
    <s v="Café Delight"/>
    <s v="South Indian"/>
    <s v="Momos"/>
    <s v="Veg"/>
    <n v="3"/>
    <n v="317"/>
    <n v="951"/>
    <n v="58"/>
    <s v="Card"/>
    <n v="4.9000000000000004"/>
    <x v="7"/>
    <n v="24"/>
    <n v="2024"/>
  </r>
  <r>
    <s v="CUST_462"/>
    <s v="O1184"/>
    <d v="2024-08-02T00:00:00"/>
    <s v="Bangalore"/>
    <s v="Jayanagar"/>
    <s v="Café Delight"/>
    <s v="Chinese"/>
    <s v="Pizza"/>
    <s v="Veg"/>
    <n v="5"/>
    <n v="339"/>
    <n v="1695"/>
    <n v="59"/>
    <s v="UPI"/>
    <n v="4.3"/>
    <x v="9"/>
    <n v="31"/>
    <n v="2024"/>
  </r>
  <r>
    <s v="CUST_463"/>
    <s v="O1185"/>
    <d v="2024-03-30T00:00:00"/>
    <s v="Bangalore"/>
    <s v="BTM Layout"/>
    <s v="Biryani House"/>
    <s v="Chinese"/>
    <s v="Sandwich"/>
    <s v="Veg"/>
    <n v="4"/>
    <n v="480"/>
    <n v="1920"/>
    <n v="44"/>
    <s v="Card"/>
    <n v="3.1"/>
    <x v="4"/>
    <n v="13"/>
    <n v="2024"/>
  </r>
  <r>
    <s v="CUST_463"/>
    <s v="O1186"/>
    <d v="2024-04-08T00:00:00"/>
    <s v="Hyderabad"/>
    <s v="Banjara Hills"/>
    <s v="Café Delight"/>
    <s v="Italian"/>
    <s v="Masala Dosa"/>
    <s v="Veg"/>
    <n v="4"/>
    <n v="410"/>
    <n v="1640"/>
    <n v="59"/>
    <s v="UPI"/>
    <n v="3.3"/>
    <x v="2"/>
    <n v="15"/>
    <n v="2024"/>
  </r>
  <r>
    <s v="CUST_463"/>
    <s v="O1187"/>
    <d v="2024-08-19T00:00:00"/>
    <s v="Delhi"/>
    <s v="Connaught Place"/>
    <s v="Café Delight"/>
    <s v="Fast Food"/>
    <s v="Veg Burger"/>
    <s v="Veg"/>
    <n v="2"/>
    <n v="349"/>
    <n v="698"/>
    <n v="28"/>
    <s v="Card"/>
    <n v="4.8"/>
    <x v="9"/>
    <n v="34"/>
    <n v="2024"/>
  </r>
  <r>
    <s v="CUST_464"/>
    <s v="O1188"/>
    <d v="2024-07-24T00:00:00"/>
    <s v="Hyderabad"/>
    <s v="Secunderabad"/>
    <s v="Grill Masters"/>
    <s v="Indian"/>
    <s v="Chicken Biryani"/>
    <s v="Non-Veg"/>
    <n v="2"/>
    <n v="341"/>
    <n v="682"/>
    <n v="50"/>
    <s v="COD"/>
    <n v="4.2"/>
    <x v="1"/>
    <n v="30"/>
    <n v="2024"/>
  </r>
  <r>
    <s v="CUST_464"/>
    <s v="O1189"/>
    <d v="2024-08-19T00:00:00"/>
    <s v="Mumbai"/>
    <s v="Goregaon"/>
    <s v="Tandoori Tales"/>
    <s v="North Indian"/>
    <s v="Chicken Biryani"/>
    <s v="Non-Veg"/>
    <n v="4"/>
    <n v="468"/>
    <n v="1872"/>
    <n v="33"/>
    <s v="UPI"/>
    <n v="4.5"/>
    <x v="9"/>
    <n v="34"/>
    <n v="2024"/>
  </r>
  <r>
    <s v="CUST_464"/>
    <s v="O1190"/>
    <d v="2024-04-25T00:00:00"/>
    <s v="Hyderabad"/>
    <s v="Madhapur"/>
    <s v="Burger Hub"/>
    <s v="Indian"/>
    <s v="Fried Rice"/>
    <s v="Veg"/>
    <n v="1"/>
    <n v="260"/>
    <n v="260"/>
    <n v="59"/>
    <s v="COD"/>
    <n v="3.3"/>
    <x v="2"/>
    <n v="17"/>
    <n v="2024"/>
  </r>
  <r>
    <s v="CUST_465"/>
    <s v="O1191"/>
    <d v="2024-06-20T00:00:00"/>
    <s v="Mumbai"/>
    <s v="Bandra"/>
    <s v="Chinese Bowl"/>
    <s v="North Indian"/>
    <s v="Fried Rice"/>
    <s v="Veg"/>
    <n v="4"/>
    <n v="374"/>
    <n v="1496"/>
    <n v="47"/>
    <s v="UPI"/>
    <n v="4.3"/>
    <x v="7"/>
    <n v="25"/>
    <n v="2024"/>
  </r>
  <r>
    <s v="CUST_465"/>
    <s v="O1192"/>
    <d v="2024-02-13T00:00:00"/>
    <s v="Mumbai"/>
    <s v="Powai"/>
    <s v="Sandwich Stop"/>
    <s v="Fast Food"/>
    <s v="Chicken Biryani"/>
    <s v="Non-Veg"/>
    <n v="3"/>
    <n v="266"/>
    <n v="798"/>
    <n v="60"/>
    <s v="UPI"/>
    <n v="4.9000000000000004"/>
    <x v="8"/>
    <n v="7"/>
    <n v="2024"/>
  </r>
  <r>
    <s v="CUST_466"/>
    <s v="O1193"/>
    <d v="2024-06-16T00:00:00"/>
    <s v="Delhi"/>
    <s v="Rohini"/>
    <s v="Café Delight"/>
    <s v="South Indian"/>
    <s v="Chicken Roll"/>
    <s v="Non-Veg"/>
    <n v="2"/>
    <n v="368"/>
    <n v="736"/>
    <n v="47"/>
    <s v="Card"/>
    <n v="3.1"/>
    <x v="7"/>
    <n v="25"/>
    <n v="2024"/>
  </r>
  <r>
    <s v="CUST_466"/>
    <s v="O1194"/>
    <d v="2024-10-23T00:00:00"/>
    <s v="Mumbai"/>
    <s v="Bandra"/>
    <s v="Sandwich Stop"/>
    <s v="North Indian"/>
    <s v="Chicken Roll"/>
    <s v="Non-Veg"/>
    <n v="1"/>
    <n v="131"/>
    <n v="131"/>
    <n v="45"/>
    <s v="COD"/>
    <n v="3.3"/>
    <x v="0"/>
    <n v="43"/>
    <n v="2024"/>
  </r>
  <r>
    <s v="CUST_466"/>
    <s v="O1195"/>
    <d v="2024-07-05T00:00:00"/>
    <s v="Mumbai"/>
    <s v="Bandra"/>
    <s v="Burger Hub"/>
    <s v="South Indian"/>
    <s v="Chicken Roll"/>
    <s v="Non-Veg"/>
    <n v="1"/>
    <n v="489"/>
    <n v="489"/>
    <n v="32"/>
    <s v="UPI"/>
    <n v="3"/>
    <x v="1"/>
    <n v="27"/>
    <n v="2024"/>
  </r>
  <r>
    <s v="CUST_466"/>
    <s v="O1196"/>
    <d v="2024-08-12T00:00:00"/>
    <s v="Hyderabad"/>
    <s v="Madhapur"/>
    <s v="Biryani House"/>
    <s v="Fast Food"/>
    <s v="Veg Burger"/>
    <s v="Veg"/>
    <n v="1"/>
    <n v="451"/>
    <n v="451"/>
    <n v="21"/>
    <s v="Card"/>
    <n v="4.5999999999999996"/>
    <x v="9"/>
    <n v="33"/>
    <n v="2024"/>
  </r>
  <r>
    <s v="CUST_467"/>
    <s v="O1197"/>
    <d v="2024-07-18T00:00:00"/>
    <s v="Chennai"/>
    <s v="Velachery"/>
    <s v="Café Delight"/>
    <s v="Fast Food"/>
    <s v="Chicken Biryani"/>
    <s v="Non-Veg"/>
    <n v="3"/>
    <n v="212"/>
    <n v="636"/>
    <n v="32"/>
    <s v="UPI"/>
    <n v="4.2"/>
    <x v="1"/>
    <n v="29"/>
    <n v="2024"/>
  </r>
  <r>
    <s v="CUST_467"/>
    <s v="O1198"/>
    <d v="2024-05-23T00:00:00"/>
    <s v="Delhi"/>
    <s v="Dwarka"/>
    <s v="Sandwich Stop"/>
    <s v="North Indian"/>
    <s v="Masala Dosa"/>
    <s v="Veg"/>
    <n v="2"/>
    <n v="104"/>
    <n v="208"/>
    <n v="29"/>
    <s v="UPI"/>
    <n v="4.3"/>
    <x v="5"/>
    <n v="21"/>
    <n v="2024"/>
  </r>
  <r>
    <s v="CUST_467"/>
    <s v="O1199"/>
    <d v="2024-09-26T00:00:00"/>
    <s v="Delhi"/>
    <s v="Saket"/>
    <s v="Biryani House"/>
    <s v="Indian"/>
    <s v="Veg Burger"/>
    <s v="Veg"/>
    <n v="2"/>
    <n v="421"/>
    <n v="842"/>
    <n v="45"/>
    <s v="COD"/>
    <n v="3.2"/>
    <x v="3"/>
    <n v="39"/>
    <n v="2024"/>
  </r>
  <r>
    <s v="CUST_467"/>
    <s v="O1200"/>
    <d v="2024-03-28T00:00:00"/>
    <s v="Bangalore"/>
    <s v="BTM Layout"/>
    <s v="South Spice"/>
    <s v="Chinese"/>
    <s v="Chicken Biryani"/>
    <s v="Non-Veg"/>
    <n v="2"/>
    <n v="190"/>
    <n v="380"/>
    <n v="55"/>
    <s v="UPI"/>
    <n v="4.8"/>
    <x v="4"/>
    <n v="13"/>
    <n v="2024"/>
  </r>
  <r>
    <s v="CUST_467"/>
    <s v="O1201"/>
    <d v="2024-06-12T00:00:00"/>
    <s v="Bangalore"/>
    <s v="Indiranagar"/>
    <s v="Grill Masters"/>
    <s v="North Indian"/>
    <s v="Paneer Tikka"/>
    <s v="Veg"/>
    <n v="3"/>
    <n v="190"/>
    <n v="570"/>
    <n v="60"/>
    <s v="COD"/>
    <n v="3.8"/>
    <x v="7"/>
    <n v="24"/>
    <n v="2024"/>
  </r>
  <r>
    <s v="CUST_468"/>
    <s v="O1202"/>
    <d v="2024-10-09T00:00:00"/>
    <s v="Mumbai"/>
    <s v="Powai"/>
    <s v="Sandwich Stop"/>
    <s v="Chinese"/>
    <s v="Masala Dosa"/>
    <s v="Veg"/>
    <n v="1"/>
    <n v="150"/>
    <n v="150"/>
    <n v="47"/>
    <s v="Card"/>
    <n v="4.4000000000000004"/>
    <x v="0"/>
    <n v="41"/>
    <n v="2024"/>
  </r>
  <r>
    <s v="CUST_468"/>
    <s v="O1203"/>
    <d v="2024-06-18T00:00:00"/>
    <s v="Mumbai"/>
    <s v="Powai"/>
    <s v="Tandoori Tales"/>
    <s v="Indian"/>
    <s v="Fried Rice"/>
    <s v="Veg"/>
    <n v="2"/>
    <n v="337"/>
    <n v="674"/>
    <n v="32"/>
    <s v="Card"/>
    <n v="4.5"/>
    <x v="7"/>
    <n v="25"/>
    <n v="2024"/>
  </r>
  <r>
    <s v="CUST_469"/>
    <s v="O1204"/>
    <d v="2024-07-11T00:00:00"/>
    <s v="Mumbai"/>
    <s v="Bandra"/>
    <s v="Tandoori Tales"/>
    <s v="Chinese"/>
    <s v="Momos"/>
    <s v="Veg"/>
    <n v="2"/>
    <n v="408"/>
    <n v="816"/>
    <n v="38"/>
    <s v="UPI"/>
    <n v="3.4"/>
    <x v="1"/>
    <n v="28"/>
    <n v="2024"/>
  </r>
  <r>
    <s v="CUST_469"/>
    <s v="O1205"/>
    <d v="2024-04-23T00:00:00"/>
    <s v="Hyderabad"/>
    <s v="Begumpet"/>
    <s v="Urban Meals"/>
    <s v="Fast Food"/>
    <s v="Chicken Roll"/>
    <s v="Non-Veg"/>
    <n v="3"/>
    <n v="412"/>
    <n v="1236"/>
    <n v="38"/>
    <s v="COD"/>
    <n v="4.4000000000000004"/>
    <x v="2"/>
    <n v="17"/>
    <n v="2024"/>
  </r>
  <r>
    <s v="CUST_470"/>
    <s v="O1206"/>
    <d v="2024-05-10T00:00:00"/>
    <s v="Hyderabad"/>
    <s v="Begumpet"/>
    <s v="Urban Meals"/>
    <s v="Chinese"/>
    <s v="Sandwich"/>
    <s v="Veg"/>
    <n v="3"/>
    <n v="117"/>
    <n v="351"/>
    <n v="25"/>
    <s v="Card"/>
    <n v="3.8"/>
    <x v="5"/>
    <n v="19"/>
    <n v="2024"/>
  </r>
  <r>
    <s v="CUST_470"/>
    <s v="O1207"/>
    <d v="2024-09-06T00:00:00"/>
    <s v="Hyderabad"/>
    <s v="Secunderabad"/>
    <s v="Pizza Planet"/>
    <s v="Indian"/>
    <s v="Sandwich"/>
    <s v="Veg"/>
    <n v="4"/>
    <n v="389"/>
    <n v="1556"/>
    <n v="33"/>
    <s v="UPI"/>
    <n v="4.5999999999999996"/>
    <x v="3"/>
    <n v="36"/>
    <n v="2024"/>
  </r>
  <r>
    <s v="CUST_470"/>
    <s v="O1208"/>
    <d v="2024-10-21T00:00:00"/>
    <s v="Bangalore"/>
    <s v="Whitefield"/>
    <s v="Café Delight"/>
    <s v="North Indian"/>
    <s v="Paneer Tikka"/>
    <s v="Veg"/>
    <n v="3"/>
    <n v="395"/>
    <n v="1185"/>
    <n v="21"/>
    <s v="COD"/>
    <n v="3.1"/>
    <x v="0"/>
    <n v="43"/>
    <n v="2024"/>
  </r>
  <r>
    <s v="CUST_470"/>
    <s v="O1209"/>
    <d v="2024-08-22T00:00:00"/>
    <s v="Chennai"/>
    <s v="Velachery"/>
    <s v="Burger Hub"/>
    <s v="Indian"/>
    <s v="Fried Rice"/>
    <s v="Veg"/>
    <n v="2"/>
    <n v="229"/>
    <n v="458"/>
    <n v="35"/>
    <s v="UPI"/>
    <n v="3"/>
    <x v="9"/>
    <n v="34"/>
    <n v="2024"/>
  </r>
  <r>
    <s v="CUST_470"/>
    <s v="O1210"/>
    <d v="2024-07-31T00:00:00"/>
    <s v="Bangalore"/>
    <s v="Koramangala"/>
    <s v="Tandoori Tales"/>
    <s v="Chinese"/>
    <s v="Veg Burger"/>
    <s v="Veg"/>
    <n v="4"/>
    <n v="397"/>
    <n v="1588"/>
    <n v="26"/>
    <s v="UPI"/>
    <n v="4"/>
    <x v="1"/>
    <n v="31"/>
    <n v="2024"/>
  </r>
  <r>
    <s v="CUST_471"/>
    <s v="O1211"/>
    <d v="2024-09-30T00:00:00"/>
    <s v="Hyderabad"/>
    <s v="Begumpet"/>
    <s v="Sandwich Stop"/>
    <s v="Chinese"/>
    <s v="Momos"/>
    <s v="Veg"/>
    <n v="3"/>
    <n v="208"/>
    <n v="624"/>
    <n v="57"/>
    <s v="COD"/>
    <n v="3.6"/>
    <x v="3"/>
    <n v="40"/>
    <n v="2024"/>
  </r>
  <r>
    <s v="CUST_471"/>
    <s v="O1212"/>
    <d v="2024-07-01T00:00:00"/>
    <s v="Chennai"/>
    <s v="Adyar"/>
    <s v="Burger Hub"/>
    <s v="Indian"/>
    <s v="Fried Rice"/>
    <s v="Veg"/>
    <n v="5"/>
    <n v="347"/>
    <n v="1735"/>
    <n v="35"/>
    <s v="Card"/>
    <n v="4.4000000000000004"/>
    <x v="1"/>
    <n v="27"/>
    <n v="2024"/>
  </r>
  <r>
    <s v="CUST_471"/>
    <s v="O1213"/>
    <d v="2024-05-17T00:00:00"/>
    <s v="Delhi"/>
    <s v="Saket"/>
    <s v="Biryani House"/>
    <s v="South Indian"/>
    <s v="Fried Rice"/>
    <s v="Veg"/>
    <n v="4"/>
    <n v="218"/>
    <n v="872"/>
    <n v="41"/>
    <s v="COD"/>
    <n v="4.8"/>
    <x v="5"/>
    <n v="20"/>
    <n v="2024"/>
  </r>
  <r>
    <s v="CUST_472"/>
    <s v="O1214"/>
    <d v="2024-08-19T00:00:00"/>
    <s v="Hyderabad"/>
    <s v="Begumpet"/>
    <s v="Burger Hub"/>
    <s v="Fast Food"/>
    <s v="Masala Dosa"/>
    <s v="Veg"/>
    <n v="5"/>
    <n v="302"/>
    <n v="1510"/>
    <n v="42"/>
    <s v="UPI"/>
    <n v="4"/>
    <x v="9"/>
    <n v="34"/>
    <n v="2024"/>
  </r>
  <r>
    <s v="CUST_472"/>
    <s v="O1215"/>
    <d v="2024-10-22T00:00:00"/>
    <s v="Mumbai"/>
    <s v="Powai"/>
    <s v="Pizza Planet"/>
    <s v="Indian"/>
    <s v="Pasta"/>
    <s v="Veg"/>
    <n v="1"/>
    <n v="194"/>
    <n v="194"/>
    <n v="53"/>
    <s v="Card"/>
    <n v="3.4"/>
    <x v="0"/>
    <n v="43"/>
    <n v="2024"/>
  </r>
  <r>
    <s v="CUST_472"/>
    <s v="O1216"/>
    <d v="2024-09-17T00:00:00"/>
    <s v="Bangalore"/>
    <s v="Jayanagar"/>
    <s v="Burger Hub"/>
    <s v="Indian"/>
    <s v="Momos"/>
    <s v="Veg"/>
    <n v="1"/>
    <n v="199"/>
    <n v="199"/>
    <n v="39"/>
    <s v="COD"/>
    <n v="3.2"/>
    <x v="3"/>
    <n v="38"/>
    <n v="2024"/>
  </r>
  <r>
    <s v="CUST_472"/>
    <s v="O1217"/>
    <d v="2024-06-23T00:00:00"/>
    <s v="Hyderabad"/>
    <s v="Kukatpally"/>
    <s v="Tandoori Tales"/>
    <s v="Fast Food"/>
    <s v="Chicken Roll"/>
    <s v="Non-Veg"/>
    <n v="5"/>
    <n v="156"/>
    <n v="780"/>
    <n v="35"/>
    <s v="COD"/>
    <n v="3.8"/>
    <x v="7"/>
    <n v="26"/>
    <n v="2024"/>
  </r>
  <r>
    <s v="CUST_473"/>
    <s v="O1218"/>
    <d v="2024-09-19T00:00:00"/>
    <s v="Bangalore"/>
    <s v="Koramangala"/>
    <s v="Tandoori Tales"/>
    <s v="North Indian"/>
    <s v="Chicken Biryani"/>
    <s v="Non-Veg"/>
    <n v="4"/>
    <n v="484"/>
    <n v="1936"/>
    <n v="20"/>
    <s v="UPI"/>
    <n v="4.5"/>
    <x v="3"/>
    <n v="38"/>
    <n v="2024"/>
  </r>
  <r>
    <s v="CUST_473"/>
    <s v="O1219"/>
    <d v="2024-01-07T00:00:00"/>
    <s v="Chennai"/>
    <s v="T Nagar"/>
    <s v="Burger Hub"/>
    <s v="Italian"/>
    <s v="Masala Dosa"/>
    <s v="Veg"/>
    <n v="5"/>
    <n v="482"/>
    <n v="2410"/>
    <n v="47"/>
    <s v="UPI"/>
    <n v="4.0999999999999996"/>
    <x v="6"/>
    <n v="2"/>
    <n v="2024"/>
  </r>
  <r>
    <s v="CUST_473"/>
    <s v="O1220"/>
    <d v="2024-09-15T00:00:00"/>
    <s v="Mumbai"/>
    <s v="Bandra"/>
    <s v="Grill Masters"/>
    <s v="Fast Food"/>
    <s v="Masala Dosa"/>
    <s v="Veg"/>
    <n v="5"/>
    <n v="406"/>
    <n v="2030"/>
    <n v="55"/>
    <s v="COD"/>
    <n v="4.7"/>
    <x v="3"/>
    <n v="38"/>
    <n v="2024"/>
  </r>
  <r>
    <s v="CUST_473"/>
    <s v="O1221"/>
    <d v="2024-08-28T00:00:00"/>
    <s v="Hyderabad"/>
    <s v="Secunderabad"/>
    <s v="South Spice"/>
    <s v="Fast Food"/>
    <s v="Momos"/>
    <s v="Veg"/>
    <n v="2"/>
    <n v="137"/>
    <n v="274"/>
    <n v="25"/>
    <s v="Card"/>
    <n v="3.3"/>
    <x v="9"/>
    <n v="35"/>
    <n v="2024"/>
  </r>
  <r>
    <s v="CUST_473"/>
    <s v="O1222"/>
    <d v="2024-04-15T00:00:00"/>
    <s v="Hyderabad"/>
    <s v="Secunderabad"/>
    <s v="Biryani House"/>
    <s v="South Indian"/>
    <s v="Fried Rice"/>
    <s v="Veg"/>
    <n v="2"/>
    <n v="186"/>
    <n v="372"/>
    <n v="23"/>
    <s v="UPI"/>
    <n v="4.4000000000000004"/>
    <x v="2"/>
    <n v="16"/>
    <n v="2024"/>
  </r>
  <r>
    <s v="CUST_474"/>
    <s v="O1223"/>
    <d v="2024-01-27T00:00:00"/>
    <s v="Mumbai"/>
    <s v="Bandra"/>
    <s v="Café Delight"/>
    <s v="South Indian"/>
    <s v="Fried Rice"/>
    <s v="Veg"/>
    <n v="2"/>
    <n v="194"/>
    <n v="388"/>
    <n v="32"/>
    <s v="Card"/>
    <n v="4.2"/>
    <x v="6"/>
    <n v="4"/>
    <n v="2024"/>
  </r>
  <r>
    <s v="CUST_474"/>
    <s v="O1224"/>
    <d v="2024-01-31T00:00:00"/>
    <s v="Hyderabad"/>
    <s v="Begumpet"/>
    <s v="Tandoori Tales"/>
    <s v="Fast Food"/>
    <s v="Chicken Roll"/>
    <s v="Non-Veg"/>
    <n v="4"/>
    <n v="306"/>
    <n v="1224"/>
    <n v="50"/>
    <s v="UPI"/>
    <n v="4.7"/>
    <x v="6"/>
    <n v="5"/>
    <n v="2024"/>
  </r>
  <r>
    <s v="CUST_474"/>
    <s v="O1225"/>
    <d v="2024-06-17T00:00:00"/>
    <s v="Delhi"/>
    <s v="Connaught Place"/>
    <s v="South Spice"/>
    <s v="South Indian"/>
    <s v="Pizza"/>
    <s v="Veg"/>
    <n v="5"/>
    <n v="305"/>
    <n v="1525"/>
    <n v="33"/>
    <s v="UPI"/>
    <n v="4.0999999999999996"/>
    <x v="7"/>
    <n v="25"/>
    <n v="2024"/>
  </r>
  <r>
    <s v="CUST_474"/>
    <s v="O1226"/>
    <d v="2024-01-26T00:00:00"/>
    <s v="Chennai"/>
    <s v="Velachery"/>
    <s v="Grill Masters"/>
    <s v="Chinese"/>
    <s v="Sandwich"/>
    <s v="Veg"/>
    <n v="2"/>
    <n v="119"/>
    <n v="238"/>
    <n v="33"/>
    <s v="UPI"/>
    <n v="4.0999999999999996"/>
    <x v="6"/>
    <n v="4"/>
    <n v="2024"/>
  </r>
  <r>
    <s v="CUST_475"/>
    <s v="O1227"/>
    <d v="2024-01-04T00:00:00"/>
    <s v="Hyderabad"/>
    <s v="Banjara Hills"/>
    <s v="Urban Meals"/>
    <s v="Chinese"/>
    <s v="Momos"/>
    <s v="Veg"/>
    <n v="3"/>
    <n v="360"/>
    <n v="1080"/>
    <n v="53"/>
    <s v="UPI"/>
    <n v="4.5"/>
    <x v="6"/>
    <n v="1"/>
    <n v="2024"/>
  </r>
  <r>
    <s v="CUST_475"/>
    <s v="O1228"/>
    <d v="2024-04-04T00:00:00"/>
    <s v="Bangalore"/>
    <s v="Whitefield"/>
    <s v="Tandoori Tales"/>
    <s v="Chinese"/>
    <s v="Pizza"/>
    <s v="Veg"/>
    <n v="4"/>
    <n v="188"/>
    <n v="752"/>
    <n v="50"/>
    <s v="COD"/>
    <n v="3.6"/>
    <x v="2"/>
    <n v="14"/>
    <n v="2024"/>
  </r>
  <r>
    <s v="CUST_476"/>
    <s v="O1229"/>
    <d v="2024-09-29T00:00:00"/>
    <s v="Delhi"/>
    <s v="Karol Bagh"/>
    <s v="Urban Meals"/>
    <s v="Italian"/>
    <s v="Pasta"/>
    <s v="Veg"/>
    <n v="3"/>
    <n v="256"/>
    <n v="768"/>
    <n v="23"/>
    <s v="Card"/>
    <n v="5"/>
    <x v="3"/>
    <n v="40"/>
    <n v="2024"/>
  </r>
  <r>
    <s v="CUST_476"/>
    <s v="O1230"/>
    <d v="2024-04-03T00:00:00"/>
    <s v="Mumbai"/>
    <s v="Goregaon"/>
    <s v="Grill Masters"/>
    <s v="North Indian"/>
    <s v="Paneer Tikka"/>
    <s v="Veg"/>
    <n v="5"/>
    <n v="442"/>
    <n v="2210"/>
    <n v="43"/>
    <s v="UPI"/>
    <n v="3.7"/>
    <x v="2"/>
    <n v="14"/>
    <n v="2024"/>
  </r>
  <r>
    <s v="CUST_477"/>
    <s v="O1231"/>
    <d v="2024-07-19T00:00:00"/>
    <s v="Mumbai"/>
    <s v="Powai"/>
    <s v="Burger Hub"/>
    <s v="Indian"/>
    <s v="Fried Rice"/>
    <s v="Veg"/>
    <n v="1"/>
    <n v="355"/>
    <n v="355"/>
    <n v="43"/>
    <s v="UPI"/>
    <n v="3.4"/>
    <x v="1"/>
    <n v="29"/>
    <n v="2024"/>
  </r>
  <r>
    <s v="CUST_477"/>
    <s v="O1232"/>
    <d v="2024-07-18T00:00:00"/>
    <s v="Hyderabad"/>
    <s v="Madhapur"/>
    <s v="Chinese Bowl"/>
    <s v="Indian"/>
    <s v="Sandwich"/>
    <s v="Veg"/>
    <n v="4"/>
    <n v="279"/>
    <n v="1116"/>
    <n v="22"/>
    <s v="UPI"/>
    <n v="3"/>
    <x v="1"/>
    <n v="29"/>
    <n v="2024"/>
  </r>
  <r>
    <s v="CUST_477"/>
    <s v="O1233"/>
    <d v="2024-01-15T00:00:00"/>
    <s v="Bangalore"/>
    <s v="Whitefield"/>
    <s v="Café Delight"/>
    <s v="Fast Food"/>
    <s v="Fried Rice"/>
    <s v="Veg"/>
    <n v="2"/>
    <n v="173"/>
    <n v="346"/>
    <n v="21"/>
    <s v="COD"/>
    <n v="3.9"/>
    <x v="6"/>
    <n v="3"/>
    <n v="2024"/>
  </r>
  <r>
    <s v="CUST_478"/>
    <s v="O1234"/>
    <d v="2024-03-19T00:00:00"/>
    <s v="Mumbai"/>
    <s v="Dadar"/>
    <s v="Urban Meals"/>
    <s v="Indian"/>
    <s v="Paneer Tikka"/>
    <s v="Veg"/>
    <n v="4"/>
    <n v="159"/>
    <n v="636"/>
    <n v="31"/>
    <s v="Card"/>
    <n v="3.1"/>
    <x v="4"/>
    <n v="12"/>
    <n v="2024"/>
  </r>
  <r>
    <s v="CUST_478"/>
    <s v="O1235"/>
    <d v="2024-05-14T00:00:00"/>
    <s v="Bangalore"/>
    <s v="Jayanagar"/>
    <s v="Sandwich Stop"/>
    <s v="Indian"/>
    <s v="Pizza"/>
    <s v="Veg"/>
    <n v="2"/>
    <n v="316"/>
    <n v="632"/>
    <n v="43"/>
    <s v="COD"/>
    <n v="5"/>
    <x v="5"/>
    <n v="20"/>
    <n v="2024"/>
  </r>
  <r>
    <s v="CUST_479"/>
    <s v="O1236"/>
    <d v="2024-08-07T00:00:00"/>
    <s v="Delhi"/>
    <s v="Karol Bagh"/>
    <s v="Grill Masters"/>
    <s v="North Indian"/>
    <s v="Paneer Tikka"/>
    <s v="Veg"/>
    <n v="3"/>
    <n v="270"/>
    <n v="810"/>
    <n v="42"/>
    <s v="COD"/>
    <n v="4.4000000000000004"/>
    <x v="9"/>
    <n v="32"/>
    <n v="2024"/>
  </r>
  <r>
    <s v="CUST_479"/>
    <s v="O1237"/>
    <d v="2024-01-04T00:00:00"/>
    <s v="Mumbai"/>
    <s v="Bandra"/>
    <s v="Biryani House"/>
    <s v="South Indian"/>
    <s v="Masala Dosa"/>
    <s v="Veg"/>
    <n v="4"/>
    <n v="434"/>
    <n v="1736"/>
    <n v="36"/>
    <s v="COD"/>
    <n v="4"/>
    <x v="6"/>
    <n v="1"/>
    <n v="2024"/>
  </r>
  <r>
    <s v="CUST_479"/>
    <s v="O1238"/>
    <d v="2024-10-25T00:00:00"/>
    <s v="Delhi"/>
    <s v="Rohini"/>
    <s v="Grill Masters"/>
    <s v="North Indian"/>
    <s v="Paneer Tikka"/>
    <s v="Veg"/>
    <n v="3"/>
    <n v="104"/>
    <n v="312"/>
    <n v="42"/>
    <s v="UPI"/>
    <n v="3.5"/>
    <x v="0"/>
    <n v="43"/>
    <n v="2024"/>
  </r>
  <r>
    <s v="CUST_480"/>
    <s v="O1239"/>
    <d v="2024-09-21T00:00:00"/>
    <s v="Mumbai"/>
    <s v="Andheri"/>
    <s v="Biryani House"/>
    <s v="Chinese"/>
    <s v="Veg Burger"/>
    <s v="Veg"/>
    <n v="3"/>
    <n v="187"/>
    <n v="561"/>
    <n v="25"/>
    <s v="COD"/>
    <n v="3.1"/>
    <x v="3"/>
    <n v="38"/>
    <n v="2024"/>
  </r>
  <r>
    <s v="CUST_480"/>
    <s v="O1240"/>
    <d v="2024-08-13T00:00:00"/>
    <s v="Mumbai"/>
    <s v="Andheri"/>
    <s v="Chinese Bowl"/>
    <s v="South Indian"/>
    <s v="Pasta"/>
    <s v="Veg"/>
    <n v="2"/>
    <n v="254"/>
    <n v="508"/>
    <n v="36"/>
    <s v="UPI"/>
    <n v="3.9"/>
    <x v="9"/>
    <n v="33"/>
    <n v="2024"/>
  </r>
  <r>
    <s v="CUST_480"/>
    <s v="O1241"/>
    <d v="2024-07-17T00:00:00"/>
    <s v="Delhi"/>
    <s v="Karol Bagh"/>
    <s v="South Spice"/>
    <s v="Italian"/>
    <s v="Pasta"/>
    <s v="Veg"/>
    <n v="3"/>
    <n v="165"/>
    <n v="495"/>
    <n v="37"/>
    <s v="Card"/>
    <n v="3.9"/>
    <x v="1"/>
    <n v="29"/>
    <n v="2024"/>
  </r>
  <r>
    <s v="CUST_480"/>
    <s v="O1242"/>
    <d v="2024-06-21T00:00:00"/>
    <s v="Mumbai"/>
    <s v="Powai"/>
    <s v="Chinese Bowl"/>
    <s v="North Indian"/>
    <s v="Chicken Biryani"/>
    <s v="Non-Veg"/>
    <n v="3"/>
    <n v="177"/>
    <n v="531"/>
    <n v="27"/>
    <s v="COD"/>
    <n v="3.1"/>
    <x v="7"/>
    <n v="25"/>
    <n v="2024"/>
  </r>
  <r>
    <s v="CUST_480"/>
    <s v="O1243"/>
    <d v="2024-03-02T00:00:00"/>
    <s v="Chennai"/>
    <s v="T Nagar"/>
    <s v="Grill Masters"/>
    <s v="Fast Food"/>
    <s v="Chicken Biryani"/>
    <s v="Non-Veg"/>
    <n v="3"/>
    <n v="357"/>
    <n v="1071"/>
    <n v="36"/>
    <s v="COD"/>
    <n v="3.4"/>
    <x v="4"/>
    <n v="9"/>
    <n v="2024"/>
  </r>
  <r>
    <s v="CUST_481"/>
    <s v="O1244"/>
    <d v="2024-05-29T00:00:00"/>
    <s v="Chennai"/>
    <s v="Adyar"/>
    <s v="Chinese Bowl"/>
    <s v="Italian"/>
    <s v="Chicken Roll"/>
    <s v="Non-Veg"/>
    <n v="4"/>
    <n v="372"/>
    <n v="1488"/>
    <n v="45"/>
    <s v="Card"/>
    <n v="3.2"/>
    <x v="5"/>
    <n v="22"/>
    <n v="2024"/>
  </r>
  <r>
    <s v="CUST_481"/>
    <s v="O1245"/>
    <d v="2024-09-18T00:00:00"/>
    <s v="Chennai"/>
    <s v="Adyar"/>
    <s v="Sandwich Stop"/>
    <s v="Indian"/>
    <s v="Sandwich"/>
    <s v="Veg"/>
    <n v="4"/>
    <n v="364"/>
    <n v="1456"/>
    <n v="36"/>
    <s v="Card"/>
    <n v="3.8"/>
    <x v="3"/>
    <n v="38"/>
    <n v="2024"/>
  </r>
  <r>
    <s v="CUST_481"/>
    <s v="O1246"/>
    <d v="2024-04-10T00:00:00"/>
    <s v="Hyderabad"/>
    <s v="Madhapur"/>
    <s v="Burger Hub"/>
    <s v="Fast Food"/>
    <s v="Chicken Biryani"/>
    <s v="Non-Veg"/>
    <n v="2"/>
    <n v="380"/>
    <n v="760"/>
    <n v="44"/>
    <s v="Card"/>
    <n v="4.5"/>
    <x v="2"/>
    <n v="15"/>
    <n v="2024"/>
  </r>
  <r>
    <s v="CUST_482"/>
    <s v="O1247"/>
    <d v="2024-09-02T00:00:00"/>
    <s v="Chennai"/>
    <s v="Adyar"/>
    <s v="South Spice"/>
    <s v="Italian"/>
    <s v="Chicken Roll"/>
    <s v="Non-Veg"/>
    <n v="2"/>
    <n v="316"/>
    <n v="632"/>
    <n v="41"/>
    <s v="COD"/>
    <n v="4.0999999999999996"/>
    <x v="3"/>
    <n v="36"/>
    <n v="2024"/>
  </r>
  <r>
    <s v="CUST_482"/>
    <s v="O1248"/>
    <d v="2024-03-12T00:00:00"/>
    <s v="Chennai"/>
    <s v="Velachery"/>
    <s v="Café Delight"/>
    <s v="Indian"/>
    <s v="Fried Rice"/>
    <s v="Veg"/>
    <n v="3"/>
    <n v="344"/>
    <n v="1032"/>
    <n v="36"/>
    <s v="UPI"/>
    <n v="4.7"/>
    <x v="4"/>
    <n v="11"/>
    <n v="2024"/>
  </r>
  <r>
    <s v="CUST_483"/>
    <s v="O1249"/>
    <d v="2024-09-01T00:00:00"/>
    <s v="Delhi"/>
    <s v="Rohini"/>
    <s v="South Spice"/>
    <s v="Fast Food"/>
    <s v="Sandwich"/>
    <s v="Veg"/>
    <n v="3"/>
    <n v="244"/>
    <n v="732"/>
    <n v="20"/>
    <s v="UPI"/>
    <n v="3.3"/>
    <x v="3"/>
    <n v="36"/>
    <n v="2024"/>
  </r>
  <r>
    <s v="CUST_483"/>
    <s v="O1250"/>
    <d v="2024-07-17T00:00:00"/>
    <s v="Chennai"/>
    <s v="Adyar"/>
    <s v="Sandwich Stop"/>
    <s v="Italian"/>
    <s v="Momos"/>
    <s v="Veg"/>
    <n v="4"/>
    <n v="336"/>
    <n v="1344"/>
    <n v="28"/>
    <s v="COD"/>
    <n v="4.4000000000000004"/>
    <x v="1"/>
    <n v="29"/>
    <n v="2024"/>
  </r>
  <r>
    <s v="CUST_483"/>
    <s v="O1251"/>
    <d v="2024-07-29T00:00:00"/>
    <s v="Hyderabad"/>
    <s v="Kukatpally"/>
    <s v="Pizza Planet"/>
    <s v="South Indian"/>
    <s v="Chicken Roll"/>
    <s v="Non-Veg"/>
    <n v="3"/>
    <n v="259"/>
    <n v="777"/>
    <n v="50"/>
    <s v="UPI"/>
    <n v="4.2"/>
    <x v="1"/>
    <n v="31"/>
    <n v="2024"/>
  </r>
  <r>
    <s v="CUST_483"/>
    <s v="O1252"/>
    <d v="2024-06-23T00:00:00"/>
    <s v="Chennai"/>
    <s v="T Nagar"/>
    <s v="South Spice"/>
    <s v="Indian"/>
    <s v="Fried Rice"/>
    <s v="Veg"/>
    <n v="3"/>
    <n v="113"/>
    <n v="339"/>
    <n v="48"/>
    <s v="COD"/>
    <n v="4.7"/>
    <x v="7"/>
    <n v="26"/>
    <n v="2024"/>
  </r>
  <r>
    <s v="CUST_484"/>
    <s v="O1253"/>
    <d v="2024-08-15T00:00:00"/>
    <s v="Hyderabad"/>
    <s v="Banjara Hills"/>
    <s v="Pizza Planet"/>
    <s v="Chinese"/>
    <s v="Paneer Tikka"/>
    <s v="Veg"/>
    <n v="1"/>
    <n v="471"/>
    <n v="471"/>
    <n v="27"/>
    <s v="UPI"/>
    <n v="4.0999999999999996"/>
    <x v="9"/>
    <n v="33"/>
    <n v="2024"/>
  </r>
  <r>
    <s v="CUST_484"/>
    <s v="O1254"/>
    <d v="2024-09-14T00:00:00"/>
    <s v="Hyderabad"/>
    <s v="Begumpet"/>
    <s v="Pizza Planet"/>
    <s v="Indian"/>
    <s v="Masala Dosa"/>
    <s v="Veg"/>
    <n v="1"/>
    <n v="272"/>
    <n v="272"/>
    <n v="32"/>
    <s v="UPI"/>
    <n v="4.0999999999999996"/>
    <x v="3"/>
    <n v="37"/>
    <n v="2024"/>
  </r>
  <r>
    <s v="CUST_484"/>
    <s v="O1255"/>
    <d v="2024-05-26T00:00:00"/>
    <s v="Bangalore"/>
    <s v="Jayanagar"/>
    <s v="Chinese Bowl"/>
    <s v="Chinese"/>
    <s v="Sandwich"/>
    <s v="Veg"/>
    <n v="4"/>
    <n v="295"/>
    <n v="1180"/>
    <n v="56"/>
    <s v="COD"/>
    <n v="4.5"/>
    <x v="5"/>
    <n v="22"/>
    <n v="2024"/>
  </r>
  <r>
    <s v="CUST_484"/>
    <s v="O1256"/>
    <d v="2024-02-21T00:00:00"/>
    <s v="Mumbai"/>
    <s v="Powai"/>
    <s v="Tandoori Tales"/>
    <s v="Italian"/>
    <s v="Fried Rice"/>
    <s v="Veg"/>
    <n v="1"/>
    <n v="141"/>
    <n v="141"/>
    <n v="31"/>
    <s v="Card"/>
    <n v="3.6"/>
    <x v="8"/>
    <n v="8"/>
    <n v="2024"/>
  </r>
  <r>
    <s v="CUST_484"/>
    <s v="O1257"/>
    <d v="2024-04-06T00:00:00"/>
    <s v="Delhi"/>
    <s v="Connaught Place"/>
    <s v="Pizza Planet"/>
    <s v="South Indian"/>
    <s v="Paneer Tikka"/>
    <s v="Veg"/>
    <n v="3"/>
    <n v="171"/>
    <n v="513"/>
    <n v="37"/>
    <s v="Card"/>
    <n v="5"/>
    <x v="2"/>
    <n v="14"/>
    <n v="2024"/>
  </r>
  <r>
    <s v="CUST_485"/>
    <s v="O1258"/>
    <d v="2024-07-03T00:00:00"/>
    <s v="Chennai"/>
    <s v="Adyar"/>
    <s v="Café Delight"/>
    <s v="Italian"/>
    <s v="Chicken Biryani"/>
    <s v="Non-Veg"/>
    <n v="5"/>
    <n v="449"/>
    <n v="2245"/>
    <n v="51"/>
    <s v="Card"/>
    <n v="3.7"/>
    <x v="1"/>
    <n v="27"/>
    <n v="2024"/>
  </r>
  <r>
    <s v="CUST_485"/>
    <s v="O1259"/>
    <d v="2024-09-16T00:00:00"/>
    <s v="Hyderabad"/>
    <s v="Kukatpally"/>
    <s v="Tandoori Tales"/>
    <s v="Fast Food"/>
    <s v="Pasta"/>
    <s v="Veg"/>
    <n v="5"/>
    <n v="446"/>
    <n v="2230"/>
    <n v="45"/>
    <s v="UPI"/>
    <n v="3.4"/>
    <x v="3"/>
    <n v="38"/>
    <n v="2024"/>
  </r>
  <r>
    <s v="CUST_485"/>
    <s v="O1260"/>
    <d v="2024-09-14T00:00:00"/>
    <s v="Bangalore"/>
    <s v="Koramangala"/>
    <s v="Urban Meals"/>
    <s v="Chinese"/>
    <s v="Sandwich"/>
    <s v="Veg"/>
    <n v="3"/>
    <n v="320"/>
    <n v="960"/>
    <n v="39"/>
    <s v="COD"/>
    <n v="3"/>
    <x v="3"/>
    <n v="37"/>
    <n v="2024"/>
  </r>
  <r>
    <s v="CUST_485"/>
    <s v="O1261"/>
    <d v="2024-03-25T00:00:00"/>
    <s v="Hyderabad"/>
    <s v="Begumpet"/>
    <s v="Sandwich Stop"/>
    <s v="South Indian"/>
    <s v="Masala Dosa"/>
    <s v="Veg"/>
    <n v="2"/>
    <n v="428"/>
    <n v="856"/>
    <n v="41"/>
    <s v="UPI"/>
    <n v="3.9"/>
    <x v="4"/>
    <n v="13"/>
    <n v="2024"/>
  </r>
  <r>
    <s v="CUST_486"/>
    <s v="O1262"/>
    <d v="2024-04-12T00:00:00"/>
    <s v="Chennai"/>
    <s v="Tambaram"/>
    <s v="Sandwich Stop"/>
    <s v="North Indian"/>
    <s v="Chicken Roll"/>
    <s v="Non-Veg"/>
    <n v="2"/>
    <n v="343"/>
    <n v="686"/>
    <n v="56"/>
    <s v="COD"/>
    <n v="3.1"/>
    <x v="2"/>
    <n v="15"/>
    <n v="2024"/>
  </r>
  <r>
    <s v="CUST_486"/>
    <s v="O1263"/>
    <d v="2024-03-30T00:00:00"/>
    <s v="Bangalore"/>
    <s v="BTM Layout"/>
    <s v="Pizza Planet"/>
    <s v="Fast Food"/>
    <s v="Chicken Biryani"/>
    <s v="Non-Veg"/>
    <n v="5"/>
    <n v="144"/>
    <n v="720"/>
    <n v="35"/>
    <s v="UPI"/>
    <n v="5"/>
    <x v="4"/>
    <n v="13"/>
    <n v="2024"/>
  </r>
  <r>
    <s v="CUST_487"/>
    <s v="O1264"/>
    <d v="2024-02-15T00:00:00"/>
    <s v="Delhi"/>
    <s v="Saket"/>
    <s v="Urban Meals"/>
    <s v="Fast Food"/>
    <s v="Chicken Roll"/>
    <s v="Non-Veg"/>
    <n v="1"/>
    <n v="476"/>
    <n v="476"/>
    <n v="22"/>
    <s v="COD"/>
    <n v="4.4000000000000004"/>
    <x v="8"/>
    <n v="7"/>
    <n v="2024"/>
  </r>
  <r>
    <s v="CUST_487"/>
    <s v="O1265"/>
    <d v="2024-04-22T00:00:00"/>
    <s v="Hyderabad"/>
    <s v="Madhapur"/>
    <s v="Urban Meals"/>
    <s v="Italian"/>
    <s v="Paneer Tikka"/>
    <s v="Veg"/>
    <n v="1"/>
    <n v="421"/>
    <n v="421"/>
    <n v="20"/>
    <s v="COD"/>
    <n v="4"/>
    <x v="2"/>
    <n v="17"/>
    <n v="2024"/>
  </r>
  <r>
    <s v="CUST_488"/>
    <s v="O1266"/>
    <d v="2024-04-22T00:00:00"/>
    <s v="Hyderabad"/>
    <s v="Begumpet"/>
    <s v="Café Delight"/>
    <s v="North Indian"/>
    <s v="Pizza"/>
    <s v="Veg"/>
    <n v="5"/>
    <n v="305"/>
    <n v="1525"/>
    <n v="20"/>
    <s v="UPI"/>
    <n v="3.5"/>
    <x v="2"/>
    <n v="17"/>
    <n v="2024"/>
  </r>
  <r>
    <s v="CUST_488"/>
    <s v="O1267"/>
    <d v="2024-10-22T00:00:00"/>
    <s v="Hyderabad"/>
    <s v="Begumpet"/>
    <s v="Grill Masters"/>
    <s v="Chinese"/>
    <s v="Sandwich"/>
    <s v="Veg"/>
    <n v="1"/>
    <n v="297"/>
    <n v="297"/>
    <n v="44"/>
    <s v="COD"/>
    <n v="3.1"/>
    <x v="0"/>
    <n v="43"/>
    <n v="2024"/>
  </r>
  <r>
    <s v="CUST_488"/>
    <s v="O1268"/>
    <d v="2024-09-01T00:00:00"/>
    <s v="Bangalore"/>
    <s v="Indiranagar"/>
    <s v="Sandwich Stop"/>
    <s v="Fast Food"/>
    <s v="Fried Rice"/>
    <s v="Veg"/>
    <n v="3"/>
    <n v="382"/>
    <n v="1146"/>
    <n v="43"/>
    <s v="UPI"/>
    <n v="3.9"/>
    <x v="3"/>
    <n v="36"/>
    <n v="2024"/>
  </r>
  <r>
    <s v="CUST_488"/>
    <s v="O1269"/>
    <d v="2024-08-05T00:00:00"/>
    <s v="Chennai"/>
    <s v="Tambaram"/>
    <s v="Biryani House"/>
    <s v="Fast Food"/>
    <s v="Momos"/>
    <s v="Veg"/>
    <n v="2"/>
    <n v="145"/>
    <n v="290"/>
    <n v="24"/>
    <s v="COD"/>
    <n v="3.9"/>
    <x v="9"/>
    <n v="32"/>
    <n v="2024"/>
  </r>
  <r>
    <s v="CUST_488"/>
    <s v="O1270"/>
    <d v="2024-09-25T00:00:00"/>
    <s v="Bangalore"/>
    <s v="Jayanagar"/>
    <s v="Tandoori Tales"/>
    <s v="South Indian"/>
    <s v="Pasta"/>
    <s v="Veg"/>
    <n v="4"/>
    <n v="449"/>
    <n v="1796"/>
    <n v="36"/>
    <s v="COD"/>
    <n v="4.5"/>
    <x v="3"/>
    <n v="39"/>
    <n v="2024"/>
  </r>
  <r>
    <s v="CUST_489"/>
    <s v="O1271"/>
    <d v="2024-03-22T00:00:00"/>
    <s v="Hyderabad"/>
    <s v="Begumpet"/>
    <s v="Tandoori Tales"/>
    <s v="Fast Food"/>
    <s v="Paneer Tikka"/>
    <s v="Veg"/>
    <n v="5"/>
    <n v="491"/>
    <n v="2455"/>
    <n v="27"/>
    <s v="UPI"/>
    <n v="3.4"/>
    <x v="4"/>
    <n v="12"/>
    <n v="2024"/>
  </r>
  <r>
    <s v="CUST_489"/>
    <s v="O1272"/>
    <d v="2024-09-16T00:00:00"/>
    <s v="Bangalore"/>
    <s v="BTM Layout"/>
    <s v="Pizza Planet"/>
    <s v="North Indian"/>
    <s v="Sandwich"/>
    <s v="Veg"/>
    <n v="2"/>
    <n v="233"/>
    <n v="466"/>
    <n v="55"/>
    <s v="COD"/>
    <n v="3.2"/>
    <x v="3"/>
    <n v="38"/>
    <n v="2024"/>
  </r>
  <r>
    <s v="CUST_490"/>
    <s v="O1273"/>
    <d v="2024-05-21T00:00:00"/>
    <s v="Mumbai"/>
    <s v="Dadar"/>
    <s v="South Spice"/>
    <s v="Italian"/>
    <s v="Fried Rice"/>
    <s v="Veg"/>
    <n v="4"/>
    <n v="170"/>
    <n v="680"/>
    <n v="52"/>
    <s v="Card"/>
    <n v="3.8"/>
    <x v="5"/>
    <n v="21"/>
    <n v="2024"/>
  </r>
  <r>
    <s v="CUST_490"/>
    <s v="O1274"/>
    <d v="2024-03-14T00:00:00"/>
    <s v="Mumbai"/>
    <s v="Andheri"/>
    <s v="Chinese Bowl"/>
    <s v="Indian"/>
    <s v="Momos"/>
    <s v="Veg"/>
    <n v="3"/>
    <n v="136"/>
    <n v="408"/>
    <n v="52"/>
    <s v="COD"/>
    <n v="4.5"/>
    <x v="4"/>
    <n v="11"/>
    <n v="2024"/>
  </r>
  <r>
    <s v="CUST_490"/>
    <s v="O1275"/>
    <d v="2024-09-14T00:00:00"/>
    <s v="Hyderabad"/>
    <s v="Madhapur"/>
    <s v="Sandwich Stop"/>
    <s v="Fast Food"/>
    <s v="Veg Burger"/>
    <s v="Veg"/>
    <n v="2"/>
    <n v="198"/>
    <n v="396"/>
    <n v="38"/>
    <s v="UPI"/>
    <n v="4.0999999999999996"/>
    <x v="3"/>
    <n v="37"/>
    <n v="2024"/>
  </r>
  <r>
    <s v="CUST_491"/>
    <s v="O1276"/>
    <d v="2024-07-03T00:00:00"/>
    <s v="Mumbai"/>
    <s v="Goregaon"/>
    <s v="Urban Meals"/>
    <s v="Indian"/>
    <s v="Pasta"/>
    <s v="Veg"/>
    <n v="5"/>
    <n v="328"/>
    <n v="1640"/>
    <n v="20"/>
    <s v="COD"/>
    <n v="4.7"/>
    <x v="1"/>
    <n v="27"/>
    <n v="2024"/>
  </r>
  <r>
    <s v="CUST_491"/>
    <s v="O1277"/>
    <d v="2024-10-21T00:00:00"/>
    <s v="Hyderabad"/>
    <s v="Kukatpally"/>
    <s v="Burger Hub"/>
    <s v="South Indian"/>
    <s v="Paneer Tikka"/>
    <s v="Veg"/>
    <n v="2"/>
    <n v="159"/>
    <n v="318"/>
    <n v="53"/>
    <s v="Card"/>
    <n v="3.3"/>
    <x v="0"/>
    <n v="43"/>
    <n v="2024"/>
  </r>
  <r>
    <s v="CUST_491"/>
    <s v="O1278"/>
    <d v="2024-09-29T00:00:00"/>
    <s v="Hyderabad"/>
    <s v="Madhapur"/>
    <s v="Sandwich Stop"/>
    <s v="Fast Food"/>
    <s v="Chicken Roll"/>
    <s v="Non-Veg"/>
    <n v="3"/>
    <n v="237"/>
    <n v="711"/>
    <n v="34"/>
    <s v="COD"/>
    <n v="4.4000000000000004"/>
    <x v="3"/>
    <n v="40"/>
    <n v="2024"/>
  </r>
  <r>
    <s v="CUST_491"/>
    <s v="O1279"/>
    <d v="2024-08-17T00:00:00"/>
    <s v="Mumbai"/>
    <s v="Powai"/>
    <s v="Urban Meals"/>
    <s v="Indian"/>
    <s v="Veg Burger"/>
    <s v="Veg"/>
    <n v="5"/>
    <n v="399"/>
    <n v="1995"/>
    <n v="43"/>
    <s v="Card"/>
    <n v="4.2"/>
    <x v="9"/>
    <n v="33"/>
    <n v="2024"/>
  </r>
  <r>
    <s v="CUST_492"/>
    <s v="O1280"/>
    <d v="2024-09-11T00:00:00"/>
    <s v="Bangalore"/>
    <s v="Koramangala"/>
    <s v="South Spice"/>
    <s v="North Indian"/>
    <s v="Paneer Tikka"/>
    <s v="Veg"/>
    <n v="5"/>
    <n v="213"/>
    <n v="1065"/>
    <n v="20"/>
    <s v="COD"/>
    <n v="4.7"/>
    <x v="3"/>
    <n v="37"/>
    <n v="2024"/>
  </r>
  <r>
    <s v="CUST_492"/>
    <s v="O1281"/>
    <d v="2024-08-09T00:00:00"/>
    <s v="Mumbai"/>
    <s v="Andheri"/>
    <s v="South Spice"/>
    <s v="Fast Food"/>
    <s v="Veg Burger"/>
    <s v="Veg"/>
    <n v="4"/>
    <n v="137"/>
    <n v="548"/>
    <n v="52"/>
    <s v="Card"/>
    <n v="4.0999999999999996"/>
    <x v="9"/>
    <n v="32"/>
    <n v="2024"/>
  </r>
  <r>
    <s v="CUST_492"/>
    <s v="O1282"/>
    <d v="2024-08-07T00:00:00"/>
    <s v="Delhi"/>
    <s v="Connaught Place"/>
    <s v="Café Delight"/>
    <s v="South Indian"/>
    <s v="Veg Burger"/>
    <s v="Veg"/>
    <n v="3"/>
    <n v="396"/>
    <n v="1188"/>
    <n v="60"/>
    <s v="Card"/>
    <n v="4.0999999999999996"/>
    <x v="9"/>
    <n v="32"/>
    <n v="2024"/>
  </r>
  <r>
    <s v="CUST_493"/>
    <s v="O1283"/>
    <d v="2024-05-05T00:00:00"/>
    <s v="Bangalore"/>
    <s v="Whitefield"/>
    <s v="Grill Masters"/>
    <s v="South Indian"/>
    <s v="Masala Dosa"/>
    <s v="Veg"/>
    <n v="3"/>
    <n v="125"/>
    <n v="375"/>
    <n v="46"/>
    <s v="UPI"/>
    <n v="4.5"/>
    <x v="5"/>
    <n v="19"/>
    <n v="2024"/>
  </r>
  <r>
    <s v="CUST_493"/>
    <s v="O1284"/>
    <d v="2024-06-27T00:00:00"/>
    <s v="Bangalore"/>
    <s v="Jayanagar"/>
    <s v="Grill Masters"/>
    <s v="Italian"/>
    <s v="Fried Rice"/>
    <s v="Veg"/>
    <n v="4"/>
    <n v="460"/>
    <n v="1840"/>
    <n v="58"/>
    <s v="Card"/>
    <n v="3.6"/>
    <x v="7"/>
    <n v="26"/>
    <n v="2024"/>
  </r>
  <r>
    <s v="CUST_494"/>
    <s v="O1285"/>
    <d v="2024-04-19T00:00:00"/>
    <s v="Bangalore"/>
    <s v="Whitefield"/>
    <s v="Tandoori Tales"/>
    <s v="Chinese"/>
    <s v="Veg Burger"/>
    <s v="Veg"/>
    <n v="5"/>
    <n v="107"/>
    <n v="535"/>
    <n v="38"/>
    <s v="Card"/>
    <n v="5"/>
    <x v="2"/>
    <n v="16"/>
    <n v="2024"/>
  </r>
  <r>
    <s v="CUST_494"/>
    <s v="O1286"/>
    <d v="2024-05-20T00:00:00"/>
    <s v="Mumbai"/>
    <s v="Powai"/>
    <s v="Grill Masters"/>
    <s v="Indian"/>
    <s v="Chicken Roll"/>
    <s v="Non-Veg"/>
    <n v="4"/>
    <n v="325"/>
    <n v="1300"/>
    <n v="29"/>
    <s v="COD"/>
    <n v="3.7"/>
    <x v="5"/>
    <n v="21"/>
    <n v="2024"/>
  </r>
  <r>
    <s v="CUST_494"/>
    <s v="O1287"/>
    <d v="2024-10-05T00:00:00"/>
    <s v="Chennai"/>
    <s v="Velachery"/>
    <s v="South Spice"/>
    <s v="Fast Food"/>
    <s v="Fried Rice"/>
    <s v="Veg"/>
    <n v="1"/>
    <n v="236"/>
    <n v="236"/>
    <n v="41"/>
    <s v="COD"/>
    <n v="3.4"/>
    <x v="0"/>
    <n v="40"/>
    <n v="2024"/>
  </r>
  <r>
    <s v="CUST_495"/>
    <s v="O1288"/>
    <d v="2024-06-10T00:00:00"/>
    <s v="Mumbai"/>
    <s v="Goregaon"/>
    <s v="Grill Masters"/>
    <s v="Fast Food"/>
    <s v="Pasta"/>
    <s v="Veg"/>
    <n v="1"/>
    <n v="449"/>
    <n v="449"/>
    <n v="43"/>
    <s v="COD"/>
    <n v="3"/>
    <x v="7"/>
    <n v="24"/>
    <n v="2024"/>
  </r>
  <r>
    <s v="CUST_495"/>
    <s v="O1289"/>
    <d v="2024-09-08T00:00:00"/>
    <s v="Hyderabad"/>
    <s v="Banjara Hills"/>
    <s v="Pizza Planet"/>
    <s v="North Indian"/>
    <s v="Veg Burger"/>
    <s v="Veg"/>
    <n v="4"/>
    <n v="348"/>
    <n v="1392"/>
    <n v="23"/>
    <s v="COD"/>
    <n v="3.9"/>
    <x v="3"/>
    <n v="37"/>
    <n v="2024"/>
  </r>
  <r>
    <s v="CUST_496"/>
    <s v="O1290"/>
    <d v="2024-07-04T00:00:00"/>
    <s v="Hyderabad"/>
    <s v="Madhapur"/>
    <s v="Tandoori Tales"/>
    <s v="Fast Food"/>
    <s v="Pasta"/>
    <s v="Veg"/>
    <n v="1"/>
    <n v="276"/>
    <n v="276"/>
    <n v="45"/>
    <s v="COD"/>
    <n v="3.1"/>
    <x v="1"/>
    <n v="27"/>
    <n v="2024"/>
  </r>
  <r>
    <s v="CUST_496"/>
    <s v="O1291"/>
    <d v="2024-03-18T00:00:00"/>
    <s v="Chennai"/>
    <s v="Velachery"/>
    <s v="Pizza Planet"/>
    <s v="North Indian"/>
    <s v="Pizza"/>
    <s v="Veg"/>
    <n v="3"/>
    <n v="133"/>
    <n v="399"/>
    <n v="47"/>
    <s v="Card"/>
    <n v="5"/>
    <x v="4"/>
    <n v="12"/>
    <n v="2024"/>
  </r>
  <r>
    <s v="CUST_496"/>
    <s v="O1292"/>
    <d v="2024-08-03T00:00:00"/>
    <s v="Delhi"/>
    <s v="Rohini"/>
    <s v="Sandwich Stop"/>
    <s v="South Indian"/>
    <s v="Veg Burger"/>
    <s v="Veg"/>
    <n v="3"/>
    <n v="269"/>
    <n v="807"/>
    <n v="49"/>
    <s v="UPI"/>
    <n v="4.4000000000000004"/>
    <x v="9"/>
    <n v="31"/>
    <n v="2024"/>
  </r>
  <r>
    <s v="CUST_496"/>
    <s v="O1293"/>
    <d v="2024-09-04T00:00:00"/>
    <s v="Mumbai"/>
    <s v="Powai"/>
    <s v="Burger Hub"/>
    <s v="Indian"/>
    <s v="Sandwich"/>
    <s v="Veg"/>
    <n v="1"/>
    <n v="166"/>
    <n v="166"/>
    <n v="53"/>
    <s v="Card"/>
    <n v="4"/>
    <x v="3"/>
    <n v="36"/>
    <n v="2024"/>
  </r>
  <r>
    <s v="CUST_496"/>
    <s v="O1294"/>
    <d v="2024-01-13T00:00:00"/>
    <s v="Delhi"/>
    <s v="Dwarka"/>
    <s v="Burger Hub"/>
    <s v="North Indian"/>
    <s v="Sandwich"/>
    <s v="Veg"/>
    <n v="2"/>
    <n v="149"/>
    <n v="298"/>
    <n v="53"/>
    <s v="UPI"/>
    <n v="3.5"/>
    <x v="6"/>
    <n v="2"/>
    <n v="2024"/>
  </r>
  <r>
    <s v="CUST_497"/>
    <s v="O1295"/>
    <d v="2024-05-18T00:00:00"/>
    <s v="Bangalore"/>
    <s v="Jayanagar"/>
    <s v="Grill Masters"/>
    <s v="North Indian"/>
    <s v="Sandwich"/>
    <s v="Veg"/>
    <n v="3"/>
    <n v="194"/>
    <n v="582"/>
    <n v="23"/>
    <s v="Card"/>
    <n v="3.1"/>
    <x v="5"/>
    <n v="20"/>
    <n v="2024"/>
  </r>
  <r>
    <s v="CUST_497"/>
    <s v="O1296"/>
    <d v="2024-07-11T00:00:00"/>
    <s v="Hyderabad"/>
    <s v="Secunderabad"/>
    <s v="South Spice"/>
    <s v="Italian"/>
    <s v="Sandwich"/>
    <s v="Veg"/>
    <n v="5"/>
    <n v="113"/>
    <n v="565"/>
    <n v="54"/>
    <s v="COD"/>
    <n v="3.9"/>
    <x v="1"/>
    <n v="28"/>
    <n v="2024"/>
  </r>
  <r>
    <s v="CUST_497"/>
    <s v="O1297"/>
    <d v="2024-10-17T00:00:00"/>
    <s v="Chennai"/>
    <s v="Adyar"/>
    <s v="Urban Meals"/>
    <s v="Italian"/>
    <s v="Pasta"/>
    <s v="Veg"/>
    <n v="1"/>
    <n v="362"/>
    <n v="362"/>
    <n v="38"/>
    <s v="COD"/>
    <n v="3.9"/>
    <x v="0"/>
    <n v="42"/>
    <n v="2024"/>
  </r>
  <r>
    <s v="CUST_498"/>
    <s v="O1298"/>
    <d v="2024-09-05T00:00:00"/>
    <s v="Chennai"/>
    <s v="Tambaram"/>
    <s v="Sandwich Stop"/>
    <s v="Italian"/>
    <s v="Fried Rice"/>
    <s v="Veg"/>
    <n v="4"/>
    <n v="207"/>
    <n v="828"/>
    <n v="49"/>
    <s v="Card"/>
    <n v="4.5"/>
    <x v="3"/>
    <n v="36"/>
    <n v="2024"/>
  </r>
  <r>
    <s v="CUST_498"/>
    <s v="O1299"/>
    <d v="2024-10-27T00:00:00"/>
    <s v="Bangalore"/>
    <s v="Indiranagar"/>
    <s v="Grill Masters"/>
    <s v="Italian"/>
    <s v="Fried Rice"/>
    <s v="Veg"/>
    <n v="1"/>
    <n v="104"/>
    <n v="104"/>
    <n v="47"/>
    <s v="UPI"/>
    <n v="3.4"/>
    <x v="0"/>
    <n v="44"/>
    <n v="2024"/>
  </r>
  <r>
    <s v="CUST_498"/>
    <s v="O1300"/>
    <d v="2024-07-31T00:00:00"/>
    <s v="Bangalore"/>
    <s v="Indiranagar"/>
    <s v="Burger Hub"/>
    <s v="Fast Food"/>
    <s v="Masala Dosa"/>
    <s v="Veg"/>
    <n v="2"/>
    <n v="298"/>
    <n v="596"/>
    <n v="59"/>
    <s v="UPI"/>
    <n v="3.2"/>
    <x v="1"/>
    <n v="31"/>
    <n v="2024"/>
  </r>
  <r>
    <s v="CUST_499"/>
    <s v="O1301"/>
    <d v="2024-06-12T00:00:00"/>
    <s v="Delhi"/>
    <s v="Connaught Place"/>
    <s v="Tandoori Tales"/>
    <s v="Indian"/>
    <s v="Pizza"/>
    <s v="Veg"/>
    <n v="5"/>
    <n v="252"/>
    <n v="1260"/>
    <n v="54"/>
    <s v="UPI"/>
    <n v="3.8"/>
    <x v="7"/>
    <n v="24"/>
    <n v="2024"/>
  </r>
  <r>
    <s v="CUST_499"/>
    <s v="O1302"/>
    <d v="2024-02-21T00:00:00"/>
    <s v="Delhi"/>
    <s v="Karol Bagh"/>
    <s v="Sandwich Stop"/>
    <s v="Indian"/>
    <s v="Masala Dosa"/>
    <s v="Veg"/>
    <n v="1"/>
    <n v="298"/>
    <n v="298"/>
    <n v="26"/>
    <s v="Card"/>
    <n v="4.5"/>
    <x v="8"/>
    <n v="8"/>
    <n v="2024"/>
  </r>
  <r>
    <s v="CUST_500"/>
    <s v="O1303"/>
    <d v="2024-01-17T00:00:00"/>
    <s v="Mumbai"/>
    <s v="Goregaon"/>
    <s v="Tandoori Tales"/>
    <s v="Chinese"/>
    <s v="Chicken Roll"/>
    <s v="Non-Veg"/>
    <n v="2"/>
    <n v="292"/>
    <n v="584"/>
    <n v="45"/>
    <s v="Card"/>
    <n v="4.0999999999999996"/>
    <x v="6"/>
    <n v="3"/>
    <n v="2024"/>
  </r>
  <r>
    <s v="CUST_500"/>
    <s v="O1304"/>
    <d v="2024-03-30T00:00:00"/>
    <s v="Delhi"/>
    <s v="Karol Bagh"/>
    <s v="Pizza Planet"/>
    <s v="Indian"/>
    <s v="Masala Dosa"/>
    <s v="Veg"/>
    <n v="5"/>
    <n v="154"/>
    <n v="770"/>
    <n v="36"/>
    <s v="COD"/>
    <n v="4.7"/>
    <x v="4"/>
    <n v="13"/>
    <n v="2024"/>
  </r>
  <r>
    <s v="CUST_500"/>
    <s v="O1305"/>
    <d v="2024-09-15T00:00:00"/>
    <s v="Bangalore"/>
    <s v="BTM Layout"/>
    <s v="Grill Masters"/>
    <s v="Indian"/>
    <s v="Paneer Tikka"/>
    <s v="Veg"/>
    <n v="5"/>
    <n v="330"/>
    <n v="1650"/>
    <n v="56"/>
    <s v="COD"/>
    <n v="3.3"/>
    <x v="3"/>
    <n v="38"/>
    <n v="2024"/>
  </r>
  <r>
    <s v="CUST_500"/>
    <s v="O1306"/>
    <d v="2024-07-02T00:00:00"/>
    <s v="Delhi"/>
    <s v="Connaught Place"/>
    <s v="Pizza Planet"/>
    <s v="Chinese"/>
    <s v="Sandwich"/>
    <s v="Veg"/>
    <n v="3"/>
    <n v="381"/>
    <n v="1143"/>
    <n v="20"/>
    <s v="COD"/>
    <n v="4.4000000000000004"/>
    <x v="1"/>
    <n v="27"/>
    <n v="2024"/>
  </r>
  <r>
    <s v="CUST_500"/>
    <s v="O1307"/>
    <d v="2024-01-24T00:00:00"/>
    <s v="Mumbai"/>
    <s v="Dadar"/>
    <s v="Burger Hub"/>
    <s v="North Indian"/>
    <s v="Masala Dosa"/>
    <s v="Veg"/>
    <n v="4"/>
    <n v="214"/>
    <n v="856"/>
    <n v="32"/>
    <s v="COD"/>
    <n v="4.2"/>
    <x v="6"/>
    <n v="4"/>
    <n v="2024"/>
  </r>
  <r>
    <s v="CUST_501"/>
    <s v="O1308"/>
    <d v="2024-05-15T00:00:00"/>
    <s v="Hyderabad"/>
    <s v="Kukatpally"/>
    <s v="Chinese Bowl"/>
    <s v="Chinese"/>
    <s v="Veg Burger"/>
    <s v="Veg"/>
    <n v="4"/>
    <n v="326"/>
    <n v="1304"/>
    <n v="52"/>
    <s v="UPI"/>
    <n v="4.7"/>
    <x v="5"/>
    <n v="20"/>
    <n v="2024"/>
  </r>
  <r>
    <s v="CUST_501"/>
    <s v="O1309"/>
    <d v="2024-06-04T00:00:00"/>
    <s v="Bangalore"/>
    <s v="Koramangala"/>
    <s v="South Spice"/>
    <s v="Chinese"/>
    <s v="Sandwich"/>
    <s v="Veg"/>
    <n v="2"/>
    <n v="437"/>
    <n v="874"/>
    <n v="34"/>
    <s v="COD"/>
    <n v="4.0999999999999996"/>
    <x v="7"/>
    <n v="23"/>
    <n v="2024"/>
  </r>
  <r>
    <s v="CUST_501"/>
    <s v="O1310"/>
    <d v="2024-08-07T00:00:00"/>
    <s v="Chennai"/>
    <s v="Adyar"/>
    <s v="Pizza Planet"/>
    <s v="Fast Food"/>
    <s v="Chicken Biryani"/>
    <s v="Non-Veg"/>
    <n v="3"/>
    <n v="481"/>
    <n v="1443"/>
    <n v="31"/>
    <s v="UPI"/>
    <n v="4.0999999999999996"/>
    <x v="9"/>
    <n v="32"/>
    <n v="2024"/>
  </r>
  <r>
    <s v="CUST_501"/>
    <s v="O1311"/>
    <d v="2024-08-25T00:00:00"/>
    <s v="Hyderabad"/>
    <s v="Banjara Hills"/>
    <s v="Pizza Planet"/>
    <s v="Chinese"/>
    <s v="Pizza"/>
    <s v="Veg"/>
    <n v="1"/>
    <n v="230"/>
    <n v="230"/>
    <n v="44"/>
    <s v="COD"/>
    <n v="4.5"/>
    <x v="9"/>
    <n v="35"/>
    <n v="2024"/>
  </r>
  <r>
    <s v="CUST_502"/>
    <s v="O1312"/>
    <d v="2024-09-12T00:00:00"/>
    <s v="Hyderabad"/>
    <s v="Madhapur"/>
    <s v="Grill Masters"/>
    <s v="Fast Food"/>
    <s v="Chicken Roll"/>
    <s v="Non-Veg"/>
    <n v="5"/>
    <n v="251"/>
    <n v="1255"/>
    <n v="31"/>
    <s v="Card"/>
    <n v="3.6"/>
    <x v="3"/>
    <n v="37"/>
    <n v="2024"/>
  </r>
  <r>
    <s v="CUST_502"/>
    <s v="O1313"/>
    <d v="2024-01-04T00:00:00"/>
    <s v="Bangalore"/>
    <s v="Whitefield"/>
    <s v="Chinese Bowl"/>
    <s v="Chinese"/>
    <s v="Sandwich"/>
    <s v="Veg"/>
    <n v="1"/>
    <n v="161"/>
    <n v="161"/>
    <n v="20"/>
    <s v="Card"/>
    <n v="5"/>
    <x v="6"/>
    <n v="1"/>
    <n v="2024"/>
  </r>
  <r>
    <s v="CUST_502"/>
    <s v="O1314"/>
    <d v="2024-07-26T00:00:00"/>
    <s v="Mumbai"/>
    <s v="Powai"/>
    <s v="Grill Masters"/>
    <s v="Italian"/>
    <s v="Momos"/>
    <s v="Veg"/>
    <n v="5"/>
    <n v="355"/>
    <n v="1775"/>
    <n v="55"/>
    <s v="Card"/>
    <n v="3.7"/>
    <x v="1"/>
    <n v="30"/>
    <n v="2024"/>
  </r>
  <r>
    <s v="CUST_502"/>
    <s v="O1315"/>
    <d v="2024-08-12T00:00:00"/>
    <s v="Mumbai"/>
    <s v="Goregaon"/>
    <s v="South Spice"/>
    <s v="Chinese"/>
    <s v="Momos"/>
    <s v="Veg"/>
    <n v="1"/>
    <n v="170"/>
    <n v="170"/>
    <n v="39"/>
    <s v="UPI"/>
    <n v="3.4"/>
    <x v="9"/>
    <n v="33"/>
    <n v="2024"/>
  </r>
  <r>
    <s v="CUST_502"/>
    <s v="O1316"/>
    <d v="2024-08-19T00:00:00"/>
    <s v="Delhi"/>
    <s v="Saket"/>
    <s v="Café Delight"/>
    <s v="Chinese"/>
    <s v="Sandwich"/>
    <s v="Veg"/>
    <n v="5"/>
    <n v="331"/>
    <n v="1655"/>
    <n v="50"/>
    <s v="UPI"/>
    <n v="3"/>
    <x v="9"/>
    <n v="34"/>
    <n v="2024"/>
  </r>
  <r>
    <s v="CUST_503"/>
    <s v="O1317"/>
    <d v="2024-09-09T00:00:00"/>
    <s v="Bangalore"/>
    <s v="BTM Layout"/>
    <s v="Chinese Bowl"/>
    <s v="Chinese"/>
    <s v="Momos"/>
    <s v="Veg"/>
    <n v="3"/>
    <n v="372"/>
    <n v="1116"/>
    <n v="37"/>
    <s v="Card"/>
    <n v="3.9"/>
    <x v="3"/>
    <n v="37"/>
    <n v="2024"/>
  </r>
  <r>
    <s v="CUST_503"/>
    <s v="O1318"/>
    <d v="2024-08-22T00:00:00"/>
    <s v="Mumbai"/>
    <s v="Goregaon"/>
    <s v="Tandoori Tales"/>
    <s v="South Indian"/>
    <s v="Paneer Tikka"/>
    <s v="Veg"/>
    <n v="2"/>
    <n v="134"/>
    <n v="268"/>
    <n v="32"/>
    <s v="COD"/>
    <n v="3.1"/>
    <x v="9"/>
    <n v="34"/>
    <n v="2024"/>
  </r>
  <r>
    <s v="CUST_504"/>
    <s v="O1319"/>
    <d v="2024-03-03T00:00:00"/>
    <s v="Mumbai"/>
    <s v="Dadar"/>
    <s v="Burger Hub"/>
    <s v="Indian"/>
    <s v="Veg Burger"/>
    <s v="Veg"/>
    <n v="1"/>
    <n v="132"/>
    <n v="132"/>
    <n v="35"/>
    <s v="Card"/>
    <n v="5"/>
    <x v="4"/>
    <n v="10"/>
    <n v="2024"/>
  </r>
  <r>
    <s v="CUST_504"/>
    <s v="O1320"/>
    <d v="2024-03-12T00:00:00"/>
    <s v="Hyderabad"/>
    <s v="Banjara Hills"/>
    <s v="Burger Hub"/>
    <s v="Chinese"/>
    <s v="Sandwich"/>
    <s v="Veg"/>
    <n v="5"/>
    <n v="412"/>
    <n v="2060"/>
    <n v="44"/>
    <s v="COD"/>
    <n v="4.4000000000000004"/>
    <x v="4"/>
    <n v="11"/>
    <n v="2024"/>
  </r>
  <r>
    <s v="CUST_504"/>
    <s v="O1321"/>
    <d v="2024-04-04T00:00:00"/>
    <s v="Bangalore"/>
    <s v="Whitefield"/>
    <s v="Chinese Bowl"/>
    <s v="North Indian"/>
    <s v="Paneer Tikka"/>
    <s v="Veg"/>
    <n v="1"/>
    <n v="463"/>
    <n v="463"/>
    <n v="26"/>
    <s v="COD"/>
    <n v="4"/>
    <x v="2"/>
    <n v="14"/>
    <n v="2024"/>
  </r>
  <r>
    <s v="CUST_504"/>
    <s v="O1322"/>
    <d v="2024-08-03T00:00:00"/>
    <s v="Mumbai"/>
    <s v="Andheri"/>
    <s v="Tandoori Tales"/>
    <s v="Fast Food"/>
    <s v="Momos"/>
    <s v="Veg"/>
    <n v="4"/>
    <n v="487"/>
    <n v="1948"/>
    <n v="20"/>
    <s v="UPI"/>
    <n v="3.5"/>
    <x v="9"/>
    <n v="31"/>
    <n v="2024"/>
  </r>
  <r>
    <s v="CUST_504"/>
    <s v="O1323"/>
    <d v="2024-02-02T00:00:00"/>
    <s v="Bangalore"/>
    <s v="Jayanagar"/>
    <s v="Biryani House"/>
    <s v="Chinese"/>
    <s v="Chicken Roll"/>
    <s v="Non-Veg"/>
    <n v="5"/>
    <n v="158"/>
    <n v="790"/>
    <n v="56"/>
    <s v="COD"/>
    <n v="3.1"/>
    <x v="8"/>
    <n v="5"/>
    <n v="2024"/>
  </r>
  <r>
    <s v="CUST_505"/>
    <s v="O1324"/>
    <d v="2024-02-24T00:00:00"/>
    <s v="Bangalore"/>
    <s v="Indiranagar"/>
    <s v="Burger Hub"/>
    <s v="Fast Food"/>
    <s v="Chicken Biryani"/>
    <s v="Non-Veg"/>
    <n v="2"/>
    <n v="246"/>
    <n v="492"/>
    <n v="37"/>
    <s v="Card"/>
    <n v="3.9"/>
    <x v="8"/>
    <n v="8"/>
    <n v="2024"/>
  </r>
  <r>
    <s v="CUST_505"/>
    <s v="O1325"/>
    <d v="2024-03-22T00:00:00"/>
    <s v="Delhi"/>
    <s v="Rohini"/>
    <s v="South Spice"/>
    <s v="Italian"/>
    <s v="Momos"/>
    <s v="Veg"/>
    <n v="5"/>
    <n v="248"/>
    <n v="1240"/>
    <n v="45"/>
    <s v="COD"/>
    <n v="3.9"/>
    <x v="4"/>
    <n v="12"/>
    <n v="2024"/>
  </r>
  <r>
    <s v="CUST_506"/>
    <s v="O1326"/>
    <d v="2024-05-02T00:00:00"/>
    <s v="Delhi"/>
    <s v="Karol Bagh"/>
    <s v="Burger Hub"/>
    <s v="Fast Food"/>
    <s v="Masala Dosa"/>
    <s v="Veg"/>
    <n v="4"/>
    <n v="195"/>
    <n v="780"/>
    <n v="38"/>
    <s v="UPI"/>
    <n v="4.5"/>
    <x v="5"/>
    <n v="18"/>
    <n v="2024"/>
  </r>
  <r>
    <s v="CUST_506"/>
    <s v="O1327"/>
    <d v="2024-08-27T00:00:00"/>
    <s v="Bangalore"/>
    <s v="Whitefield"/>
    <s v="Sandwich Stop"/>
    <s v="North Indian"/>
    <s v="Chicken Biryani"/>
    <s v="Non-Veg"/>
    <n v="4"/>
    <n v="173"/>
    <n v="692"/>
    <n v="49"/>
    <s v="UPI"/>
    <n v="3.4"/>
    <x v="9"/>
    <n v="35"/>
    <n v="2024"/>
  </r>
  <r>
    <s v="CUST_506"/>
    <s v="O1328"/>
    <d v="2024-01-16T00:00:00"/>
    <s v="Hyderabad"/>
    <s v="Secunderabad"/>
    <s v="Pizza Planet"/>
    <s v="South Indian"/>
    <s v="Veg Burger"/>
    <s v="Veg"/>
    <n v="3"/>
    <n v="299"/>
    <n v="897"/>
    <n v="28"/>
    <s v="COD"/>
    <n v="3.2"/>
    <x v="6"/>
    <n v="3"/>
    <n v="2024"/>
  </r>
  <r>
    <s v="CUST_506"/>
    <s v="O1329"/>
    <d v="2024-07-30T00:00:00"/>
    <s v="Bangalore"/>
    <s v="Indiranagar"/>
    <s v="Burger Hub"/>
    <s v="Indian"/>
    <s v="Pizza"/>
    <s v="Veg"/>
    <n v="5"/>
    <n v="372"/>
    <n v="1860"/>
    <n v="55"/>
    <s v="UPI"/>
    <n v="3.8"/>
    <x v="1"/>
    <n v="31"/>
    <n v="2024"/>
  </r>
  <r>
    <s v="CUST_506"/>
    <s v="O1330"/>
    <d v="2024-09-13T00:00:00"/>
    <s v="Bangalore"/>
    <s v="BTM Layout"/>
    <s v="Urban Meals"/>
    <s v="North Indian"/>
    <s v="Masala Dosa"/>
    <s v="Veg"/>
    <n v="4"/>
    <n v="173"/>
    <n v="692"/>
    <n v="60"/>
    <s v="UPI"/>
    <n v="4.5"/>
    <x v="3"/>
    <n v="37"/>
    <n v="2024"/>
  </r>
  <r>
    <s v="CUST_507"/>
    <s v="O1331"/>
    <d v="2024-04-07T00:00:00"/>
    <s v="Delhi"/>
    <s v="Karol Bagh"/>
    <s v="Sandwich Stop"/>
    <s v="Chinese"/>
    <s v="Pasta"/>
    <s v="Veg"/>
    <n v="4"/>
    <n v="309"/>
    <n v="1236"/>
    <n v="35"/>
    <s v="UPI"/>
    <n v="4.0999999999999996"/>
    <x v="2"/>
    <n v="15"/>
    <n v="2024"/>
  </r>
  <r>
    <s v="CUST_507"/>
    <s v="O1332"/>
    <d v="2024-01-12T00:00:00"/>
    <s v="Hyderabad"/>
    <s v="Secunderabad"/>
    <s v="Sandwich Stop"/>
    <s v="Fast Food"/>
    <s v="Veg Burger"/>
    <s v="Veg"/>
    <n v="4"/>
    <n v="157"/>
    <n v="628"/>
    <n v="46"/>
    <s v="COD"/>
    <n v="4.7"/>
    <x v="6"/>
    <n v="2"/>
    <n v="2024"/>
  </r>
  <r>
    <s v="CUST_507"/>
    <s v="O1333"/>
    <d v="2024-04-23T00:00:00"/>
    <s v="Mumbai"/>
    <s v="Bandra"/>
    <s v="Tandoori Tales"/>
    <s v="North Indian"/>
    <s v="Sandwich"/>
    <s v="Veg"/>
    <n v="3"/>
    <n v="281"/>
    <n v="843"/>
    <n v="24"/>
    <s v="COD"/>
    <n v="3.3"/>
    <x v="2"/>
    <n v="17"/>
    <n v="2024"/>
  </r>
  <r>
    <s v="CUST_508"/>
    <s v="O1334"/>
    <d v="2024-06-25T00:00:00"/>
    <s v="Chennai"/>
    <s v="Anna Nagar"/>
    <s v="Biryani House"/>
    <s v="Indian"/>
    <s v="Sandwich"/>
    <s v="Veg"/>
    <n v="1"/>
    <n v="309"/>
    <n v="309"/>
    <n v="24"/>
    <s v="Card"/>
    <n v="4.4000000000000004"/>
    <x v="7"/>
    <n v="26"/>
    <n v="2024"/>
  </r>
  <r>
    <s v="CUST_508"/>
    <s v="O1335"/>
    <d v="2024-04-28T00:00:00"/>
    <s v="Hyderabad"/>
    <s v="Kukatpally"/>
    <s v="Pizza Planet"/>
    <s v="South Indian"/>
    <s v="Pizza"/>
    <s v="Veg"/>
    <n v="2"/>
    <n v="317"/>
    <n v="634"/>
    <n v="20"/>
    <s v="Card"/>
    <n v="4.2"/>
    <x v="2"/>
    <n v="18"/>
    <n v="2024"/>
  </r>
  <r>
    <s v="CUST_509"/>
    <s v="O1336"/>
    <d v="2024-05-29T00:00:00"/>
    <s v="Delhi"/>
    <s v="Dwarka"/>
    <s v="Café Delight"/>
    <s v="Chinese"/>
    <s v="Paneer Tikka"/>
    <s v="Veg"/>
    <n v="5"/>
    <n v="236"/>
    <n v="1180"/>
    <n v="50"/>
    <s v="COD"/>
    <n v="4.7"/>
    <x v="5"/>
    <n v="22"/>
    <n v="2024"/>
  </r>
  <r>
    <s v="CUST_509"/>
    <s v="O1337"/>
    <d v="2024-07-17T00:00:00"/>
    <s v="Delhi"/>
    <s v="Dwarka"/>
    <s v="Urban Meals"/>
    <s v="South Indian"/>
    <s v="Fried Rice"/>
    <s v="Veg"/>
    <n v="3"/>
    <n v="268"/>
    <n v="804"/>
    <n v="21"/>
    <s v="UPI"/>
    <n v="4.0999999999999996"/>
    <x v="1"/>
    <n v="29"/>
    <n v="2024"/>
  </r>
  <r>
    <s v="CUST_510"/>
    <s v="O1338"/>
    <d v="2024-08-26T00:00:00"/>
    <s v="Delhi"/>
    <s v="Connaught Place"/>
    <s v="Grill Masters"/>
    <s v="Fast Food"/>
    <s v="Chicken Roll"/>
    <s v="Non-Veg"/>
    <n v="3"/>
    <n v="144"/>
    <n v="432"/>
    <n v="25"/>
    <s v="UPI"/>
    <n v="4.0999999999999996"/>
    <x v="9"/>
    <n v="35"/>
    <n v="2024"/>
  </r>
  <r>
    <s v="CUST_510"/>
    <s v="O1339"/>
    <d v="2024-01-27T00:00:00"/>
    <s v="Bangalore"/>
    <s v="Jayanagar"/>
    <s v="South Spice"/>
    <s v="Indian"/>
    <s v="Fried Rice"/>
    <s v="Veg"/>
    <n v="3"/>
    <n v="253"/>
    <n v="759"/>
    <n v="47"/>
    <s v="COD"/>
    <n v="4.5"/>
    <x v="6"/>
    <n v="4"/>
    <n v="2024"/>
  </r>
  <r>
    <s v="CUST_510"/>
    <s v="O1340"/>
    <d v="2024-05-27T00:00:00"/>
    <s v="Mumbai"/>
    <s v="Andheri"/>
    <s v="Biryani House"/>
    <s v="Fast Food"/>
    <s v="Chicken Biryani"/>
    <s v="Non-Veg"/>
    <n v="3"/>
    <n v="400"/>
    <n v="1200"/>
    <n v="42"/>
    <s v="Card"/>
    <n v="3.6"/>
    <x v="5"/>
    <n v="22"/>
    <n v="2024"/>
  </r>
  <r>
    <s v="CUST_510"/>
    <s v="O1341"/>
    <d v="2024-04-24T00:00:00"/>
    <s v="Chennai"/>
    <s v="Velachery"/>
    <s v="Pizza Planet"/>
    <s v="Italian"/>
    <s v="Veg Burger"/>
    <s v="Veg"/>
    <n v="4"/>
    <n v="348"/>
    <n v="1392"/>
    <n v="27"/>
    <s v="Card"/>
    <n v="5"/>
    <x v="2"/>
    <n v="17"/>
    <n v="2024"/>
  </r>
  <r>
    <s v="CUST_511"/>
    <s v="O1342"/>
    <d v="2024-04-30T00:00:00"/>
    <s v="Mumbai"/>
    <s v="Powai"/>
    <s v="South Spice"/>
    <s v="Italian"/>
    <s v="Masala Dosa"/>
    <s v="Veg"/>
    <n v="2"/>
    <n v="159"/>
    <n v="318"/>
    <n v="44"/>
    <s v="COD"/>
    <n v="3.7"/>
    <x v="2"/>
    <n v="18"/>
    <n v="2024"/>
  </r>
  <r>
    <s v="CUST_511"/>
    <s v="O1343"/>
    <d v="2024-09-30T00:00:00"/>
    <s v="Bangalore"/>
    <s v="BTM Layout"/>
    <s v="Tandoori Tales"/>
    <s v="Italian"/>
    <s v="Sandwich"/>
    <s v="Veg"/>
    <n v="3"/>
    <n v="353"/>
    <n v="1059"/>
    <n v="20"/>
    <s v="Card"/>
    <n v="3.4"/>
    <x v="3"/>
    <n v="40"/>
    <n v="2024"/>
  </r>
  <r>
    <s v="CUST_511"/>
    <s v="O1344"/>
    <d v="2024-08-15T00:00:00"/>
    <s v="Mumbai"/>
    <s v="Powai"/>
    <s v="Café Delight"/>
    <s v="Indian"/>
    <s v="Chicken Roll"/>
    <s v="Non-Veg"/>
    <n v="1"/>
    <n v="302"/>
    <n v="302"/>
    <n v="20"/>
    <s v="COD"/>
    <n v="3"/>
    <x v="9"/>
    <n v="33"/>
    <n v="2024"/>
  </r>
  <r>
    <s v="CUST_511"/>
    <s v="O1345"/>
    <d v="2024-09-29T00:00:00"/>
    <s v="Delhi"/>
    <s v="Saket"/>
    <s v="Café Delight"/>
    <s v="Fast Food"/>
    <s v="Fried Rice"/>
    <s v="Veg"/>
    <n v="3"/>
    <n v="148"/>
    <n v="444"/>
    <n v="23"/>
    <s v="COD"/>
    <n v="3.9"/>
    <x v="3"/>
    <n v="40"/>
    <n v="2024"/>
  </r>
  <r>
    <s v="CUST_512"/>
    <s v="O1346"/>
    <d v="2024-08-02T00:00:00"/>
    <s v="Hyderabad"/>
    <s v="Madhapur"/>
    <s v="Sandwich Stop"/>
    <s v="North Indian"/>
    <s v="Momos"/>
    <s v="Veg"/>
    <n v="3"/>
    <n v="360"/>
    <n v="1080"/>
    <n v="26"/>
    <s v="COD"/>
    <n v="3.1"/>
    <x v="9"/>
    <n v="31"/>
    <n v="2024"/>
  </r>
  <r>
    <s v="CUST_512"/>
    <s v="O1347"/>
    <d v="2024-07-21T00:00:00"/>
    <s v="Chennai"/>
    <s v="Adyar"/>
    <s v="South Spice"/>
    <s v="Italian"/>
    <s v="Chicken Roll"/>
    <s v="Non-Veg"/>
    <n v="5"/>
    <n v="147"/>
    <n v="735"/>
    <n v="28"/>
    <s v="COD"/>
    <n v="5"/>
    <x v="1"/>
    <n v="30"/>
    <n v="2024"/>
  </r>
  <r>
    <s v="CUST_513"/>
    <s v="O1348"/>
    <d v="2024-04-04T00:00:00"/>
    <s v="Bangalore"/>
    <s v="Koramangala"/>
    <s v="Grill Masters"/>
    <s v="South Indian"/>
    <s v="Sandwich"/>
    <s v="Veg"/>
    <n v="5"/>
    <n v="272"/>
    <n v="1360"/>
    <n v="60"/>
    <s v="Card"/>
    <n v="4.4000000000000004"/>
    <x v="2"/>
    <n v="14"/>
    <n v="2024"/>
  </r>
  <r>
    <s v="CUST_513"/>
    <s v="O1349"/>
    <d v="2024-04-18T00:00:00"/>
    <s v="Bangalore"/>
    <s v="BTM Layout"/>
    <s v="Tandoori Tales"/>
    <s v="Fast Food"/>
    <s v="Fried Rice"/>
    <s v="Veg"/>
    <n v="4"/>
    <n v="228"/>
    <n v="912"/>
    <n v="28"/>
    <s v="UPI"/>
    <n v="4"/>
    <x v="2"/>
    <n v="16"/>
    <n v="2024"/>
  </r>
  <r>
    <s v="CUST_513"/>
    <s v="O1350"/>
    <d v="2024-01-15T00:00:00"/>
    <s v="Bangalore"/>
    <s v="BTM Layout"/>
    <s v="Café Delight"/>
    <s v="Chinese"/>
    <s v="Pasta"/>
    <s v="Veg"/>
    <n v="5"/>
    <n v="125"/>
    <n v="625"/>
    <n v="33"/>
    <s v="UPI"/>
    <n v="3.5"/>
    <x v="6"/>
    <n v="3"/>
    <n v="2024"/>
  </r>
  <r>
    <s v="CUST_513"/>
    <s v="O1351"/>
    <d v="2024-01-04T00:00:00"/>
    <s v="Mumbai"/>
    <s v="Powai"/>
    <s v="Chinese Bowl"/>
    <s v="Fast Food"/>
    <s v="Fried Rice"/>
    <s v="Veg"/>
    <n v="3"/>
    <n v="285"/>
    <n v="855"/>
    <n v="59"/>
    <s v="COD"/>
    <n v="3.1"/>
    <x v="6"/>
    <n v="1"/>
    <n v="2024"/>
  </r>
  <r>
    <s v="CUST_514"/>
    <s v="O1352"/>
    <d v="2024-09-27T00:00:00"/>
    <s v="Bangalore"/>
    <s v="BTM Layout"/>
    <s v="Pizza Planet"/>
    <s v="Indian"/>
    <s v="Sandwich"/>
    <s v="Veg"/>
    <n v="3"/>
    <n v="198"/>
    <n v="594"/>
    <n v="53"/>
    <s v="Card"/>
    <n v="3.9"/>
    <x v="3"/>
    <n v="39"/>
    <n v="2024"/>
  </r>
  <r>
    <s v="CUST_514"/>
    <s v="O1353"/>
    <d v="2024-01-23T00:00:00"/>
    <s v="Bangalore"/>
    <s v="Whitefield"/>
    <s v="Chinese Bowl"/>
    <s v="Fast Food"/>
    <s v="Pasta"/>
    <s v="Veg"/>
    <n v="1"/>
    <n v="360"/>
    <n v="360"/>
    <n v="24"/>
    <s v="COD"/>
    <n v="3.9"/>
    <x v="6"/>
    <n v="4"/>
    <n v="2024"/>
  </r>
  <r>
    <s v="CUST_515"/>
    <s v="O1354"/>
    <d v="2024-07-04T00:00:00"/>
    <s v="Hyderabad"/>
    <s v="Begumpet"/>
    <s v="Burger Hub"/>
    <s v="Fast Food"/>
    <s v="Masala Dosa"/>
    <s v="Veg"/>
    <n v="2"/>
    <n v="271"/>
    <n v="542"/>
    <n v="59"/>
    <s v="UPI"/>
    <n v="4.5"/>
    <x v="1"/>
    <n v="27"/>
    <n v="2024"/>
  </r>
  <r>
    <s v="CUST_515"/>
    <s v="O1355"/>
    <d v="2024-07-11T00:00:00"/>
    <s v="Chennai"/>
    <s v="Anna Nagar"/>
    <s v="Grill Masters"/>
    <s v="Italian"/>
    <s v="Pizza"/>
    <s v="Veg"/>
    <n v="3"/>
    <n v="318"/>
    <n v="954"/>
    <n v="43"/>
    <s v="UPI"/>
    <n v="3.4"/>
    <x v="1"/>
    <n v="28"/>
    <n v="2024"/>
  </r>
  <r>
    <s v="CUST_515"/>
    <s v="O1356"/>
    <d v="2024-03-25T00:00:00"/>
    <s v="Chennai"/>
    <s v="Tambaram"/>
    <s v="Burger Hub"/>
    <s v="North Indian"/>
    <s v="Fried Rice"/>
    <s v="Veg"/>
    <n v="1"/>
    <n v="498"/>
    <n v="498"/>
    <n v="34"/>
    <s v="UPI"/>
    <n v="3.2"/>
    <x v="4"/>
    <n v="13"/>
    <n v="2024"/>
  </r>
  <r>
    <s v="CUST_515"/>
    <s v="O1357"/>
    <d v="2024-05-10T00:00:00"/>
    <s v="Bangalore"/>
    <s v="Jayanagar"/>
    <s v="Urban Meals"/>
    <s v="Fast Food"/>
    <s v="Momos"/>
    <s v="Veg"/>
    <n v="1"/>
    <n v="144"/>
    <n v="144"/>
    <n v="24"/>
    <s v="UPI"/>
    <n v="3.8"/>
    <x v="5"/>
    <n v="19"/>
    <n v="2024"/>
  </r>
  <r>
    <s v="CUST_516"/>
    <s v="O1358"/>
    <d v="2024-09-09T00:00:00"/>
    <s v="Mumbai"/>
    <s v="Bandra"/>
    <s v="Tandoori Tales"/>
    <s v="South Indian"/>
    <s v="Momos"/>
    <s v="Veg"/>
    <n v="5"/>
    <n v="202"/>
    <n v="1010"/>
    <n v="40"/>
    <s v="Card"/>
    <n v="4.5"/>
    <x v="3"/>
    <n v="37"/>
    <n v="2024"/>
  </r>
  <r>
    <s v="CUST_516"/>
    <s v="O1359"/>
    <d v="2024-07-12T00:00:00"/>
    <s v="Mumbai"/>
    <s v="Goregaon"/>
    <s v="Sandwich Stop"/>
    <s v="Italian"/>
    <s v="Veg Burger"/>
    <s v="Veg"/>
    <n v="2"/>
    <n v="305"/>
    <n v="610"/>
    <n v="30"/>
    <s v="Card"/>
    <n v="4.0999999999999996"/>
    <x v="1"/>
    <n v="28"/>
    <n v="2024"/>
  </r>
  <r>
    <s v="CUST_517"/>
    <s v="O1360"/>
    <d v="2024-07-05T00:00:00"/>
    <s v="Delhi"/>
    <s v="Karol Bagh"/>
    <s v="Urban Meals"/>
    <s v="Fast Food"/>
    <s v="Pizza"/>
    <s v="Veg"/>
    <n v="3"/>
    <n v="156"/>
    <n v="468"/>
    <n v="32"/>
    <s v="Card"/>
    <n v="4.7"/>
    <x v="1"/>
    <n v="27"/>
    <n v="2024"/>
  </r>
  <r>
    <s v="CUST_517"/>
    <s v="O1361"/>
    <d v="2024-02-18T00:00:00"/>
    <s v="Bangalore"/>
    <s v="Koramangala"/>
    <s v="Pizza Planet"/>
    <s v="Chinese"/>
    <s v="Chicken Roll"/>
    <s v="Non-Veg"/>
    <n v="3"/>
    <n v="296"/>
    <n v="888"/>
    <n v="41"/>
    <s v="UPI"/>
    <n v="3.3"/>
    <x v="8"/>
    <n v="8"/>
    <n v="2024"/>
  </r>
  <r>
    <s v="CUST_517"/>
    <s v="O1362"/>
    <d v="2024-02-24T00:00:00"/>
    <s v="Delhi"/>
    <s v="Saket"/>
    <s v="Chinese Bowl"/>
    <s v="Indian"/>
    <s v="Veg Burger"/>
    <s v="Veg"/>
    <n v="2"/>
    <n v="377"/>
    <n v="754"/>
    <n v="30"/>
    <s v="Card"/>
    <n v="4.4000000000000004"/>
    <x v="8"/>
    <n v="8"/>
    <n v="2024"/>
  </r>
  <r>
    <s v="CUST_518"/>
    <s v="O1363"/>
    <d v="2024-05-13T00:00:00"/>
    <s v="Chennai"/>
    <s v="Adyar"/>
    <s v="Café Delight"/>
    <s v="South Indian"/>
    <s v="Pizza"/>
    <s v="Veg"/>
    <n v="2"/>
    <n v="483"/>
    <n v="966"/>
    <n v="43"/>
    <s v="UPI"/>
    <n v="4.2"/>
    <x v="5"/>
    <n v="20"/>
    <n v="2024"/>
  </r>
  <r>
    <s v="CUST_518"/>
    <s v="O1364"/>
    <d v="2024-07-03T00:00:00"/>
    <s v="Mumbai"/>
    <s v="Dadar"/>
    <s v="Urban Meals"/>
    <s v="South Indian"/>
    <s v="Momos"/>
    <s v="Veg"/>
    <n v="3"/>
    <n v="286"/>
    <n v="858"/>
    <n v="58"/>
    <s v="UPI"/>
    <n v="4.7"/>
    <x v="1"/>
    <n v="27"/>
    <n v="2024"/>
  </r>
  <r>
    <s v="CUST_518"/>
    <s v="O1365"/>
    <d v="2024-10-14T00:00:00"/>
    <s v="Mumbai"/>
    <s v="Dadar"/>
    <s v="Biryani House"/>
    <s v="South Indian"/>
    <s v="Chicken Roll"/>
    <s v="Non-Veg"/>
    <n v="1"/>
    <n v="496"/>
    <n v="496"/>
    <n v="41"/>
    <s v="COD"/>
    <n v="4.0999999999999996"/>
    <x v="0"/>
    <n v="42"/>
    <n v="2024"/>
  </r>
  <r>
    <s v="CUST_518"/>
    <s v="O1366"/>
    <d v="2024-03-18T00:00:00"/>
    <s v="Mumbai"/>
    <s v="Powai"/>
    <s v="Urban Meals"/>
    <s v="Fast Food"/>
    <s v="Momos"/>
    <s v="Veg"/>
    <n v="4"/>
    <n v="378"/>
    <n v="1512"/>
    <n v="33"/>
    <s v="Card"/>
    <n v="4.0999999999999996"/>
    <x v="4"/>
    <n v="12"/>
    <n v="2024"/>
  </r>
  <r>
    <s v="CUST_518"/>
    <s v="O1367"/>
    <d v="2024-05-05T00:00:00"/>
    <s v="Chennai"/>
    <s v="Anna Nagar"/>
    <s v="Café Delight"/>
    <s v="South Indian"/>
    <s v="Pasta"/>
    <s v="Veg"/>
    <n v="2"/>
    <n v="216"/>
    <n v="432"/>
    <n v="52"/>
    <s v="Card"/>
    <n v="4.5"/>
    <x v="5"/>
    <n v="19"/>
    <n v="2024"/>
  </r>
  <r>
    <s v="CUST_519"/>
    <s v="O1368"/>
    <d v="2024-06-03T00:00:00"/>
    <s v="Delhi"/>
    <s v="Dwarka"/>
    <s v="Biryani House"/>
    <s v="Italian"/>
    <s v="Momos"/>
    <s v="Veg"/>
    <n v="3"/>
    <n v="203"/>
    <n v="609"/>
    <n v="25"/>
    <s v="Card"/>
    <n v="3.6"/>
    <x v="7"/>
    <n v="23"/>
    <n v="2024"/>
  </r>
  <r>
    <s v="CUST_519"/>
    <s v="O1369"/>
    <d v="2024-08-19T00:00:00"/>
    <s v="Delhi"/>
    <s v="Karol Bagh"/>
    <s v="Sandwich Stop"/>
    <s v="Indian"/>
    <s v="Momos"/>
    <s v="Veg"/>
    <n v="1"/>
    <n v="427"/>
    <n v="427"/>
    <n v="48"/>
    <s v="COD"/>
    <n v="5"/>
    <x v="9"/>
    <n v="34"/>
    <n v="2024"/>
  </r>
  <r>
    <s v="CUST_520"/>
    <s v="O1370"/>
    <d v="2024-03-31T00:00:00"/>
    <s v="Bangalore"/>
    <s v="Indiranagar"/>
    <s v="Pizza Planet"/>
    <s v="Italian"/>
    <s v="Pasta"/>
    <s v="Veg"/>
    <n v="4"/>
    <n v="314"/>
    <n v="1256"/>
    <n v="23"/>
    <s v="Card"/>
    <n v="3.7"/>
    <x v="4"/>
    <n v="14"/>
    <n v="2024"/>
  </r>
  <r>
    <s v="CUST_520"/>
    <s v="O1371"/>
    <d v="2024-10-18T00:00:00"/>
    <s v="Bangalore"/>
    <s v="Indiranagar"/>
    <s v="Pizza Planet"/>
    <s v="Indian"/>
    <s v="Fried Rice"/>
    <s v="Veg"/>
    <n v="4"/>
    <n v="268"/>
    <n v="1072"/>
    <n v="50"/>
    <s v="COD"/>
    <n v="3.4"/>
    <x v="0"/>
    <n v="42"/>
    <n v="2024"/>
  </r>
  <r>
    <s v="CUST_520"/>
    <s v="O1372"/>
    <d v="2024-02-16T00:00:00"/>
    <s v="Hyderabad"/>
    <s v="Secunderabad"/>
    <s v="Tandoori Tales"/>
    <s v="Chinese"/>
    <s v="Pasta"/>
    <s v="Veg"/>
    <n v="2"/>
    <n v="346"/>
    <n v="692"/>
    <n v="41"/>
    <s v="Card"/>
    <n v="3"/>
    <x v="8"/>
    <n v="7"/>
    <n v="2024"/>
  </r>
  <r>
    <s v="CUST_520"/>
    <s v="O1373"/>
    <d v="2024-08-04T00:00:00"/>
    <s v="Delhi"/>
    <s v="Karol Bagh"/>
    <s v="Urban Meals"/>
    <s v="North Indian"/>
    <s v="Momos"/>
    <s v="Veg"/>
    <n v="1"/>
    <n v="193"/>
    <n v="193"/>
    <n v="53"/>
    <s v="Card"/>
    <n v="3.9"/>
    <x v="9"/>
    <n v="32"/>
    <n v="2024"/>
  </r>
  <r>
    <s v="CUST_520"/>
    <s v="O1374"/>
    <d v="2024-06-18T00:00:00"/>
    <s v="Delhi"/>
    <s v="Rohini"/>
    <s v="Burger Hub"/>
    <s v="Indian"/>
    <s v="Veg Burger"/>
    <s v="Veg"/>
    <n v="2"/>
    <n v="490"/>
    <n v="980"/>
    <n v="22"/>
    <s v="COD"/>
    <n v="3.1"/>
    <x v="7"/>
    <n v="25"/>
    <n v="2024"/>
  </r>
  <r>
    <s v="CUST_521"/>
    <s v="O1375"/>
    <d v="2024-10-03T00:00:00"/>
    <s v="Hyderabad"/>
    <s v="Begumpet"/>
    <s v="Chinese Bowl"/>
    <s v="Italian"/>
    <s v="Paneer Tikka"/>
    <s v="Veg"/>
    <n v="4"/>
    <n v="222"/>
    <n v="888"/>
    <n v="41"/>
    <s v="UPI"/>
    <n v="5"/>
    <x v="0"/>
    <n v="40"/>
    <n v="2024"/>
  </r>
  <r>
    <s v="CUST_521"/>
    <s v="O1376"/>
    <d v="2024-03-06T00:00:00"/>
    <s v="Chennai"/>
    <s v="Adyar"/>
    <s v="Urban Meals"/>
    <s v="Chinese"/>
    <s v="Pizza"/>
    <s v="Veg"/>
    <n v="4"/>
    <n v="426"/>
    <n v="1704"/>
    <n v="51"/>
    <s v="UPI"/>
    <n v="4.4000000000000004"/>
    <x v="4"/>
    <n v="10"/>
    <n v="2024"/>
  </r>
  <r>
    <s v="CUST_521"/>
    <s v="O1377"/>
    <d v="2024-03-10T00:00:00"/>
    <s v="Chennai"/>
    <s v="Adyar"/>
    <s v="Chinese Bowl"/>
    <s v="South Indian"/>
    <s v="Veg Burger"/>
    <s v="Veg"/>
    <n v="4"/>
    <n v="285"/>
    <n v="1140"/>
    <n v="48"/>
    <s v="Card"/>
    <n v="4"/>
    <x v="4"/>
    <n v="11"/>
    <n v="2024"/>
  </r>
  <r>
    <s v="CUST_521"/>
    <s v="O1378"/>
    <d v="2024-08-20T00:00:00"/>
    <s v="Mumbai"/>
    <s v="Powai"/>
    <s v="Pizza Planet"/>
    <s v="Fast Food"/>
    <s v="Paneer Tikka"/>
    <s v="Veg"/>
    <n v="4"/>
    <n v="158"/>
    <n v="632"/>
    <n v="49"/>
    <s v="UPI"/>
    <n v="3.5"/>
    <x v="9"/>
    <n v="34"/>
    <n v="2024"/>
  </r>
  <r>
    <s v="CUST_522"/>
    <s v="O1379"/>
    <d v="2024-05-01T00:00:00"/>
    <s v="Delhi"/>
    <s v="Saket"/>
    <s v="Tandoori Tales"/>
    <s v="Indian"/>
    <s v="Momos"/>
    <s v="Veg"/>
    <n v="3"/>
    <n v="357"/>
    <n v="1071"/>
    <n v="24"/>
    <s v="UPI"/>
    <n v="3.1"/>
    <x v="5"/>
    <n v="18"/>
    <n v="2024"/>
  </r>
  <r>
    <s v="CUST_522"/>
    <s v="O1380"/>
    <d v="2024-07-24T00:00:00"/>
    <s v="Mumbai"/>
    <s v="Dadar"/>
    <s v="Grill Masters"/>
    <s v="Fast Food"/>
    <s v="Sandwich"/>
    <s v="Veg"/>
    <n v="5"/>
    <n v="171"/>
    <n v="855"/>
    <n v="29"/>
    <s v="COD"/>
    <n v="3.9"/>
    <x v="1"/>
    <n v="30"/>
    <n v="2024"/>
  </r>
  <r>
    <s v="CUST_522"/>
    <s v="O1381"/>
    <d v="2024-08-31T00:00:00"/>
    <s v="Delhi"/>
    <s v="Dwarka"/>
    <s v="Tandoori Tales"/>
    <s v="Chinese"/>
    <s v="Fried Rice"/>
    <s v="Veg"/>
    <n v="1"/>
    <n v="189"/>
    <n v="189"/>
    <n v="26"/>
    <s v="UPI"/>
    <n v="3.9"/>
    <x v="9"/>
    <n v="35"/>
    <n v="2024"/>
  </r>
  <r>
    <s v="CUST_523"/>
    <s v="O1382"/>
    <d v="2024-03-29T00:00:00"/>
    <s v="Delhi"/>
    <s v="Connaught Place"/>
    <s v="Tandoori Tales"/>
    <s v="South Indian"/>
    <s v="Paneer Tikka"/>
    <s v="Veg"/>
    <n v="1"/>
    <n v="245"/>
    <n v="245"/>
    <n v="26"/>
    <s v="UPI"/>
    <n v="3.9"/>
    <x v="4"/>
    <n v="13"/>
    <n v="2024"/>
  </r>
  <r>
    <s v="CUST_523"/>
    <s v="O1383"/>
    <d v="2024-07-24T00:00:00"/>
    <s v="Delhi"/>
    <s v="Dwarka"/>
    <s v="Burger Hub"/>
    <s v="South Indian"/>
    <s v="Chicken Roll"/>
    <s v="Non-Veg"/>
    <n v="3"/>
    <n v="165"/>
    <n v="495"/>
    <n v="26"/>
    <s v="UPI"/>
    <n v="3.4"/>
    <x v="1"/>
    <n v="30"/>
    <n v="2024"/>
  </r>
  <r>
    <s v="CUST_524"/>
    <s v="O1384"/>
    <d v="2024-03-26T00:00:00"/>
    <s v="Hyderabad"/>
    <s v="Kukatpally"/>
    <s v="Chinese Bowl"/>
    <s v="Indian"/>
    <s v="Pasta"/>
    <s v="Veg"/>
    <n v="4"/>
    <n v="305"/>
    <n v="1220"/>
    <n v="25"/>
    <s v="UPI"/>
    <n v="3.6"/>
    <x v="4"/>
    <n v="13"/>
    <n v="2024"/>
  </r>
  <r>
    <s v="CUST_524"/>
    <s v="O1385"/>
    <d v="2024-09-25T00:00:00"/>
    <s v="Bangalore"/>
    <s v="Koramangala"/>
    <s v="Tandoori Tales"/>
    <s v="Chinese"/>
    <s v="Masala Dosa"/>
    <s v="Veg"/>
    <n v="4"/>
    <n v="295"/>
    <n v="1180"/>
    <n v="36"/>
    <s v="COD"/>
    <n v="4.3"/>
    <x v="3"/>
    <n v="39"/>
    <n v="2024"/>
  </r>
  <r>
    <s v="CUST_524"/>
    <s v="O1386"/>
    <d v="2024-08-25T00:00:00"/>
    <s v="Chennai"/>
    <s v="Velachery"/>
    <s v="Sandwich Stop"/>
    <s v="Italian"/>
    <s v="Paneer Tikka"/>
    <s v="Veg"/>
    <n v="2"/>
    <n v="391"/>
    <n v="782"/>
    <n v="28"/>
    <s v="UPI"/>
    <n v="3.7"/>
    <x v="9"/>
    <n v="35"/>
    <n v="2024"/>
  </r>
  <r>
    <s v="CUST_524"/>
    <s v="O1387"/>
    <d v="2024-02-24T00:00:00"/>
    <s v="Bangalore"/>
    <s v="Koramangala"/>
    <s v="Biryani House"/>
    <s v="Chinese"/>
    <s v="Chicken Biryani"/>
    <s v="Non-Veg"/>
    <n v="5"/>
    <n v="350"/>
    <n v="1750"/>
    <n v="54"/>
    <s v="COD"/>
    <n v="3.7"/>
    <x v="8"/>
    <n v="8"/>
    <n v="2024"/>
  </r>
  <r>
    <s v="CUST_525"/>
    <s v="O1388"/>
    <d v="2024-04-19T00:00:00"/>
    <s v="Bangalore"/>
    <s v="Koramangala"/>
    <s v="Chinese Bowl"/>
    <s v="Chinese"/>
    <s v="Chicken Roll"/>
    <s v="Non-Veg"/>
    <n v="4"/>
    <n v="463"/>
    <n v="1852"/>
    <n v="30"/>
    <s v="Card"/>
    <n v="4.0999999999999996"/>
    <x v="2"/>
    <n v="16"/>
    <n v="2024"/>
  </r>
  <r>
    <s v="CUST_525"/>
    <s v="O1389"/>
    <d v="2024-02-08T00:00:00"/>
    <s v="Chennai"/>
    <s v="Velachery"/>
    <s v="Café Delight"/>
    <s v="South Indian"/>
    <s v="Momos"/>
    <s v="Veg"/>
    <n v="4"/>
    <n v="445"/>
    <n v="1780"/>
    <n v="37"/>
    <s v="Card"/>
    <n v="4.3"/>
    <x v="8"/>
    <n v="6"/>
    <n v="2024"/>
  </r>
  <r>
    <s v="CUST_526"/>
    <s v="O1390"/>
    <d v="2024-03-20T00:00:00"/>
    <s v="Chennai"/>
    <s v="Anna Nagar"/>
    <s v="Grill Masters"/>
    <s v="Italian"/>
    <s v="Sandwich"/>
    <s v="Veg"/>
    <n v="3"/>
    <n v="384"/>
    <n v="1152"/>
    <n v="25"/>
    <s v="COD"/>
    <n v="4.9000000000000004"/>
    <x v="4"/>
    <n v="12"/>
    <n v="2024"/>
  </r>
  <r>
    <s v="CUST_526"/>
    <s v="O1391"/>
    <d v="2024-10-19T00:00:00"/>
    <s v="Hyderabad"/>
    <s v="Banjara Hills"/>
    <s v="Burger Hub"/>
    <s v="Italian"/>
    <s v="Pizza"/>
    <s v="Veg"/>
    <n v="1"/>
    <n v="260"/>
    <n v="260"/>
    <n v="59"/>
    <s v="Card"/>
    <n v="4.5"/>
    <x v="0"/>
    <n v="42"/>
    <n v="2024"/>
  </r>
  <r>
    <s v="CUST_526"/>
    <s v="O1392"/>
    <d v="2024-08-17T00:00:00"/>
    <s v="Delhi"/>
    <s v="Saket"/>
    <s v="Biryani House"/>
    <s v="Indian"/>
    <s v="Chicken Roll"/>
    <s v="Non-Veg"/>
    <n v="4"/>
    <n v="131"/>
    <n v="524"/>
    <n v="48"/>
    <s v="UPI"/>
    <n v="4.0999999999999996"/>
    <x v="9"/>
    <n v="33"/>
    <n v="2024"/>
  </r>
  <r>
    <s v="CUST_526"/>
    <s v="O1393"/>
    <d v="2024-04-29T00:00:00"/>
    <s v="Hyderabad"/>
    <s v="Banjara Hills"/>
    <s v="Burger Hub"/>
    <s v="Italian"/>
    <s v="Pizza"/>
    <s v="Veg"/>
    <n v="2"/>
    <n v="380"/>
    <n v="760"/>
    <n v="39"/>
    <s v="Card"/>
    <n v="4.0999999999999996"/>
    <x v="2"/>
    <n v="18"/>
    <n v="2024"/>
  </r>
  <r>
    <s v="CUST_527"/>
    <s v="O1394"/>
    <d v="2024-02-05T00:00:00"/>
    <s v="Mumbai"/>
    <s v="Andheri"/>
    <s v="Pizza Planet"/>
    <s v="South Indian"/>
    <s v="Chicken Biryani"/>
    <s v="Non-Veg"/>
    <n v="5"/>
    <n v="360"/>
    <n v="1800"/>
    <n v="44"/>
    <s v="COD"/>
    <n v="3.9"/>
    <x v="8"/>
    <n v="6"/>
    <n v="2024"/>
  </r>
  <r>
    <s v="CUST_527"/>
    <s v="O1395"/>
    <d v="2024-08-09T00:00:00"/>
    <s v="Mumbai"/>
    <s v="Bandra"/>
    <s v="Sandwich Stop"/>
    <s v="Fast Food"/>
    <s v="Pasta"/>
    <s v="Veg"/>
    <n v="4"/>
    <n v="471"/>
    <n v="1884"/>
    <n v="45"/>
    <s v="Card"/>
    <n v="4.8"/>
    <x v="9"/>
    <n v="32"/>
    <n v="2024"/>
  </r>
  <r>
    <s v="CUST_528"/>
    <s v="O1396"/>
    <d v="2024-02-20T00:00:00"/>
    <s v="Bangalore"/>
    <s v="Whitefield"/>
    <s v="Grill Masters"/>
    <s v="Italian"/>
    <s v="Paneer Tikka"/>
    <s v="Veg"/>
    <n v="2"/>
    <n v="472"/>
    <n v="944"/>
    <n v="21"/>
    <s v="COD"/>
    <n v="4.3"/>
    <x v="8"/>
    <n v="8"/>
    <n v="2024"/>
  </r>
  <r>
    <s v="CUST_528"/>
    <s v="O1397"/>
    <d v="2024-05-09T00:00:00"/>
    <s v="Delhi"/>
    <s v="Connaught Place"/>
    <s v="Grill Masters"/>
    <s v="South Indian"/>
    <s v="Pasta"/>
    <s v="Veg"/>
    <n v="4"/>
    <n v="458"/>
    <n v="1832"/>
    <n v="55"/>
    <s v="COD"/>
    <n v="4.0999999999999996"/>
    <x v="5"/>
    <n v="19"/>
    <n v="2024"/>
  </r>
  <r>
    <s v="CUST_528"/>
    <s v="O1398"/>
    <d v="2024-05-28T00:00:00"/>
    <s v="Chennai"/>
    <s v="Velachery"/>
    <s v="Tandoori Tales"/>
    <s v="South Indian"/>
    <s v="Fried Rice"/>
    <s v="Veg"/>
    <n v="5"/>
    <n v="171"/>
    <n v="855"/>
    <n v="23"/>
    <s v="Card"/>
    <n v="4.3"/>
    <x v="5"/>
    <n v="22"/>
    <n v="2024"/>
  </r>
  <r>
    <s v="CUST_528"/>
    <s v="O1399"/>
    <d v="2024-01-24T00:00:00"/>
    <s v="Delhi"/>
    <s v="Karol Bagh"/>
    <s v="Tandoori Tales"/>
    <s v="Italian"/>
    <s v="Chicken Roll"/>
    <s v="Non-Veg"/>
    <n v="1"/>
    <n v="473"/>
    <n v="473"/>
    <n v="23"/>
    <s v="UPI"/>
    <n v="3.9"/>
    <x v="6"/>
    <n v="4"/>
    <n v="2024"/>
  </r>
  <r>
    <s v="CUST_529"/>
    <s v="O1400"/>
    <d v="2024-05-31T00:00:00"/>
    <s v="Chennai"/>
    <s v="T Nagar"/>
    <s v="Pizza Planet"/>
    <s v="Indian"/>
    <s v="Pizza"/>
    <s v="Veg"/>
    <n v="5"/>
    <n v="214"/>
    <n v="1070"/>
    <n v="53"/>
    <s v="COD"/>
    <n v="4.5999999999999996"/>
    <x v="5"/>
    <n v="22"/>
    <n v="2024"/>
  </r>
  <r>
    <s v="CUST_529"/>
    <s v="O1401"/>
    <d v="2024-03-06T00:00:00"/>
    <s v="Mumbai"/>
    <s v="Powai"/>
    <s v="Burger Hub"/>
    <s v="Italian"/>
    <s v="Chicken Biryani"/>
    <s v="Non-Veg"/>
    <n v="5"/>
    <n v="374"/>
    <n v="1870"/>
    <n v="50"/>
    <s v="Card"/>
    <n v="4.9000000000000004"/>
    <x v="4"/>
    <n v="10"/>
    <n v="2024"/>
  </r>
  <r>
    <s v="CUST_529"/>
    <s v="O1402"/>
    <d v="2024-01-26T00:00:00"/>
    <s v="Bangalore"/>
    <s v="BTM Layout"/>
    <s v="Café Delight"/>
    <s v="Italian"/>
    <s v="Sandwich"/>
    <s v="Veg"/>
    <n v="5"/>
    <n v="462"/>
    <n v="2310"/>
    <n v="59"/>
    <s v="Card"/>
    <n v="4.5999999999999996"/>
    <x v="6"/>
    <n v="4"/>
    <n v="2024"/>
  </r>
  <r>
    <s v="CUST_530"/>
    <s v="O1403"/>
    <d v="2024-10-17T00:00:00"/>
    <s v="Bangalore"/>
    <s v="Indiranagar"/>
    <s v="South Spice"/>
    <s v="South Indian"/>
    <s v="Sandwich"/>
    <s v="Veg"/>
    <n v="1"/>
    <n v="454"/>
    <n v="454"/>
    <n v="29"/>
    <s v="COD"/>
    <n v="3.7"/>
    <x v="0"/>
    <n v="42"/>
    <n v="2024"/>
  </r>
  <r>
    <s v="CUST_530"/>
    <s v="O1404"/>
    <d v="2024-05-09T00:00:00"/>
    <s v="Bangalore"/>
    <s v="Koramangala"/>
    <s v="Café Delight"/>
    <s v="Chinese"/>
    <s v="Sandwich"/>
    <s v="Veg"/>
    <n v="4"/>
    <n v="116"/>
    <n v="464"/>
    <n v="20"/>
    <s v="UPI"/>
    <n v="4.0999999999999996"/>
    <x v="5"/>
    <n v="19"/>
    <n v="2024"/>
  </r>
  <r>
    <s v="CUST_530"/>
    <s v="O1405"/>
    <d v="2024-07-13T00:00:00"/>
    <s v="Hyderabad"/>
    <s v="Kukatpally"/>
    <s v="Chinese Bowl"/>
    <s v="Fast Food"/>
    <s v="Veg Burger"/>
    <s v="Veg"/>
    <n v="2"/>
    <n v="195"/>
    <n v="390"/>
    <n v="58"/>
    <s v="COD"/>
    <n v="3.3"/>
    <x v="1"/>
    <n v="28"/>
    <n v="2024"/>
  </r>
  <r>
    <s v="CUST_530"/>
    <s v="O1406"/>
    <d v="2024-08-09T00:00:00"/>
    <s v="Hyderabad"/>
    <s v="Banjara Hills"/>
    <s v="Chinese Bowl"/>
    <s v="Fast Food"/>
    <s v="Fried Rice"/>
    <s v="Veg"/>
    <n v="2"/>
    <n v="442"/>
    <n v="884"/>
    <n v="40"/>
    <s v="Card"/>
    <n v="3.8"/>
    <x v="9"/>
    <n v="32"/>
    <n v="2024"/>
  </r>
  <r>
    <s v="CUST_530"/>
    <s v="O1407"/>
    <d v="2024-03-02T00:00:00"/>
    <s v="Hyderabad"/>
    <s v="Madhapur"/>
    <s v="Burger Hub"/>
    <s v="North Indian"/>
    <s v="Sandwich"/>
    <s v="Veg"/>
    <n v="1"/>
    <n v="158"/>
    <n v="158"/>
    <n v="46"/>
    <s v="UPI"/>
    <n v="3.8"/>
    <x v="4"/>
    <n v="9"/>
    <n v="2024"/>
  </r>
  <r>
    <s v="CUST_531"/>
    <s v="O1408"/>
    <d v="2024-01-31T00:00:00"/>
    <s v="Mumbai"/>
    <s v="Dadar"/>
    <s v="South Spice"/>
    <s v="North Indian"/>
    <s v="Chicken Biryani"/>
    <s v="Non-Veg"/>
    <n v="2"/>
    <n v="274"/>
    <n v="548"/>
    <n v="36"/>
    <s v="Card"/>
    <n v="4.4000000000000004"/>
    <x v="6"/>
    <n v="5"/>
    <n v="2024"/>
  </r>
  <r>
    <s v="CUST_531"/>
    <s v="O1409"/>
    <d v="2024-04-28T00:00:00"/>
    <s v="Mumbai"/>
    <s v="Powai"/>
    <s v="Biryani House"/>
    <s v="Chinese"/>
    <s v="Pasta"/>
    <s v="Veg"/>
    <n v="3"/>
    <n v="359"/>
    <n v="1077"/>
    <n v="53"/>
    <s v="Card"/>
    <n v="4.9000000000000004"/>
    <x v="2"/>
    <n v="18"/>
    <n v="2024"/>
  </r>
  <r>
    <s v="CUST_531"/>
    <s v="O1410"/>
    <d v="2024-05-28T00:00:00"/>
    <s v="Bangalore"/>
    <s v="BTM Layout"/>
    <s v="Grill Masters"/>
    <s v="South Indian"/>
    <s v="Momos"/>
    <s v="Veg"/>
    <n v="1"/>
    <n v="362"/>
    <n v="362"/>
    <n v="55"/>
    <s v="UPI"/>
    <n v="3.3"/>
    <x v="5"/>
    <n v="22"/>
    <n v="2024"/>
  </r>
  <r>
    <s v="CUST_531"/>
    <s v="O1411"/>
    <d v="2024-10-15T00:00:00"/>
    <s v="Bangalore"/>
    <s v="Whitefield"/>
    <s v="Urban Meals"/>
    <s v="North Indian"/>
    <s v="Momos"/>
    <s v="Veg"/>
    <n v="4"/>
    <n v="431"/>
    <n v="1724"/>
    <n v="45"/>
    <s v="Card"/>
    <n v="3.7"/>
    <x v="0"/>
    <n v="42"/>
    <n v="2024"/>
  </r>
  <r>
    <s v="CUST_532"/>
    <s v="O1412"/>
    <d v="2024-07-16T00:00:00"/>
    <s v="Delhi"/>
    <s v="Rohini"/>
    <s v="Pizza Planet"/>
    <s v="Indian"/>
    <s v="Masala Dosa"/>
    <s v="Veg"/>
    <n v="2"/>
    <n v="407"/>
    <n v="814"/>
    <n v="52"/>
    <s v="UPI"/>
    <n v="4.0999999999999996"/>
    <x v="1"/>
    <n v="29"/>
    <n v="2024"/>
  </r>
  <r>
    <s v="CUST_532"/>
    <s v="O1413"/>
    <d v="2024-09-04T00:00:00"/>
    <s v="Mumbai"/>
    <s v="Powai"/>
    <s v="Pizza Planet"/>
    <s v="Chinese"/>
    <s v="Sandwich"/>
    <s v="Veg"/>
    <n v="2"/>
    <n v="147"/>
    <n v="294"/>
    <n v="60"/>
    <s v="UPI"/>
    <n v="4.4000000000000004"/>
    <x v="3"/>
    <n v="36"/>
    <n v="2024"/>
  </r>
  <r>
    <s v="CUST_532"/>
    <s v="O1414"/>
    <d v="2024-09-03T00:00:00"/>
    <s v="Delhi"/>
    <s v="Dwarka"/>
    <s v="Sandwich Stop"/>
    <s v="Fast Food"/>
    <s v="Paneer Tikka"/>
    <s v="Veg"/>
    <n v="2"/>
    <n v="376"/>
    <n v="752"/>
    <n v="48"/>
    <s v="UPI"/>
    <n v="3.5"/>
    <x v="3"/>
    <n v="36"/>
    <n v="2024"/>
  </r>
  <r>
    <s v="CUST_532"/>
    <s v="O1415"/>
    <d v="2024-10-19T00:00:00"/>
    <s v="Delhi"/>
    <s v="Rohini"/>
    <s v="Pizza Planet"/>
    <s v="Italian"/>
    <s v="Pizza"/>
    <s v="Veg"/>
    <n v="4"/>
    <n v="482"/>
    <n v="1928"/>
    <n v="46"/>
    <s v="COD"/>
    <n v="4.9000000000000004"/>
    <x v="0"/>
    <n v="42"/>
    <n v="2024"/>
  </r>
  <r>
    <s v="CUST_533"/>
    <s v="O1416"/>
    <d v="2024-05-28T00:00:00"/>
    <s v="Chennai"/>
    <s v="Velachery"/>
    <s v="Burger Hub"/>
    <s v="North Indian"/>
    <s v="Paneer Tikka"/>
    <s v="Veg"/>
    <n v="3"/>
    <n v="293"/>
    <n v="879"/>
    <n v="51"/>
    <s v="COD"/>
    <n v="3.5"/>
    <x v="5"/>
    <n v="22"/>
    <n v="2024"/>
  </r>
  <r>
    <s v="CUST_533"/>
    <s v="O1417"/>
    <d v="2024-02-29T00:00:00"/>
    <s v="Chennai"/>
    <s v="Tambaram"/>
    <s v="Tandoori Tales"/>
    <s v="Italian"/>
    <s v="Momos"/>
    <s v="Veg"/>
    <n v="2"/>
    <n v="157"/>
    <n v="314"/>
    <n v="59"/>
    <s v="UPI"/>
    <n v="4.3"/>
    <x v="8"/>
    <n v="9"/>
    <n v="2024"/>
  </r>
  <r>
    <s v="CUST_533"/>
    <s v="O1418"/>
    <d v="2024-07-08T00:00:00"/>
    <s v="Bangalore"/>
    <s v="Indiranagar"/>
    <s v="South Spice"/>
    <s v="North Indian"/>
    <s v="Fried Rice"/>
    <s v="Veg"/>
    <n v="2"/>
    <n v="268"/>
    <n v="536"/>
    <n v="57"/>
    <s v="COD"/>
    <n v="3.3"/>
    <x v="1"/>
    <n v="28"/>
    <n v="2024"/>
  </r>
  <r>
    <s v="CUST_534"/>
    <s v="O1419"/>
    <d v="2024-07-17T00:00:00"/>
    <s v="Hyderabad"/>
    <s v="Madhapur"/>
    <s v="Pizza Planet"/>
    <s v="Fast Food"/>
    <s v="Pasta"/>
    <s v="Veg"/>
    <n v="5"/>
    <n v="169"/>
    <n v="845"/>
    <n v="53"/>
    <s v="UPI"/>
    <n v="3.4"/>
    <x v="1"/>
    <n v="29"/>
    <n v="2024"/>
  </r>
  <r>
    <s v="CUST_534"/>
    <s v="O1420"/>
    <d v="2024-05-27T00:00:00"/>
    <s v="Delhi"/>
    <s v="Dwarka"/>
    <s v="Café Delight"/>
    <s v="North Indian"/>
    <s v="Chicken Biryani"/>
    <s v="Non-Veg"/>
    <n v="1"/>
    <n v="356"/>
    <n v="356"/>
    <n v="38"/>
    <s v="UPI"/>
    <n v="3.5"/>
    <x v="5"/>
    <n v="22"/>
    <n v="2024"/>
  </r>
  <r>
    <s v="CUST_534"/>
    <s v="O1421"/>
    <d v="2024-07-16T00:00:00"/>
    <s v="Bangalore"/>
    <s v="Jayanagar"/>
    <s v="Tandoori Tales"/>
    <s v="South Indian"/>
    <s v="Chicken Biryani"/>
    <s v="Non-Veg"/>
    <n v="2"/>
    <n v="143"/>
    <n v="286"/>
    <n v="20"/>
    <s v="UPI"/>
    <n v="4.2"/>
    <x v="1"/>
    <n v="29"/>
    <n v="2024"/>
  </r>
  <r>
    <s v="CUST_535"/>
    <s v="O1422"/>
    <d v="2024-02-27T00:00:00"/>
    <s v="Bangalore"/>
    <s v="Koramangala"/>
    <s v="Grill Masters"/>
    <s v="Italian"/>
    <s v="Chicken Roll"/>
    <s v="Non-Veg"/>
    <n v="5"/>
    <n v="391"/>
    <n v="1955"/>
    <n v="38"/>
    <s v="UPI"/>
    <n v="4.7"/>
    <x v="8"/>
    <n v="9"/>
    <n v="2024"/>
  </r>
  <r>
    <s v="CUST_535"/>
    <s v="O1423"/>
    <d v="2024-02-22T00:00:00"/>
    <s v="Chennai"/>
    <s v="Velachery"/>
    <s v="South Spice"/>
    <s v="Fast Food"/>
    <s v="Chicken Biryani"/>
    <s v="Non-Veg"/>
    <n v="1"/>
    <n v="490"/>
    <n v="490"/>
    <n v="39"/>
    <s v="Card"/>
    <n v="4.5"/>
    <x v="8"/>
    <n v="8"/>
    <n v="2024"/>
  </r>
  <r>
    <s v="CUST_536"/>
    <s v="O1424"/>
    <d v="2024-04-09T00:00:00"/>
    <s v="Delhi"/>
    <s v="Connaught Place"/>
    <s v="Pizza Planet"/>
    <s v="Indian"/>
    <s v="Pizza"/>
    <s v="Veg"/>
    <n v="3"/>
    <n v="308"/>
    <n v="924"/>
    <n v="52"/>
    <s v="UPI"/>
    <n v="3.1"/>
    <x v="2"/>
    <n v="15"/>
    <n v="2024"/>
  </r>
  <r>
    <s v="CUST_536"/>
    <s v="O1425"/>
    <d v="2024-03-31T00:00:00"/>
    <s v="Delhi"/>
    <s v="Karol Bagh"/>
    <s v="Grill Masters"/>
    <s v="Italian"/>
    <s v="Paneer Tikka"/>
    <s v="Veg"/>
    <n v="5"/>
    <n v="402"/>
    <n v="2010"/>
    <n v="57"/>
    <s v="Card"/>
    <n v="4.9000000000000004"/>
    <x v="4"/>
    <n v="14"/>
    <n v="2024"/>
  </r>
  <r>
    <s v="CUST_537"/>
    <s v="O1426"/>
    <d v="2024-08-26T00:00:00"/>
    <s v="Bangalore"/>
    <s v="Jayanagar"/>
    <s v="Biryani House"/>
    <s v="Italian"/>
    <s v="Chicken Roll"/>
    <s v="Non-Veg"/>
    <n v="5"/>
    <n v="162"/>
    <n v="810"/>
    <n v="46"/>
    <s v="Card"/>
    <n v="4.3"/>
    <x v="9"/>
    <n v="35"/>
    <n v="2024"/>
  </r>
  <r>
    <s v="CUST_537"/>
    <s v="O1427"/>
    <d v="2024-01-03T00:00:00"/>
    <s v="Chennai"/>
    <s v="T Nagar"/>
    <s v="Grill Masters"/>
    <s v="Chinese"/>
    <s v="Paneer Tikka"/>
    <s v="Veg"/>
    <n v="5"/>
    <n v="321"/>
    <n v="1605"/>
    <n v="55"/>
    <s v="UPI"/>
    <n v="3.1"/>
    <x v="6"/>
    <n v="1"/>
    <n v="2024"/>
  </r>
  <r>
    <s v="CUST_538"/>
    <s v="O1428"/>
    <d v="2024-05-06T00:00:00"/>
    <s v="Bangalore"/>
    <s v="BTM Layout"/>
    <s v="Chinese Bowl"/>
    <s v="Italian"/>
    <s v="Chicken Roll"/>
    <s v="Non-Veg"/>
    <n v="1"/>
    <n v="483"/>
    <n v="483"/>
    <n v="44"/>
    <s v="UPI"/>
    <n v="3.3"/>
    <x v="5"/>
    <n v="19"/>
    <n v="2024"/>
  </r>
  <r>
    <s v="CUST_538"/>
    <s v="O1429"/>
    <d v="2024-08-25T00:00:00"/>
    <s v="Bangalore"/>
    <s v="Koramangala"/>
    <s v="Biryani House"/>
    <s v="Italian"/>
    <s v="Chicken Biryani"/>
    <s v="Non-Veg"/>
    <n v="3"/>
    <n v="272"/>
    <n v="816"/>
    <n v="39"/>
    <s v="COD"/>
    <n v="4.8"/>
    <x v="9"/>
    <n v="35"/>
    <n v="2024"/>
  </r>
  <r>
    <s v="CUST_538"/>
    <s v="O1430"/>
    <d v="2024-01-03T00:00:00"/>
    <s v="Mumbai"/>
    <s v="Powai"/>
    <s v="Urban Meals"/>
    <s v="North Indian"/>
    <s v="Pizza"/>
    <s v="Veg"/>
    <n v="5"/>
    <n v="134"/>
    <n v="670"/>
    <n v="31"/>
    <s v="COD"/>
    <n v="4.2"/>
    <x v="6"/>
    <n v="1"/>
    <n v="2024"/>
  </r>
  <r>
    <s v="CUST_538"/>
    <s v="O1431"/>
    <d v="2024-01-10T00:00:00"/>
    <s v="Bangalore"/>
    <s v="Jayanagar"/>
    <s v="Urban Meals"/>
    <s v="Fast Food"/>
    <s v="Fried Rice"/>
    <s v="Veg"/>
    <n v="3"/>
    <n v="263"/>
    <n v="789"/>
    <n v="31"/>
    <s v="UPI"/>
    <n v="4.5"/>
    <x v="6"/>
    <n v="2"/>
    <n v="2024"/>
  </r>
  <r>
    <s v="CUST_538"/>
    <s v="O1432"/>
    <d v="2024-04-01T00:00:00"/>
    <s v="Chennai"/>
    <s v="Anna Nagar"/>
    <s v="Biryani House"/>
    <s v="Chinese"/>
    <s v="Paneer Tikka"/>
    <s v="Veg"/>
    <n v="2"/>
    <n v="456"/>
    <n v="912"/>
    <n v="44"/>
    <s v="COD"/>
    <n v="3.3"/>
    <x v="2"/>
    <n v="14"/>
    <n v="2024"/>
  </r>
  <r>
    <s v="CUST_539"/>
    <s v="O1433"/>
    <d v="2024-07-18T00:00:00"/>
    <s v="Chennai"/>
    <s v="T Nagar"/>
    <s v="Grill Masters"/>
    <s v="Indian"/>
    <s v="Paneer Tikka"/>
    <s v="Veg"/>
    <n v="3"/>
    <n v="104"/>
    <n v="312"/>
    <n v="35"/>
    <s v="COD"/>
    <n v="4.3"/>
    <x v="1"/>
    <n v="29"/>
    <n v="2024"/>
  </r>
  <r>
    <s v="CUST_539"/>
    <s v="O1434"/>
    <d v="2024-08-22T00:00:00"/>
    <s v="Chennai"/>
    <s v="Adyar"/>
    <s v="Urban Meals"/>
    <s v="North Indian"/>
    <s v="Momos"/>
    <s v="Veg"/>
    <n v="1"/>
    <n v="103"/>
    <n v="103"/>
    <n v="42"/>
    <s v="Card"/>
    <n v="4.9000000000000004"/>
    <x v="9"/>
    <n v="34"/>
    <n v="2024"/>
  </r>
  <r>
    <s v="CUST_540"/>
    <s v="O1435"/>
    <d v="2024-07-13T00:00:00"/>
    <s v="Bangalore"/>
    <s v="Indiranagar"/>
    <s v="Tandoori Tales"/>
    <s v="Indian"/>
    <s v="Sandwich"/>
    <s v="Veg"/>
    <n v="1"/>
    <n v="164"/>
    <n v="164"/>
    <n v="46"/>
    <s v="Card"/>
    <n v="3.1"/>
    <x v="1"/>
    <n v="28"/>
    <n v="2024"/>
  </r>
  <r>
    <s v="CUST_540"/>
    <s v="O1436"/>
    <d v="2024-02-12T00:00:00"/>
    <s v="Hyderabad"/>
    <s v="Kukatpally"/>
    <s v="Café Delight"/>
    <s v="South Indian"/>
    <s v="Chicken Roll"/>
    <s v="Non-Veg"/>
    <n v="1"/>
    <n v="277"/>
    <n v="277"/>
    <n v="20"/>
    <s v="Card"/>
    <n v="3.3"/>
    <x v="8"/>
    <n v="7"/>
    <n v="2024"/>
  </r>
  <r>
    <s v="CUST_540"/>
    <s v="O1437"/>
    <d v="2024-08-22T00:00:00"/>
    <s v="Bangalore"/>
    <s v="Jayanagar"/>
    <s v="South Spice"/>
    <s v="North Indian"/>
    <s v="Chicken Roll"/>
    <s v="Non-Veg"/>
    <n v="5"/>
    <n v="254"/>
    <n v="1270"/>
    <n v="29"/>
    <s v="UPI"/>
    <n v="3"/>
    <x v="9"/>
    <n v="34"/>
    <n v="2024"/>
  </r>
  <r>
    <s v="CUST_540"/>
    <s v="O1438"/>
    <d v="2024-02-19T00:00:00"/>
    <s v="Chennai"/>
    <s v="Tambaram"/>
    <s v="Urban Meals"/>
    <s v="North Indian"/>
    <s v="Fried Rice"/>
    <s v="Veg"/>
    <n v="1"/>
    <n v="326"/>
    <n v="326"/>
    <n v="26"/>
    <s v="Card"/>
    <n v="4.5999999999999996"/>
    <x v="8"/>
    <n v="8"/>
    <n v="2024"/>
  </r>
  <r>
    <s v="CUST_540"/>
    <s v="O1439"/>
    <d v="2024-09-07T00:00:00"/>
    <s v="Mumbai"/>
    <s v="Bandra"/>
    <s v="Biryani House"/>
    <s v="Fast Food"/>
    <s v="Fried Rice"/>
    <s v="Veg"/>
    <n v="1"/>
    <n v="391"/>
    <n v="391"/>
    <n v="41"/>
    <s v="Card"/>
    <n v="4.2"/>
    <x v="3"/>
    <n v="36"/>
    <n v="2024"/>
  </r>
  <r>
    <s v="CUST_541"/>
    <s v="O1440"/>
    <d v="2024-03-01T00:00:00"/>
    <s v="Mumbai"/>
    <s v="Andheri"/>
    <s v="Grill Masters"/>
    <s v="South Indian"/>
    <s v="Masala Dosa"/>
    <s v="Veg"/>
    <n v="2"/>
    <n v="485"/>
    <n v="970"/>
    <n v="51"/>
    <s v="UPI"/>
    <n v="4.3"/>
    <x v="4"/>
    <n v="9"/>
    <n v="2024"/>
  </r>
  <r>
    <s v="CUST_541"/>
    <s v="O1441"/>
    <d v="2024-07-18T00:00:00"/>
    <s v="Delhi"/>
    <s v="Dwarka"/>
    <s v="Burger Hub"/>
    <s v="Italian"/>
    <s v="Masala Dosa"/>
    <s v="Veg"/>
    <n v="1"/>
    <n v="321"/>
    <n v="321"/>
    <n v="33"/>
    <s v="COD"/>
    <n v="3.2"/>
    <x v="1"/>
    <n v="29"/>
    <n v="2024"/>
  </r>
  <r>
    <s v="CUST_542"/>
    <s v="O1442"/>
    <d v="2024-07-24T00:00:00"/>
    <s v="Bangalore"/>
    <s v="Indiranagar"/>
    <s v="South Spice"/>
    <s v="South Indian"/>
    <s v="Paneer Tikka"/>
    <s v="Veg"/>
    <n v="2"/>
    <n v="205"/>
    <n v="410"/>
    <n v="36"/>
    <s v="UPI"/>
    <n v="4.8"/>
    <x v="1"/>
    <n v="30"/>
    <n v="2024"/>
  </r>
  <r>
    <s v="CUST_542"/>
    <s v="O1443"/>
    <d v="2024-02-25T00:00:00"/>
    <s v="Mumbai"/>
    <s v="Goregaon"/>
    <s v="Sandwich Stop"/>
    <s v="Italian"/>
    <s v="Pasta"/>
    <s v="Veg"/>
    <n v="4"/>
    <n v="295"/>
    <n v="1180"/>
    <n v="36"/>
    <s v="UPI"/>
    <n v="3.8"/>
    <x v="8"/>
    <n v="9"/>
    <n v="2024"/>
  </r>
  <r>
    <s v="CUST_542"/>
    <s v="O1444"/>
    <d v="2024-07-01T00:00:00"/>
    <s v="Mumbai"/>
    <s v="Goregaon"/>
    <s v="Urban Meals"/>
    <s v="Indian"/>
    <s v="Masala Dosa"/>
    <s v="Veg"/>
    <n v="4"/>
    <n v="133"/>
    <n v="532"/>
    <n v="58"/>
    <s v="UPI"/>
    <n v="4.4000000000000004"/>
    <x v="1"/>
    <n v="27"/>
    <n v="2024"/>
  </r>
  <r>
    <s v="CUST_542"/>
    <s v="O1445"/>
    <d v="2024-01-06T00:00:00"/>
    <s v="Bangalore"/>
    <s v="Jayanagar"/>
    <s v="Urban Meals"/>
    <s v="Chinese"/>
    <s v="Masala Dosa"/>
    <s v="Veg"/>
    <n v="2"/>
    <n v="323"/>
    <n v="646"/>
    <n v="35"/>
    <s v="UPI"/>
    <n v="4.5"/>
    <x v="6"/>
    <n v="1"/>
    <n v="2024"/>
  </r>
  <r>
    <s v="CUST_542"/>
    <s v="O1446"/>
    <d v="2024-06-22T00:00:00"/>
    <s v="Chennai"/>
    <s v="T Nagar"/>
    <s v="South Spice"/>
    <s v="Indian"/>
    <s v="Chicken Biryani"/>
    <s v="Non-Veg"/>
    <n v="5"/>
    <n v="169"/>
    <n v="845"/>
    <n v="60"/>
    <s v="Card"/>
    <n v="3.4"/>
    <x v="7"/>
    <n v="25"/>
    <n v="2024"/>
  </r>
  <r>
    <s v="CUST_543"/>
    <s v="O1447"/>
    <d v="2024-06-22T00:00:00"/>
    <s v="Mumbai"/>
    <s v="Goregaon"/>
    <s v="Burger Hub"/>
    <s v="Italian"/>
    <s v="Fried Rice"/>
    <s v="Veg"/>
    <n v="3"/>
    <n v="105"/>
    <n v="315"/>
    <n v="24"/>
    <s v="UPI"/>
    <n v="4.4000000000000004"/>
    <x v="7"/>
    <n v="25"/>
    <n v="2024"/>
  </r>
  <r>
    <s v="CUST_543"/>
    <s v="O1448"/>
    <d v="2024-08-05T00:00:00"/>
    <s v="Bangalore"/>
    <s v="Jayanagar"/>
    <s v="Biryani House"/>
    <s v="Chinese"/>
    <s v="Pasta"/>
    <s v="Veg"/>
    <n v="2"/>
    <n v="356"/>
    <n v="712"/>
    <n v="45"/>
    <s v="Card"/>
    <n v="3.8"/>
    <x v="9"/>
    <n v="32"/>
    <n v="2024"/>
  </r>
  <r>
    <s v="CUST_543"/>
    <s v="O1449"/>
    <d v="2024-06-10T00:00:00"/>
    <s v="Chennai"/>
    <s v="Adyar"/>
    <s v="Biryani House"/>
    <s v="South Indian"/>
    <s v="Veg Burger"/>
    <s v="Veg"/>
    <n v="3"/>
    <n v="224"/>
    <n v="672"/>
    <n v="22"/>
    <s v="Card"/>
    <n v="4.5999999999999996"/>
    <x v="7"/>
    <n v="24"/>
    <n v="2024"/>
  </r>
  <r>
    <s v="CUST_543"/>
    <s v="O1450"/>
    <d v="2024-05-03T00:00:00"/>
    <s v="Bangalore"/>
    <s v="Jayanagar"/>
    <s v="Sandwich Stop"/>
    <s v="South Indian"/>
    <s v="Chicken Biryani"/>
    <s v="Non-Veg"/>
    <n v="2"/>
    <n v="239"/>
    <n v="478"/>
    <n v="26"/>
    <s v="UPI"/>
    <n v="3.1"/>
    <x v="5"/>
    <n v="18"/>
    <n v="2024"/>
  </r>
  <r>
    <s v="CUST_544"/>
    <s v="O1451"/>
    <d v="2024-06-10T00:00:00"/>
    <s v="Chennai"/>
    <s v="Adyar"/>
    <s v="Burger Hub"/>
    <s v="Italian"/>
    <s v="Momos"/>
    <s v="Veg"/>
    <n v="5"/>
    <n v="303"/>
    <n v="1515"/>
    <n v="43"/>
    <s v="COD"/>
    <n v="3"/>
    <x v="7"/>
    <n v="24"/>
    <n v="2024"/>
  </r>
  <r>
    <s v="CUST_544"/>
    <s v="O1452"/>
    <d v="2024-01-29T00:00:00"/>
    <s v="Chennai"/>
    <s v="Adyar"/>
    <s v="South Spice"/>
    <s v="Fast Food"/>
    <s v="Sandwich"/>
    <s v="Veg"/>
    <n v="3"/>
    <n v="384"/>
    <n v="1152"/>
    <n v="38"/>
    <s v="Card"/>
    <n v="4"/>
    <x v="6"/>
    <n v="5"/>
    <n v="2024"/>
  </r>
  <r>
    <s v="CUST_544"/>
    <s v="O1453"/>
    <d v="2024-04-04T00:00:00"/>
    <s v="Delhi"/>
    <s v="Dwarka"/>
    <s v="Café Delight"/>
    <s v="South Indian"/>
    <s v="Momos"/>
    <s v="Veg"/>
    <n v="4"/>
    <n v="200"/>
    <n v="800"/>
    <n v="47"/>
    <s v="UPI"/>
    <n v="3.6"/>
    <x v="2"/>
    <n v="14"/>
    <n v="2024"/>
  </r>
  <r>
    <s v="CUST_545"/>
    <s v="O1454"/>
    <d v="2024-07-07T00:00:00"/>
    <s v="Mumbai"/>
    <s v="Powai"/>
    <s v="Tandoori Tales"/>
    <s v="South Indian"/>
    <s v="Veg Burger"/>
    <s v="Veg"/>
    <n v="2"/>
    <n v="161"/>
    <n v="322"/>
    <n v="54"/>
    <s v="UPI"/>
    <n v="4.4000000000000004"/>
    <x v="1"/>
    <n v="28"/>
    <n v="2024"/>
  </r>
  <r>
    <s v="CUST_545"/>
    <s v="O1455"/>
    <d v="2024-09-18T00:00:00"/>
    <s v="Chennai"/>
    <s v="Anna Nagar"/>
    <s v="Burger Hub"/>
    <s v="Indian"/>
    <s v="Paneer Tikka"/>
    <s v="Veg"/>
    <n v="5"/>
    <n v="365"/>
    <n v="1825"/>
    <n v="53"/>
    <s v="Card"/>
    <n v="4.8"/>
    <x v="3"/>
    <n v="38"/>
    <n v="2024"/>
  </r>
  <r>
    <s v="CUST_545"/>
    <s v="O1456"/>
    <d v="2024-03-17T00:00:00"/>
    <s v="Mumbai"/>
    <s v="Bandra"/>
    <s v="Tandoori Tales"/>
    <s v="North Indian"/>
    <s v="Fried Rice"/>
    <s v="Veg"/>
    <n v="3"/>
    <n v="156"/>
    <n v="468"/>
    <n v="22"/>
    <s v="Card"/>
    <n v="4"/>
    <x v="4"/>
    <n v="12"/>
    <n v="2024"/>
  </r>
  <r>
    <s v="CUST_545"/>
    <s v="O1457"/>
    <d v="2024-03-13T00:00:00"/>
    <s v="Mumbai"/>
    <s v="Powai"/>
    <s v="Grill Masters"/>
    <s v="Chinese"/>
    <s v="Masala Dosa"/>
    <s v="Veg"/>
    <n v="2"/>
    <n v="394"/>
    <n v="788"/>
    <n v="40"/>
    <s v="UPI"/>
    <n v="3.4"/>
    <x v="4"/>
    <n v="11"/>
    <n v="2024"/>
  </r>
  <r>
    <s v="CUST_545"/>
    <s v="O1458"/>
    <d v="2024-08-29T00:00:00"/>
    <s v="Chennai"/>
    <s v="Adyar"/>
    <s v="Café Delight"/>
    <s v="North Indian"/>
    <s v="Sandwich"/>
    <s v="Veg"/>
    <n v="2"/>
    <n v="200"/>
    <n v="400"/>
    <n v="50"/>
    <s v="COD"/>
    <n v="3.2"/>
    <x v="9"/>
    <n v="35"/>
    <n v="2024"/>
  </r>
  <r>
    <s v="CUST_546"/>
    <s v="O1459"/>
    <d v="2024-10-12T00:00:00"/>
    <s v="Mumbai"/>
    <s v="Dadar"/>
    <s v="Café Delight"/>
    <s v="South Indian"/>
    <s v="Sandwich"/>
    <s v="Veg"/>
    <n v="1"/>
    <n v="416"/>
    <n v="416"/>
    <n v="51"/>
    <s v="Card"/>
    <n v="3.8"/>
    <x v="0"/>
    <n v="41"/>
    <n v="2024"/>
  </r>
  <r>
    <s v="CUST_546"/>
    <s v="O1460"/>
    <d v="2024-02-25T00:00:00"/>
    <s v="Delhi"/>
    <s v="Saket"/>
    <s v="Grill Masters"/>
    <s v="Chinese"/>
    <s v="Momos"/>
    <s v="Veg"/>
    <n v="1"/>
    <n v="180"/>
    <n v="180"/>
    <n v="51"/>
    <s v="Card"/>
    <n v="4.5"/>
    <x v="8"/>
    <n v="9"/>
    <n v="2024"/>
  </r>
  <r>
    <s v="CUST_546"/>
    <s v="O1461"/>
    <d v="2024-08-29T00:00:00"/>
    <s v="Bangalore"/>
    <s v="Whitefield"/>
    <s v="Pizza Planet"/>
    <s v="South Indian"/>
    <s v="Chicken Roll"/>
    <s v="Non-Veg"/>
    <n v="3"/>
    <n v="288"/>
    <n v="864"/>
    <n v="48"/>
    <s v="UPI"/>
    <n v="4.0999999999999996"/>
    <x v="9"/>
    <n v="35"/>
    <n v="2024"/>
  </r>
  <r>
    <s v="CUST_546"/>
    <s v="O1462"/>
    <d v="2024-03-12T00:00:00"/>
    <s v="Delhi"/>
    <s v="Karol Bagh"/>
    <s v="Urban Meals"/>
    <s v="Chinese"/>
    <s v="Chicken Biryani"/>
    <s v="Non-Veg"/>
    <n v="4"/>
    <n v="109"/>
    <n v="436"/>
    <n v="53"/>
    <s v="COD"/>
    <n v="4.7"/>
    <x v="4"/>
    <n v="11"/>
    <n v="2024"/>
  </r>
  <r>
    <s v="CUST_547"/>
    <s v="O1463"/>
    <d v="2024-05-30T00:00:00"/>
    <s v="Mumbai"/>
    <s v="Dadar"/>
    <s v="Chinese Bowl"/>
    <s v="South Indian"/>
    <s v="Chicken Biryani"/>
    <s v="Non-Veg"/>
    <n v="3"/>
    <n v="104"/>
    <n v="312"/>
    <n v="27"/>
    <s v="Card"/>
    <n v="3.3"/>
    <x v="5"/>
    <n v="22"/>
    <n v="2024"/>
  </r>
  <r>
    <s v="CUST_547"/>
    <s v="O1464"/>
    <d v="2024-07-02T00:00:00"/>
    <s v="Bangalore"/>
    <s v="Jayanagar"/>
    <s v="Urban Meals"/>
    <s v="Italian"/>
    <s v="Pasta"/>
    <s v="Veg"/>
    <n v="4"/>
    <n v="225"/>
    <n v="900"/>
    <n v="25"/>
    <s v="UPI"/>
    <n v="4.4000000000000004"/>
    <x v="1"/>
    <n v="27"/>
    <n v="2024"/>
  </r>
  <r>
    <s v="CUST_548"/>
    <s v="O1465"/>
    <d v="2024-07-21T00:00:00"/>
    <s v="Delhi"/>
    <s v="Saket"/>
    <s v="Tandoori Tales"/>
    <s v="South Indian"/>
    <s v="Pizza"/>
    <s v="Veg"/>
    <n v="2"/>
    <n v="106"/>
    <n v="212"/>
    <n v="55"/>
    <s v="COD"/>
    <n v="4.2"/>
    <x v="1"/>
    <n v="30"/>
    <n v="2024"/>
  </r>
  <r>
    <s v="CUST_548"/>
    <s v="O1466"/>
    <d v="2024-01-25T00:00:00"/>
    <s v="Delhi"/>
    <s v="Saket"/>
    <s v="Urban Meals"/>
    <s v="Fast Food"/>
    <s v="Sandwich"/>
    <s v="Veg"/>
    <n v="5"/>
    <n v="337"/>
    <n v="1685"/>
    <n v="20"/>
    <s v="COD"/>
    <n v="4.7"/>
    <x v="6"/>
    <n v="4"/>
    <n v="2024"/>
  </r>
  <r>
    <s v="CUST_548"/>
    <s v="O1467"/>
    <d v="2024-07-25T00:00:00"/>
    <s v="Hyderabad"/>
    <s v="Banjara Hills"/>
    <s v="Pizza Planet"/>
    <s v="Chinese"/>
    <s v="Momos"/>
    <s v="Veg"/>
    <n v="3"/>
    <n v="332"/>
    <n v="996"/>
    <n v="35"/>
    <s v="UPI"/>
    <n v="4.0999999999999996"/>
    <x v="1"/>
    <n v="30"/>
    <n v="2024"/>
  </r>
  <r>
    <s v="CUST_548"/>
    <s v="O1468"/>
    <d v="2024-01-22T00:00:00"/>
    <s v="Hyderabad"/>
    <s v="Secunderabad"/>
    <s v="South Spice"/>
    <s v="Chinese"/>
    <s v="Chicken Roll"/>
    <s v="Non-Veg"/>
    <n v="1"/>
    <n v="344"/>
    <n v="344"/>
    <n v="26"/>
    <s v="COD"/>
    <n v="4.0999999999999996"/>
    <x v="6"/>
    <n v="4"/>
    <n v="2024"/>
  </r>
  <r>
    <s v="CUST_548"/>
    <s v="O1469"/>
    <d v="2024-03-13T00:00:00"/>
    <s v="Chennai"/>
    <s v="Anna Nagar"/>
    <s v="Café Delight"/>
    <s v="Fast Food"/>
    <s v="Pizza"/>
    <s v="Veg"/>
    <n v="1"/>
    <n v="408"/>
    <n v="408"/>
    <n v="56"/>
    <s v="UPI"/>
    <n v="4.5"/>
    <x v="4"/>
    <n v="11"/>
    <n v="2024"/>
  </r>
  <r>
    <s v="CUST_549"/>
    <s v="O1470"/>
    <d v="2024-01-10T00:00:00"/>
    <s v="Chennai"/>
    <s v="Anna Nagar"/>
    <s v="South Spice"/>
    <s v="Indian"/>
    <s v="Veg Burger"/>
    <s v="Veg"/>
    <n v="5"/>
    <n v="187"/>
    <n v="935"/>
    <n v="36"/>
    <s v="COD"/>
    <n v="3.6"/>
    <x v="6"/>
    <n v="2"/>
    <n v="2024"/>
  </r>
  <r>
    <s v="CUST_549"/>
    <s v="O1471"/>
    <d v="2024-06-30T00:00:00"/>
    <s v="Chennai"/>
    <s v="T Nagar"/>
    <s v="Chinese Bowl"/>
    <s v="South Indian"/>
    <s v="Veg Burger"/>
    <s v="Veg"/>
    <n v="4"/>
    <n v="222"/>
    <n v="888"/>
    <n v="31"/>
    <s v="UPI"/>
    <n v="5"/>
    <x v="7"/>
    <n v="27"/>
    <n v="2024"/>
  </r>
  <r>
    <s v="CUST_549"/>
    <s v="O1472"/>
    <d v="2024-05-16T00:00:00"/>
    <s v="Bangalore"/>
    <s v="Koramangala"/>
    <s v="South Spice"/>
    <s v="Indian"/>
    <s v="Pasta"/>
    <s v="Veg"/>
    <n v="1"/>
    <n v="360"/>
    <n v="360"/>
    <n v="46"/>
    <s v="UPI"/>
    <n v="3.7"/>
    <x v="5"/>
    <n v="20"/>
    <n v="2024"/>
  </r>
  <r>
    <s v="CUST_550"/>
    <s v="O1473"/>
    <d v="2024-01-27T00:00:00"/>
    <s v="Delhi"/>
    <s v="Connaught Place"/>
    <s v="Burger Hub"/>
    <s v="Chinese"/>
    <s v="Sandwich"/>
    <s v="Veg"/>
    <n v="3"/>
    <n v="425"/>
    <n v="1275"/>
    <n v="57"/>
    <s v="UPI"/>
    <n v="3.4"/>
    <x v="6"/>
    <n v="4"/>
    <n v="2024"/>
  </r>
  <r>
    <s v="CUST_550"/>
    <s v="O1474"/>
    <d v="2024-04-21T00:00:00"/>
    <s v="Chennai"/>
    <s v="T Nagar"/>
    <s v="Burger Hub"/>
    <s v="Italian"/>
    <s v="Chicken Roll"/>
    <s v="Non-Veg"/>
    <n v="3"/>
    <n v="398"/>
    <n v="1194"/>
    <n v="47"/>
    <s v="COD"/>
    <n v="3"/>
    <x v="2"/>
    <n v="17"/>
    <n v="2024"/>
  </r>
  <r>
    <s v="CUST_551"/>
    <s v="O1475"/>
    <d v="2024-01-21T00:00:00"/>
    <s v="Bangalore"/>
    <s v="BTM Layout"/>
    <s v="Burger Hub"/>
    <s v="Indian"/>
    <s v="Pizza"/>
    <s v="Veg"/>
    <n v="3"/>
    <n v="172"/>
    <n v="516"/>
    <n v="47"/>
    <s v="COD"/>
    <n v="3.9"/>
    <x v="6"/>
    <n v="4"/>
    <n v="2024"/>
  </r>
  <r>
    <s v="CUST_551"/>
    <s v="O1476"/>
    <d v="2024-06-26T00:00:00"/>
    <s v="Bangalore"/>
    <s v="BTM Layout"/>
    <s v="Grill Masters"/>
    <s v="Italian"/>
    <s v="Paneer Tikka"/>
    <s v="Veg"/>
    <n v="1"/>
    <n v="141"/>
    <n v="141"/>
    <n v="46"/>
    <s v="Card"/>
    <n v="3.1"/>
    <x v="7"/>
    <n v="26"/>
    <n v="2024"/>
  </r>
  <r>
    <s v="CUST_552"/>
    <s v="O1477"/>
    <d v="2024-06-21T00:00:00"/>
    <s v="Bangalore"/>
    <s v="Indiranagar"/>
    <s v="Pizza Planet"/>
    <s v="North Indian"/>
    <s v="Fried Rice"/>
    <s v="Veg"/>
    <n v="1"/>
    <n v="158"/>
    <n v="158"/>
    <n v="53"/>
    <s v="UPI"/>
    <n v="5"/>
    <x v="7"/>
    <n v="25"/>
    <n v="2024"/>
  </r>
  <r>
    <s v="CUST_552"/>
    <s v="O1478"/>
    <d v="2024-02-10T00:00:00"/>
    <s v="Bangalore"/>
    <s v="Indiranagar"/>
    <s v="Urban Meals"/>
    <s v="Fast Food"/>
    <s v="Chicken Biryani"/>
    <s v="Non-Veg"/>
    <n v="4"/>
    <n v="284"/>
    <n v="1136"/>
    <n v="35"/>
    <s v="Card"/>
    <n v="4.4000000000000004"/>
    <x v="8"/>
    <n v="6"/>
    <n v="2024"/>
  </r>
  <r>
    <s v="CUST_552"/>
    <s v="O1479"/>
    <d v="2024-08-18T00:00:00"/>
    <s v="Delhi"/>
    <s v="Karol Bagh"/>
    <s v="Sandwich Stop"/>
    <s v="North Indian"/>
    <s v="Veg Burger"/>
    <s v="Veg"/>
    <n v="4"/>
    <n v="498"/>
    <n v="1992"/>
    <n v="22"/>
    <s v="COD"/>
    <n v="4"/>
    <x v="9"/>
    <n v="34"/>
    <n v="2024"/>
  </r>
  <r>
    <s v="CUST_552"/>
    <s v="O1480"/>
    <d v="2024-05-14T00:00:00"/>
    <s v="Delhi"/>
    <s v="Dwarka"/>
    <s v="Café Delight"/>
    <s v="Italian"/>
    <s v="Masala Dosa"/>
    <s v="Veg"/>
    <n v="3"/>
    <n v="298"/>
    <n v="894"/>
    <n v="20"/>
    <s v="Card"/>
    <n v="3.5"/>
    <x v="5"/>
    <n v="20"/>
    <n v="2024"/>
  </r>
  <r>
    <s v="CUST_552"/>
    <s v="O1481"/>
    <d v="2024-10-09T00:00:00"/>
    <s v="Mumbai"/>
    <s v="Andheri"/>
    <s v="Grill Masters"/>
    <s v="Chinese"/>
    <s v="Chicken Biryani"/>
    <s v="Non-Veg"/>
    <n v="5"/>
    <n v="390"/>
    <n v="1950"/>
    <n v="38"/>
    <s v="Card"/>
    <n v="3.1"/>
    <x v="0"/>
    <n v="41"/>
    <n v="2024"/>
  </r>
  <r>
    <s v="CUST_553"/>
    <s v="O1482"/>
    <d v="2024-04-19T00:00:00"/>
    <s v="Bangalore"/>
    <s v="BTM Layout"/>
    <s v="Biryani House"/>
    <s v="South Indian"/>
    <s v="Pasta"/>
    <s v="Veg"/>
    <n v="5"/>
    <n v="180"/>
    <n v="900"/>
    <n v="37"/>
    <s v="COD"/>
    <n v="3.9"/>
    <x v="2"/>
    <n v="16"/>
    <n v="2024"/>
  </r>
  <r>
    <s v="CUST_553"/>
    <s v="O1483"/>
    <d v="2024-05-06T00:00:00"/>
    <s v="Bangalore"/>
    <s v="BTM Layout"/>
    <s v="Sandwich Stop"/>
    <s v="Italian"/>
    <s v="Chicken Roll"/>
    <s v="Non-Veg"/>
    <n v="1"/>
    <n v="198"/>
    <n v="198"/>
    <n v="52"/>
    <s v="Card"/>
    <n v="3.9"/>
    <x v="5"/>
    <n v="19"/>
    <n v="2024"/>
  </r>
  <r>
    <s v="CUST_553"/>
    <s v="O1484"/>
    <d v="2024-02-10T00:00:00"/>
    <s v="Mumbai"/>
    <s v="Powai"/>
    <s v="Biryani House"/>
    <s v="Fast Food"/>
    <s v="Sandwich"/>
    <s v="Veg"/>
    <n v="3"/>
    <n v="299"/>
    <n v="897"/>
    <n v="45"/>
    <s v="Card"/>
    <n v="3.1"/>
    <x v="8"/>
    <n v="6"/>
    <n v="2024"/>
  </r>
  <r>
    <s v="CUST_553"/>
    <s v="O1485"/>
    <d v="2024-09-22T00:00:00"/>
    <s v="Bangalore"/>
    <s v="Indiranagar"/>
    <s v="Pizza Planet"/>
    <s v="Indian"/>
    <s v="Sandwich"/>
    <s v="Veg"/>
    <n v="2"/>
    <n v="438"/>
    <n v="876"/>
    <n v="37"/>
    <s v="Card"/>
    <n v="3.4"/>
    <x v="3"/>
    <n v="39"/>
    <n v="2024"/>
  </r>
  <r>
    <s v="CUST_554"/>
    <s v="O1486"/>
    <d v="2024-09-05T00:00:00"/>
    <s v="Hyderabad"/>
    <s v="Madhapur"/>
    <s v="Urban Meals"/>
    <s v="Chinese"/>
    <s v="Paneer Tikka"/>
    <s v="Veg"/>
    <n v="5"/>
    <n v="257"/>
    <n v="1285"/>
    <n v="54"/>
    <s v="UPI"/>
    <n v="3.2"/>
    <x v="3"/>
    <n v="36"/>
    <n v="2024"/>
  </r>
  <r>
    <s v="CUST_554"/>
    <s v="O1487"/>
    <d v="2024-10-25T00:00:00"/>
    <s v="Delhi"/>
    <s v="Connaught Place"/>
    <s v="Biryani House"/>
    <s v="Fast Food"/>
    <s v="Veg Burger"/>
    <s v="Veg"/>
    <n v="3"/>
    <n v="272"/>
    <n v="816"/>
    <n v="30"/>
    <s v="Card"/>
    <n v="3.8"/>
    <x v="0"/>
    <n v="43"/>
    <n v="2024"/>
  </r>
  <r>
    <s v="CUST_554"/>
    <s v="O1488"/>
    <d v="2024-01-18T00:00:00"/>
    <s v="Mumbai"/>
    <s v="Dadar"/>
    <s v="Chinese Bowl"/>
    <s v="South Indian"/>
    <s v="Momos"/>
    <s v="Veg"/>
    <n v="2"/>
    <n v="249"/>
    <n v="498"/>
    <n v="31"/>
    <s v="UPI"/>
    <n v="4.5"/>
    <x v="6"/>
    <n v="3"/>
    <n v="2024"/>
  </r>
  <r>
    <s v="CUST_554"/>
    <s v="O1489"/>
    <d v="2024-06-19T00:00:00"/>
    <s v="Chennai"/>
    <s v="Anna Nagar"/>
    <s v="South Spice"/>
    <s v="Chinese"/>
    <s v="Chicken Biryani"/>
    <s v="Non-Veg"/>
    <n v="5"/>
    <n v="297"/>
    <n v="1485"/>
    <n v="21"/>
    <s v="COD"/>
    <n v="4.0999999999999996"/>
    <x v="7"/>
    <n v="25"/>
    <n v="2024"/>
  </r>
  <r>
    <s v="CUST_554"/>
    <s v="O1490"/>
    <d v="2024-09-18T00:00:00"/>
    <s v="Bangalore"/>
    <s v="BTM Layout"/>
    <s v="Biryani House"/>
    <s v="North Indian"/>
    <s v="Fried Rice"/>
    <s v="Veg"/>
    <n v="4"/>
    <n v="402"/>
    <n v="1608"/>
    <n v="22"/>
    <s v="UPI"/>
    <n v="4.7"/>
    <x v="3"/>
    <n v="38"/>
    <n v="2024"/>
  </r>
  <r>
    <s v="CUST_555"/>
    <s v="O1491"/>
    <d v="2024-06-07T00:00:00"/>
    <s v="Chennai"/>
    <s v="Tambaram"/>
    <s v="Grill Masters"/>
    <s v="Italian"/>
    <s v="Chicken Roll"/>
    <s v="Non-Veg"/>
    <n v="2"/>
    <n v="266"/>
    <n v="532"/>
    <n v="51"/>
    <s v="UPI"/>
    <n v="3.3"/>
    <x v="7"/>
    <n v="23"/>
    <n v="2024"/>
  </r>
  <r>
    <s v="CUST_555"/>
    <s v="O1492"/>
    <d v="2024-02-03T00:00:00"/>
    <s v="Bangalore"/>
    <s v="Koramangala"/>
    <s v="Grill Masters"/>
    <s v="Chinese"/>
    <s v="Chicken Roll"/>
    <s v="Non-Veg"/>
    <n v="5"/>
    <n v="336"/>
    <n v="1680"/>
    <n v="53"/>
    <s v="UPI"/>
    <n v="4.4000000000000004"/>
    <x v="8"/>
    <n v="5"/>
    <n v="2024"/>
  </r>
  <r>
    <s v="CUST_556"/>
    <s v="O1493"/>
    <d v="2024-07-16T00:00:00"/>
    <s v="Chennai"/>
    <s v="Tambaram"/>
    <s v="Café Delight"/>
    <s v="North Indian"/>
    <s v="Sandwich"/>
    <s v="Veg"/>
    <n v="1"/>
    <n v="139"/>
    <n v="139"/>
    <n v="59"/>
    <s v="UPI"/>
    <n v="4.2"/>
    <x v="1"/>
    <n v="29"/>
    <n v="2024"/>
  </r>
  <r>
    <s v="CUST_556"/>
    <s v="O1494"/>
    <d v="2024-08-04T00:00:00"/>
    <s v="Mumbai"/>
    <s v="Powai"/>
    <s v="Burger Hub"/>
    <s v="North Indian"/>
    <s v="Chicken Roll"/>
    <s v="Non-Veg"/>
    <n v="4"/>
    <n v="194"/>
    <n v="776"/>
    <n v="56"/>
    <s v="UPI"/>
    <n v="4.7"/>
    <x v="9"/>
    <n v="32"/>
    <n v="2024"/>
  </r>
  <r>
    <s v="CUST_557"/>
    <s v="O1495"/>
    <d v="2024-10-11T00:00:00"/>
    <s v="Mumbai"/>
    <s v="Dadar"/>
    <s v="Biryani House"/>
    <s v="Chinese"/>
    <s v="Chicken Roll"/>
    <s v="Non-Veg"/>
    <n v="2"/>
    <n v="245"/>
    <n v="490"/>
    <n v="25"/>
    <s v="COD"/>
    <n v="4.0999999999999996"/>
    <x v="0"/>
    <n v="41"/>
    <n v="2024"/>
  </r>
  <r>
    <s v="CUST_557"/>
    <s v="O1496"/>
    <d v="2024-10-12T00:00:00"/>
    <s v="Chennai"/>
    <s v="T Nagar"/>
    <s v="Chinese Bowl"/>
    <s v="Italian"/>
    <s v="Momos"/>
    <s v="Veg"/>
    <n v="2"/>
    <n v="308"/>
    <n v="616"/>
    <n v="28"/>
    <s v="Card"/>
    <n v="4.0999999999999996"/>
    <x v="0"/>
    <n v="41"/>
    <n v="2024"/>
  </r>
  <r>
    <s v="CUST_557"/>
    <s v="O1497"/>
    <d v="2024-02-17T00:00:00"/>
    <s v="Delhi"/>
    <s v="Karol Bagh"/>
    <s v="South Spice"/>
    <s v="Italian"/>
    <s v="Pasta"/>
    <s v="Veg"/>
    <n v="3"/>
    <n v="167"/>
    <n v="501"/>
    <n v="48"/>
    <s v="COD"/>
    <n v="4.5"/>
    <x v="8"/>
    <n v="7"/>
    <n v="2024"/>
  </r>
  <r>
    <s v="CUST_557"/>
    <s v="O1498"/>
    <d v="2024-03-27T00:00:00"/>
    <s v="Delhi"/>
    <s v="Saket"/>
    <s v="Tandoori Tales"/>
    <s v="South Indian"/>
    <s v="Pasta"/>
    <s v="Veg"/>
    <n v="3"/>
    <n v="122"/>
    <n v="366"/>
    <n v="28"/>
    <s v="Card"/>
    <n v="3.6"/>
    <x v="4"/>
    <n v="13"/>
    <n v="2024"/>
  </r>
  <r>
    <s v="CUST_558"/>
    <s v="O1499"/>
    <d v="2024-04-27T00:00:00"/>
    <s v="Chennai"/>
    <s v="T Nagar"/>
    <s v="South Spice"/>
    <s v="Fast Food"/>
    <s v="Sandwich"/>
    <s v="Veg"/>
    <n v="4"/>
    <n v="298"/>
    <n v="1192"/>
    <n v="20"/>
    <s v="UPI"/>
    <n v="5"/>
    <x v="2"/>
    <n v="17"/>
    <n v="2024"/>
  </r>
  <r>
    <s v="CUST_558"/>
    <s v="O1500"/>
    <d v="2024-08-06T00:00:00"/>
    <s v="Bangalore"/>
    <s v="Koramangala"/>
    <s v="Burger Hub"/>
    <s v="South Indian"/>
    <s v="Pizza"/>
    <s v="Veg"/>
    <n v="1"/>
    <n v="458"/>
    <n v="458"/>
    <n v="49"/>
    <s v="UPI"/>
    <n v="3.7"/>
    <x v="9"/>
    <n v="32"/>
    <n v="2024"/>
  </r>
  <r>
    <s v="CUST_558"/>
    <s v="O1501"/>
    <d v="2024-03-02T00:00:00"/>
    <s v="Chennai"/>
    <s v="Anna Nagar"/>
    <s v="Café Delight"/>
    <s v="Italian"/>
    <s v="Chicken Biryani"/>
    <s v="Non-Veg"/>
    <n v="3"/>
    <n v="104"/>
    <n v="312"/>
    <n v="27"/>
    <s v="Card"/>
    <n v="3.4"/>
    <x v="4"/>
    <n v="9"/>
    <n v="2024"/>
  </r>
  <r>
    <s v="CUST_558"/>
    <s v="O1502"/>
    <d v="2024-08-13T00:00:00"/>
    <s v="Chennai"/>
    <s v="Velachery"/>
    <s v="Grill Masters"/>
    <s v="Chinese"/>
    <s v="Pasta"/>
    <s v="Veg"/>
    <n v="4"/>
    <n v="225"/>
    <n v="900"/>
    <n v="25"/>
    <s v="UPI"/>
    <n v="3"/>
    <x v="9"/>
    <n v="33"/>
    <n v="2024"/>
  </r>
  <r>
    <s v="CUST_558"/>
    <s v="O1503"/>
    <d v="2024-04-01T00:00:00"/>
    <s v="Mumbai"/>
    <s v="Dadar"/>
    <s v="Burger Hub"/>
    <s v="North Indian"/>
    <s v="Pizza"/>
    <s v="Veg"/>
    <n v="2"/>
    <n v="106"/>
    <n v="212"/>
    <n v="55"/>
    <s v="COD"/>
    <n v="3.9"/>
    <x v="2"/>
    <n v="14"/>
    <n v="2024"/>
  </r>
  <r>
    <s v="CUST_559"/>
    <s v="O1504"/>
    <d v="2024-01-19T00:00:00"/>
    <s v="Chennai"/>
    <s v="Velachery"/>
    <s v="Tandoori Tales"/>
    <s v="South Indian"/>
    <s v="Sandwich"/>
    <s v="Veg"/>
    <n v="5"/>
    <n v="337"/>
    <n v="1685"/>
    <n v="20"/>
    <s v="COD"/>
    <n v="3.1"/>
    <x v="6"/>
    <n v="3"/>
    <n v="2024"/>
  </r>
  <r>
    <s v="CUST_559"/>
    <s v="O1505"/>
    <d v="2024-09-04T00:00:00"/>
    <s v="Mumbai"/>
    <s v="Andheri"/>
    <s v="Chinese Bowl"/>
    <s v="Chinese"/>
    <s v="Momos"/>
    <s v="Veg"/>
    <n v="3"/>
    <n v="332"/>
    <n v="996"/>
    <n v="35"/>
    <s v="UPI"/>
    <n v="5"/>
    <x v="3"/>
    <n v="36"/>
    <n v="2024"/>
  </r>
  <r>
    <s v="CUST_559"/>
    <s v="O1506"/>
    <d v="2024-03-10T00:00:00"/>
    <s v="Delhi"/>
    <s v="Connaught Place"/>
    <s v="Urban Meals"/>
    <s v="Indian"/>
    <s v="Chicken Roll"/>
    <s v="Non-Veg"/>
    <n v="1"/>
    <n v="344"/>
    <n v="344"/>
    <n v="26"/>
    <s v="COD"/>
    <n v="4.4000000000000004"/>
    <x v="4"/>
    <n v="11"/>
    <n v="2024"/>
  </r>
  <r>
    <s v="CUST_560"/>
    <s v="O1507"/>
    <d v="2024-03-02T00:00:00"/>
    <s v="Hyderabad"/>
    <s v="Begumpet"/>
    <s v="Café Delight"/>
    <s v="South Indian"/>
    <s v="Pizza"/>
    <s v="Veg"/>
    <n v="1"/>
    <n v="408"/>
    <n v="408"/>
    <n v="56"/>
    <s v="UPI"/>
    <n v="4"/>
    <x v="4"/>
    <n v="9"/>
    <n v="2024"/>
  </r>
  <r>
    <s v="CUST_560"/>
    <s v="O1508"/>
    <d v="2024-01-01T00:00:00"/>
    <s v="Delhi"/>
    <s v="Rohini"/>
    <s v="Grill Masters"/>
    <s v="Italian"/>
    <s v="Veg Burger"/>
    <s v="Veg"/>
    <n v="5"/>
    <n v="187"/>
    <n v="935"/>
    <n v="36"/>
    <s v="COD"/>
    <n v="3.5"/>
    <x v="6"/>
    <n v="1"/>
    <n v="2024"/>
  </r>
  <r>
    <s v="CUST_560"/>
    <s v="O1509"/>
    <d v="2024-06-24T00:00:00"/>
    <s v="Mumbai"/>
    <s v="Andheri"/>
    <s v="Café Delight"/>
    <s v="Chinese"/>
    <s v="Veg Burger"/>
    <s v="Veg"/>
    <n v="4"/>
    <n v="222"/>
    <n v="888"/>
    <n v="31"/>
    <s v="UPI"/>
    <n v="3.1"/>
    <x v="7"/>
    <n v="26"/>
    <n v="2024"/>
  </r>
  <r>
    <s v="CUST_560"/>
    <s v="O1510"/>
    <d v="2024-05-10T00:00:00"/>
    <s v="Bangalore"/>
    <s v="BTM Layout"/>
    <s v="Urban Meals"/>
    <s v="North Indian"/>
    <s v="Pasta"/>
    <s v="Veg"/>
    <n v="1"/>
    <n v="360"/>
    <n v="360"/>
    <n v="46"/>
    <s v="UPI"/>
    <n v="3.9"/>
    <x v="5"/>
    <n v="19"/>
    <n v="2024"/>
  </r>
  <r>
    <s v="CUST_561"/>
    <s v="O1511"/>
    <d v="2024-09-03T00:00:00"/>
    <s v="Bangalore"/>
    <s v="Whitefield"/>
    <s v="Chinese Bowl"/>
    <s v="Italian"/>
    <s v="Sandwich"/>
    <s v="Veg"/>
    <n v="3"/>
    <n v="425"/>
    <n v="1275"/>
    <n v="57"/>
    <s v="UPI"/>
    <n v="3.9"/>
    <x v="3"/>
    <n v="36"/>
    <n v="2024"/>
  </r>
  <r>
    <s v="CUST_561"/>
    <s v="O1512"/>
    <d v="2024-03-29T00:00:00"/>
    <s v="Hyderabad"/>
    <s v="Kukatpally"/>
    <s v="South Spice"/>
    <s v="South Indian"/>
    <s v="Chicken Roll"/>
    <s v="Non-Veg"/>
    <n v="3"/>
    <n v="398"/>
    <n v="1194"/>
    <n v="47"/>
    <s v="COD"/>
    <n v="4.5"/>
    <x v="4"/>
    <n v="13"/>
    <n v="2024"/>
  </r>
  <r>
    <s v="CUST_562"/>
    <s v="O1513"/>
    <d v="2024-03-06T00:00:00"/>
    <s v="Hyderabad"/>
    <s v="Madhapur"/>
    <s v="Sandwich Stop"/>
    <s v="Chinese"/>
    <s v="Pizza"/>
    <s v="Veg"/>
    <n v="3"/>
    <n v="172"/>
    <n v="516"/>
    <n v="47"/>
    <s v="COD"/>
    <n v="3.4"/>
    <x v="4"/>
    <n v="10"/>
    <n v="2024"/>
  </r>
  <r>
    <s v="CUST_562"/>
    <s v="O1514"/>
    <d v="2024-10-02T00:00:00"/>
    <s v="Mumbai"/>
    <s v="Bandra"/>
    <s v="Biryani House"/>
    <s v="Fast Food"/>
    <s v="Paneer Tikka"/>
    <s v="Veg"/>
    <n v="1"/>
    <n v="141"/>
    <n v="141"/>
    <n v="46"/>
    <s v="Card"/>
    <n v="3.2"/>
    <x v="0"/>
    <n v="40"/>
    <n v="2024"/>
  </r>
  <r>
    <s v="CUST_563"/>
    <s v="O1515"/>
    <d v="2024-02-13T00:00:00"/>
    <s v="Bangalore"/>
    <s v="Indiranagar"/>
    <s v="Sandwich Stop"/>
    <s v="South Indian"/>
    <s v="Fried Rice"/>
    <s v="Veg"/>
    <n v="1"/>
    <n v="158"/>
    <n v="158"/>
    <n v="53"/>
    <s v="UPI"/>
    <n v="3.8"/>
    <x v="8"/>
    <n v="7"/>
    <n v="2024"/>
  </r>
  <r>
    <s v="CUST_563"/>
    <s v="O1516"/>
    <d v="2024-03-19T00:00:00"/>
    <s v="Mumbai"/>
    <s v="Goregaon"/>
    <s v="Urban Meals"/>
    <s v="Italian"/>
    <s v="Chicken Biryani"/>
    <s v="Non-Veg"/>
    <n v="4"/>
    <n v="284"/>
    <n v="1136"/>
    <n v="35"/>
    <s v="Card"/>
    <n v="4.5"/>
    <x v="4"/>
    <n v="12"/>
    <n v="2024"/>
  </r>
  <r>
    <s v="CUST_563"/>
    <s v="O1517"/>
    <d v="2024-04-30T00:00:00"/>
    <s v="Delhi"/>
    <s v="Rohini"/>
    <s v="Urban Meals"/>
    <s v="Fast Food"/>
    <s v="Veg Burger"/>
    <s v="Veg"/>
    <n v="4"/>
    <n v="498"/>
    <n v="1992"/>
    <n v="22"/>
    <s v="COD"/>
    <n v="4.0999999999999996"/>
    <x v="2"/>
    <n v="18"/>
    <n v="2024"/>
  </r>
  <r>
    <s v="CUST_563"/>
    <s v="O1518"/>
    <d v="2024-09-12T00:00:00"/>
    <s v="Chennai"/>
    <s v="Anna Nagar"/>
    <s v="Urban Meals"/>
    <s v="Indian"/>
    <s v="Masala Dosa"/>
    <s v="Veg"/>
    <n v="3"/>
    <n v="298"/>
    <n v="894"/>
    <n v="20"/>
    <s v="Card"/>
    <n v="4.7"/>
    <x v="3"/>
    <n v="37"/>
    <n v="2024"/>
  </r>
  <r>
    <s v="CUST_563"/>
    <s v="O1519"/>
    <d v="2024-08-01T00:00:00"/>
    <s v="Mumbai"/>
    <s v="Goregaon"/>
    <s v="Café Delight"/>
    <s v="Indian"/>
    <s v="Chicken Biryani"/>
    <s v="Non-Veg"/>
    <n v="5"/>
    <n v="390"/>
    <n v="1950"/>
    <n v="38"/>
    <s v="Card"/>
    <n v="3.3"/>
    <x v="9"/>
    <n v="31"/>
    <n v="2024"/>
  </r>
  <r>
    <s v="CUST_564"/>
    <s v="O1520"/>
    <d v="2024-02-12T00:00:00"/>
    <s v="Delhi"/>
    <s v="Karol Bagh"/>
    <s v="Burger Hub"/>
    <s v="Chinese"/>
    <s v="Pasta"/>
    <s v="Veg"/>
    <n v="5"/>
    <n v="180"/>
    <n v="900"/>
    <n v="37"/>
    <s v="COD"/>
    <n v="4.4000000000000004"/>
    <x v="8"/>
    <n v="7"/>
    <n v="2024"/>
  </r>
  <r>
    <s v="CUST_564"/>
    <s v="O1521"/>
    <d v="2024-01-22T00:00:00"/>
    <s v="Delhi"/>
    <s v="Rohini"/>
    <s v="Biryani House"/>
    <s v="Italian"/>
    <s v="Chicken Roll"/>
    <s v="Non-Veg"/>
    <n v="1"/>
    <n v="198"/>
    <n v="198"/>
    <n v="52"/>
    <s v="Card"/>
    <n v="4.2"/>
    <x v="6"/>
    <n v="4"/>
    <n v="2024"/>
  </r>
  <r>
    <s v="CUST_564"/>
    <s v="O1522"/>
    <d v="2024-02-10T00:00:00"/>
    <s v="Bangalore"/>
    <s v="Indiranagar"/>
    <s v="Pizza Planet"/>
    <s v="South Indian"/>
    <s v="Sandwich"/>
    <s v="Veg"/>
    <n v="3"/>
    <n v="299"/>
    <n v="897"/>
    <n v="45"/>
    <s v="Card"/>
    <n v="4.7"/>
    <x v="8"/>
    <n v="6"/>
    <n v="2024"/>
  </r>
  <r>
    <s v="CUST_564"/>
    <s v="O1523"/>
    <d v="2024-08-05T00:00:00"/>
    <s v="Chennai"/>
    <s v="Anna Nagar"/>
    <s v="South Spice"/>
    <s v="Fast Food"/>
    <s v="Sandwich"/>
    <s v="Veg"/>
    <n v="2"/>
    <n v="438"/>
    <n v="876"/>
    <n v="37"/>
    <s v="Card"/>
    <n v="4.0999999999999996"/>
    <x v="9"/>
    <n v="32"/>
    <n v="2024"/>
  </r>
  <r>
    <s v="CUST_565"/>
    <s v="O1524"/>
    <d v="2024-03-20T00:00:00"/>
    <s v="Hyderabad"/>
    <s v="Begumpet"/>
    <s v="Burger Hub"/>
    <s v="Chinese"/>
    <s v="Paneer Tikka"/>
    <s v="Veg"/>
    <n v="5"/>
    <n v="257"/>
    <n v="1285"/>
    <n v="54"/>
    <s v="UPI"/>
    <n v="4.0999999999999996"/>
    <x v="4"/>
    <n v="12"/>
    <n v="2024"/>
  </r>
  <r>
    <s v="CUST_565"/>
    <s v="O1525"/>
    <d v="2024-02-16T00:00:00"/>
    <s v="Delhi"/>
    <s v="Karol Bagh"/>
    <s v="Grill Masters"/>
    <s v="Italian"/>
    <s v="Veg Burger"/>
    <s v="Veg"/>
    <n v="3"/>
    <n v="272"/>
    <n v="816"/>
    <n v="30"/>
    <s v="Card"/>
    <n v="4.5"/>
    <x v="8"/>
    <n v="7"/>
    <n v="2024"/>
  </r>
  <r>
    <s v="CUST_566"/>
    <s v="O1526"/>
    <d v="2024-08-16T00:00:00"/>
    <s v="Mumbai"/>
    <s v="Bandra"/>
    <s v="Café Delight"/>
    <s v="Chinese"/>
    <s v="Momos"/>
    <s v="Veg"/>
    <n v="2"/>
    <n v="249"/>
    <n v="498"/>
    <n v="31"/>
    <s v="UPI"/>
    <n v="3.6"/>
    <x v="9"/>
    <n v="33"/>
    <n v="2024"/>
  </r>
  <r>
    <s v="CUST_566"/>
    <s v="O1527"/>
    <d v="2024-07-04T00:00:00"/>
    <s v="Bangalore"/>
    <s v="Indiranagar"/>
    <s v="Urban Meals"/>
    <s v="Indian"/>
    <s v="Chicken Biryani"/>
    <s v="Non-Veg"/>
    <n v="5"/>
    <n v="297"/>
    <n v="1485"/>
    <n v="21"/>
    <s v="COD"/>
    <n v="5"/>
    <x v="1"/>
    <n v="27"/>
    <n v="2024"/>
  </r>
  <r>
    <s v="CUST_566"/>
    <s v="O1528"/>
    <d v="2024-05-03T00:00:00"/>
    <s v="Hyderabad"/>
    <s v="Begumpet"/>
    <s v="Grill Masters"/>
    <s v="Indian"/>
    <s v="Fried Rice"/>
    <s v="Veg"/>
    <n v="4"/>
    <n v="402"/>
    <n v="1608"/>
    <n v="22"/>
    <s v="UPI"/>
    <n v="3.7"/>
    <x v="5"/>
    <n v="18"/>
    <n v="2024"/>
  </r>
  <r>
    <s v="CUST_566"/>
    <s v="O1529"/>
    <d v="2024-08-13T00:00:00"/>
    <s v="Delhi"/>
    <s v="Dwarka"/>
    <s v="Urban Meals"/>
    <s v="Fast Food"/>
    <s v="Chicken Roll"/>
    <s v="Non-Veg"/>
    <n v="2"/>
    <n v="266"/>
    <n v="532"/>
    <n v="51"/>
    <s v="UPI"/>
    <n v="3.4"/>
    <x v="9"/>
    <n v="33"/>
    <n v="2024"/>
  </r>
  <r>
    <s v="CUST_566"/>
    <s v="O1530"/>
    <d v="2024-04-16T00:00:00"/>
    <s v="Chennai"/>
    <s v="T Nagar"/>
    <s v="Pizza Planet"/>
    <s v="South Indian"/>
    <s v="Chicken Roll"/>
    <s v="Non-Veg"/>
    <n v="5"/>
    <n v="336"/>
    <n v="1680"/>
    <n v="53"/>
    <s v="UPI"/>
    <n v="3"/>
    <x v="2"/>
    <n v="16"/>
    <n v="2024"/>
  </r>
  <r>
    <s v="CUST_567"/>
    <s v="O1531"/>
    <d v="2024-07-08T00:00:00"/>
    <s v="Hyderabad"/>
    <s v="Begumpet"/>
    <s v="Biryani House"/>
    <s v="South Indian"/>
    <s v="Sandwich"/>
    <s v="Veg"/>
    <n v="1"/>
    <n v="139"/>
    <n v="139"/>
    <n v="59"/>
    <s v="UPI"/>
    <n v="3.9"/>
    <x v="1"/>
    <n v="28"/>
    <n v="2024"/>
  </r>
  <r>
    <s v="CUST_567"/>
    <s v="O1532"/>
    <d v="2024-08-19T00:00:00"/>
    <s v="Mumbai"/>
    <s v="Powai"/>
    <s v="Café Delight"/>
    <s v="Italian"/>
    <s v="Chicken Roll"/>
    <s v="Non-Veg"/>
    <n v="4"/>
    <n v="194"/>
    <n v="776"/>
    <n v="56"/>
    <s v="UPI"/>
    <n v="3.1"/>
    <x v="9"/>
    <n v="34"/>
    <n v="2024"/>
  </r>
  <r>
    <s v="CUST_567"/>
    <s v="O1533"/>
    <d v="2024-05-05T00:00:00"/>
    <s v="Mumbai"/>
    <s v="Andheri"/>
    <s v="Burger Hub"/>
    <s v="South Indian"/>
    <s v="Chicken Roll"/>
    <s v="Non-Veg"/>
    <n v="2"/>
    <n v="245"/>
    <n v="490"/>
    <n v="25"/>
    <s v="COD"/>
    <n v="5"/>
    <x v="5"/>
    <n v="19"/>
    <n v="2024"/>
  </r>
  <r>
    <s v="CUST_567"/>
    <s v="O1534"/>
    <d v="2024-02-13T00:00:00"/>
    <s v="Bangalore"/>
    <s v="Whitefield"/>
    <s v="Biryani House"/>
    <s v="North Indian"/>
    <s v="Momos"/>
    <s v="Veg"/>
    <n v="2"/>
    <n v="308"/>
    <n v="616"/>
    <n v="28"/>
    <s v="Card"/>
    <n v="4.4000000000000004"/>
    <x v="8"/>
    <n v="7"/>
    <n v="2024"/>
  </r>
  <r>
    <s v="CUST_567"/>
    <s v="O1535"/>
    <d v="2024-06-01T00:00:00"/>
    <s v="Delhi"/>
    <s v="Rohini"/>
    <s v="Urban Meals"/>
    <s v="South Indian"/>
    <s v="Pasta"/>
    <s v="Veg"/>
    <n v="3"/>
    <n v="167"/>
    <n v="501"/>
    <n v="48"/>
    <s v="COD"/>
    <n v="4"/>
    <x v="7"/>
    <n v="22"/>
    <n v="2024"/>
  </r>
  <r>
    <s v="CUST_568"/>
    <s v="O1536"/>
    <d v="2024-07-24T00:00:00"/>
    <s v="Chennai"/>
    <s v="Adyar"/>
    <s v="Café Delight"/>
    <s v="South Indian"/>
    <s v="Pasta"/>
    <s v="Veg"/>
    <n v="3"/>
    <n v="122"/>
    <n v="366"/>
    <n v="28"/>
    <s v="Card"/>
    <n v="3.5"/>
    <x v="1"/>
    <n v="30"/>
    <n v="2024"/>
  </r>
  <r>
    <s v="CUST_568"/>
    <s v="O1537"/>
    <d v="2024-10-17T00:00:00"/>
    <s v="Bangalore"/>
    <s v="Jayanagar"/>
    <s v="Burger Hub"/>
    <s v="Chinese"/>
    <s v="Sandwich"/>
    <s v="Veg"/>
    <n v="4"/>
    <n v="298"/>
    <n v="1192"/>
    <n v="20"/>
    <s v="UPI"/>
    <n v="3.1"/>
    <x v="0"/>
    <n v="42"/>
    <n v="2024"/>
  </r>
  <r>
    <s v="CUST_569"/>
    <s v="O1538"/>
    <d v="2024-10-23T00:00:00"/>
    <s v="Mumbai"/>
    <s v="Goregaon"/>
    <s v="Pizza Planet"/>
    <s v="North Indian"/>
    <s v="Pizza"/>
    <s v="Veg"/>
    <n v="1"/>
    <n v="458"/>
    <n v="458"/>
    <n v="49"/>
    <s v="UPI"/>
    <n v="3.9"/>
    <x v="0"/>
    <n v="43"/>
    <n v="2024"/>
  </r>
  <r>
    <s v="CUST_569"/>
    <s v="O1539"/>
    <d v="2024-07-18T00:00:00"/>
    <s v="Mumbai"/>
    <s v="Bandra"/>
    <s v="Pizza Planet"/>
    <s v="Italian"/>
    <s v="Chicken Biryani"/>
    <s v="Non-Veg"/>
    <n v="3"/>
    <n v="104"/>
    <n v="312"/>
    <n v="27"/>
    <s v="Card"/>
    <n v="3.9"/>
    <x v="1"/>
    <n v="29"/>
    <n v="2024"/>
  </r>
  <r>
    <s v="CUST_569"/>
    <s v="O1540"/>
    <d v="2024-04-21T00:00:00"/>
    <s v="Bangalore"/>
    <s v="Jayanagar"/>
    <s v="Urban Meals"/>
    <s v="Indian"/>
    <s v="Pasta"/>
    <s v="Veg"/>
    <n v="4"/>
    <n v="225"/>
    <n v="900"/>
    <n v="25"/>
    <s v="UPI"/>
    <n v="4.5"/>
    <x v="2"/>
    <n v="17"/>
    <n v="2024"/>
  </r>
  <r>
    <s v="CUST_569"/>
    <s v="O1541"/>
    <d v="2024-04-08T00:00:00"/>
    <s v="Delhi"/>
    <s v="Saket"/>
    <s v="Biryani House"/>
    <s v="North Indian"/>
    <s v="Pizza"/>
    <s v="Veg"/>
    <n v="2"/>
    <n v="106"/>
    <n v="212"/>
    <n v="55"/>
    <s v="COD"/>
    <n v="3.4"/>
    <x v="2"/>
    <n v="15"/>
    <n v="2024"/>
  </r>
  <r>
    <s v="CUST_570"/>
    <s v="O1542"/>
    <d v="2024-02-19T00:00:00"/>
    <s v="Chennai"/>
    <s v="Tambaram"/>
    <s v="Tandoori Tales"/>
    <s v="South Indian"/>
    <s v="Sandwich"/>
    <s v="Veg"/>
    <n v="5"/>
    <n v="337"/>
    <n v="1685"/>
    <n v="20"/>
    <s v="COD"/>
    <n v="3.2"/>
    <x v="8"/>
    <n v="8"/>
    <n v="2024"/>
  </r>
  <r>
    <s v="CUST_570"/>
    <s v="O1543"/>
    <d v="2024-02-16T00:00:00"/>
    <s v="Mumbai"/>
    <s v="Goregaon"/>
    <s v="Sandwich Stop"/>
    <s v="Italian"/>
    <s v="Momos"/>
    <s v="Veg"/>
    <n v="3"/>
    <n v="332"/>
    <n v="996"/>
    <n v="35"/>
    <s v="UPI"/>
    <n v="3.8"/>
    <x v="8"/>
    <n v="7"/>
    <n v="2024"/>
  </r>
  <r>
    <s v="CUST_570"/>
    <s v="O1544"/>
    <d v="2024-09-12T00:00:00"/>
    <s v="Chennai"/>
    <s v="T Nagar"/>
    <s v="Sandwich Stop"/>
    <s v="South Indian"/>
    <s v="Chicken Roll"/>
    <s v="Non-Veg"/>
    <n v="1"/>
    <n v="344"/>
    <n v="344"/>
    <n v="26"/>
    <s v="COD"/>
    <n v="4.5"/>
    <x v="3"/>
    <n v="37"/>
    <n v="2024"/>
  </r>
  <r>
    <s v="CUST_571"/>
    <s v="O1545"/>
    <d v="2024-10-26T00:00:00"/>
    <s v="Delhi"/>
    <s v="Dwarka"/>
    <s v="Pizza Planet"/>
    <s v="Chinese"/>
    <s v="Pizza"/>
    <s v="Veg"/>
    <n v="1"/>
    <n v="408"/>
    <n v="408"/>
    <n v="56"/>
    <s v="UPI"/>
    <n v="4.0999999999999996"/>
    <x v="0"/>
    <n v="43"/>
    <n v="2024"/>
  </r>
  <r>
    <s v="CUST_571"/>
    <s v="O1546"/>
    <d v="2024-07-31T00:00:00"/>
    <s v="Bangalore"/>
    <s v="Jayanagar"/>
    <s v="Burger Hub"/>
    <s v="Fast Food"/>
    <s v="Veg Burger"/>
    <s v="Veg"/>
    <n v="5"/>
    <n v="187"/>
    <n v="935"/>
    <n v="36"/>
    <s v="COD"/>
    <n v="4.7"/>
    <x v="1"/>
    <n v="31"/>
    <n v="2024"/>
  </r>
  <r>
    <s v="CUST_571"/>
    <s v="O1547"/>
    <d v="2024-01-11T00:00:00"/>
    <s v="Hyderabad"/>
    <s v="Kukatpally"/>
    <s v="Café Delight"/>
    <s v="Chinese"/>
    <s v="Veg Burger"/>
    <s v="Veg"/>
    <n v="4"/>
    <n v="222"/>
    <n v="888"/>
    <n v="31"/>
    <s v="UPI"/>
    <n v="3.3"/>
    <x v="6"/>
    <n v="2"/>
    <n v="2024"/>
  </r>
  <r>
    <s v="CUST_571"/>
    <s v="O1548"/>
    <d v="2024-09-19T00:00:00"/>
    <s v="Hyderabad"/>
    <s v="Begumpet"/>
    <s v="Sandwich Stop"/>
    <s v="Chinese"/>
    <s v="Pasta"/>
    <s v="Veg"/>
    <n v="1"/>
    <n v="360"/>
    <n v="360"/>
    <n v="46"/>
    <s v="UPI"/>
    <n v="4.4000000000000004"/>
    <x v="3"/>
    <n v="38"/>
    <n v="2024"/>
  </r>
  <r>
    <s v="CUST_571"/>
    <s v="O1549"/>
    <d v="2024-03-27T00:00:00"/>
    <s v="Chennai"/>
    <s v="Tambaram"/>
    <s v="Pizza Planet"/>
    <s v="South Indian"/>
    <s v="Sandwich"/>
    <s v="Veg"/>
    <n v="3"/>
    <n v="425"/>
    <n v="1275"/>
    <n v="57"/>
    <s v="UPI"/>
    <n v="4.2"/>
    <x v="4"/>
    <n v="13"/>
    <n v="2024"/>
  </r>
  <r>
    <s v="CUST_572"/>
    <s v="O1550"/>
    <d v="2024-04-09T00:00:00"/>
    <s v="Bangalore"/>
    <s v="Jayanagar"/>
    <s v="Biryani House"/>
    <s v="Chinese"/>
    <s v="Chicken Roll"/>
    <s v="Non-Veg"/>
    <n v="3"/>
    <n v="398"/>
    <n v="1194"/>
    <n v="47"/>
    <s v="COD"/>
    <n v="4.7"/>
    <x v="2"/>
    <n v="15"/>
    <n v="2024"/>
  </r>
  <r>
    <s v="CUST_572"/>
    <s v="O1551"/>
    <d v="2024-01-20T00:00:00"/>
    <s v="Chennai"/>
    <s v="Velachery"/>
    <s v="Biryani House"/>
    <s v="Chinese"/>
    <s v="Pizza"/>
    <s v="Veg"/>
    <n v="3"/>
    <n v="172"/>
    <n v="516"/>
    <n v="47"/>
    <s v="COD"/>
    <n v="4.0999999999999996"/>
    <x v="6"/>
    <n v="3"/>
    <n v="2024"/>
  </r>
  <r>
    <s v="CUST_572"/>
    <s v="O1552"/>
    <d v="2024-06-27T00:00:00"/>
    <s v="Bangalore"/>
    <s v="Indiranagar"/>
    <s v="Chinese Bowl"/>
    <s v="Italian"/>
    <s v="Paneer Tikka"/>
    <s v="Veg"/>
    <n v="1"/>
    <n v="141"/>
    <n v="141"/>
    <n v="46"/>
    <s v="Card"/>
    <n v="4.0999999999999996"/>
    <x v="7"/>
    <n v="26"/>
    <n v="2024"/>
  </r>
  <r>
    <s v="CUST_573"/>
    <s v="O1553"/>
    <d v="2024-08-29T00:00:00"/>
    <s v="Hyderabad"/>
    <s v="Madhapur"/>
    <s v="Pizza Planet"/>
    <s v="Indian"/>
    <s v="Fried Rice"/>
    <s v="Veg"/>
    <n v="1"/>
    <n v="158"/>
    <n v="158"/>
    <n v="53"/>
    <s v="UPI"/>
    <n v="4.5"/>
    <x v="9"/>
    <n v="35"/>
    <n v="2024"/>
  </r>
  <r>
    <s v="CUST_573"/>
    <s v="O1554"/>
    <d v="2024-06-03T00:00:00"/>
    <s v="Delhi"/>
    <s v="Dwarka"/>
    <s v="Burger Hub"/>
    <s v="Italian"/>
    <s v="Chicken Biryani"/>
    <s v="Non-Veg"/>
    <n v="4"/>
    <n v="284"/>
    <n v="1136"/>
    <n v="35"/>
    <s v="Card"/>
    <n v="3.6"/>
    <x v="7"/>
    <n v="23"/>
    <n v="2024"/>
  </r>
  <r>
    <s v="CUST_573"/>
    <s v="O1555"/>
    <d v="2024-08-18T00:00:00"/>
    <s v="Hyderabad"/>
    <s v="Secunderabad"/>
    <s v="Biryani House"/>
    <s v="Indian"/>
    <s v="Veg Burger"/>
    <s v="Veg"/>
    <n v="4"/>
    <n v="498"/>
    <n v="1992"/>
    <n v="22"/>
    <s v="COD"/>
    <n v="5"/>
    <x v="9"/>
    <n v="34"/>
    <n v="2024"/>
  </r>
  <r>
    <s v="CUST_574"/>
    <s v="O1556"/>
    <d v="2024-09-22T00:00:00"/>
    <s v="Hyderabad"/>
    <s v="Madhapur"/>
    <s v="Chinese Bowl"/>
    <s v="Chinese"/>
    <s v="Masala Dosa"/>
    <s v="Veg"/>
    <n v="3"/>
    <n v="298"/>
    <n v="894"/>
    <n v="20"/>
    <s v="Card"/>
    <n v="3.7"/>
    <x v="3"/>
    <n v="39"/>
    <n v="2024"/>
  </r>
  <r>
    <s v="CUST_574"/>
    <s v="O1557"/>
    <d v="2024-01-03T00:00:00"/>
    <s v="Hyderabad"/>
    <s v="Begumpet"/>
    <s v="Chinese Bowl"/>
    <s v="Italian"/>
    <s v="Chicken Biryani"/>
    <s v="Non-Veg"/>
    <n v="5"/>
    <n v="390"/>
    <n v="1950"/>
    <n v="38"/>
    <s v="Card"/>
    <n v="3.4"/>
    <x v="6"/>
    <n v="1"/>
    <n v="2024"/>
  </r>
  <r>
    <s v="CUST_574"/>
    <s v="O1558"/>
    <d v="2024-07-31T00:00:00"/>
    <s v="Bangalore"/>
    <s v="Indiranagar"/>
    <s v="Sandwich Stop"/>
    <s v="North Indian"/>
    <s v="Pasta"/>
    <s v="Veg"/>
    <n v="5"/>
    <n v="180"/>
    <n v="900"/>
    <n v="37"/>
    <s v="COD"/>
    <n v="3"/>
    <x v="1"/>
    <n v="31"/>
    <n v="2024"/>
  </r>
  <r>
    <s v="CUST_575"/>
    <s v="O1559"/>
    <d v="2024-04-06T00:00:00"/>
    <s v="Hyderabad"/>
    <s v="Banjara Hills"/>
    <s v="South Spice"/>
    <s v="South Indian"/>
    <s v="Chicken Roll"/>
    <s v="Non-Veg"/>
    <n v="1"/>
    <n v="198"/>
    <n v="198"/>
    <n v="52"/>
    <s v="Card"/>
    <n v="3.9"/>
    <x v="2"/>
    <n v="14"/>
    <n v="2024"/>
  </r>
  <r>
    <s v="CUST_575"/>
    <s v="O1560"/>
    <d v="2024-02-15T00:00:00"/>
    <s v="Mumbai"/>
    <s v="Goregaon"/>
    <s v="Biryani House"/>
    <s v="North Indian"/>
    <s v="Sandwich"/>
    <s v="Veg"/>
    <n v="3"/>
    <n v="299"/>
    <n v="897"/>
    <n v="45"/>
    <s v="Card"/>
    <n v="3.1"/>
    <x v="8"/>
    <n v="7"/>
    <n v="2024"/>
  </r>
  <r>
    <s v="CUST_575"/>
    <s v="O1561"/>
    <d v="2024-07-21T00:00:00"/>
    <s v="Mumbai"/>
    <s v="Powai"/>
    <s v="Grill Masters"/>
    <s v="Chinese"/>
    <s v="Sandwich"/>
    <s v="Veg"/>
    <n v="2"/>
    <n v="438"/>
    <n v="876"/>
    <n v="37"/>
    <s v="Card"/>
    <n v="5"/>
    <x v="1"/>
    <n v="30"/>
    <n v="2024"/>
  </r>
  <r>
    <s v="CUST_575"/>
    <s v="O1562"/>
    <d v="2024-06-11T00:00:00"/>
    <s v="Bangalore"/>
    <s v="Koramangala"/>
    <s v="Sandwich Stop"/>
    <s v="Indian"/>
    <s v="Paneer Tikka"/>
    <s v="Veg"/>
    <n v="5"/>
    <n v="257"/>
    <n v="1285"/>
    <n v="54"/>
    <s v="UPI"/>
    <n v="4.4000000000000004"/>
    <x v="7"/>
    <n v="24"/>
    <n v="2024"/>
  </r>
  <r>
    <s v="CUST_576"/>
    <s v="O1563"/>
    <d v="2024-10-12T00:00:00"/>
    <s v="Mumbai"/>
    <s v="Bandra"/>
    <s v="Chinese Bowl"/>
    <s v="Indian"/>
    <s v="Veg Burger"/>
    <s v="Veg"/>
    <n v="3"/>
    <n v="272"/>
    <n v="816"/>
    <n v="30"/>
    <s v="Card"/>
    <n v="4"/>
    <x v="0"/>
    <n v="41"/>
    <n v="2024"/>
  </r>
  <r>
    <s v="CUST_576"/>
    <s v="O1564"/>
    <d v="2024-06-05T00:00:00"/>
    <s v="Delhi"/>
    <s v="Dwarka"/>
    <s v="Burger Hub"/>
    <s v="Indian"/>
    <s v="Momos"/>
    <s v="Veg"/>
    <n v="2"/>
    <n v="249"/>
    <n v="498"/>
    <n v="31"/>
    <s v="UPI"/>
    <n v="3.5"/>
    <x v="7"/>
    <n v="23"/>
    <n v="2024"/>
  </r>
  <r>
    <s v="CUST_576"/>
    <s v="O1565"/>
    <d v="2024-06-13T00:00:00"/>
    <s v="Bangalore"/>
    <s v="Koramangala"/>
    <s v="Urban Meals"/>
    <s v="Chinese"/>
    <s v="Chicken Biryani"/>
    <s v="Non-Veg"/>
    <n v="5"/>
    <n v="297"/>
    <n v="1485"/>
    <n v="21"/>
    <s v="COD"/>
    <n v="3.1"/>
    <x v="7"/>
    <n v="24"/>
    <n v="2024"/>
  </r>
  <r>
    <s v="CUST_576"/>
    <s v="O1566"/>
    <d v="2024-10-04T00:00:00"/>
    <s v="Delhi"/>
    <s v="Rohini"/>
    <s v="Chinese Bowl"/>
    <s v="Fast Food"/>
    <s v="Fried Rice"/>
    <s v="Veg"/>
    <n v="4"/>
    <n v="402"/>
    <n v="1608"/>
    <n v="22"/>
    <s v="UPI"/>
    <n v="3.9"/>
    <x v="0"/>
    <n v="40"/>
    <n v="2024"/>
  </r>
  <r>
    <s v="CUST_576"/>
    <s v="O1567"/>
    <d v="2024-03-06T00:00:00"/>
    <s v="Delhi"/>
    <s v="Saket"/>
    <s v="Burger Hub"/>
    <s v="North Indian"/>
    <s v="Chicken Roll"/>
    <s v="Non-Veg"/>
    <n v="2"/>
    <n v="266"/>
    <n v="532"/>
    <n v="51"/>
    <s v="UPI"/>
    <n v="3.9"/>
    <x v="4"/>
    <n v="10"/>
    <n v="2024"/>
  </r>
  <r>
    <s v="CUST_577"/>
    <s v="O1568"/>
    <d v="2024-02-27T00:00:00"/>
    <s v="Mumbai"/>
    <s v="Bandra"/>
    <s v="Pizza Planet"/>
    <s v="Chinese"/>
    <s v="Chicken Roll"/>
    <s v="Non-Veg"/>
    <n v="5"/>
    <n v="336"/>
    <n v="1680"/>
    <n v="53"/>
    <s v="UPI"/>
    <n v="4.5"/>
    <x v="8"/>
    <n v="9"/>
    <n v="2024"/>
  </r>
  <r>
    <s v="CUST_577"/>
    <s v="O1569"/>
    <d v="2024-02-02T00:00:00"/>
    <s v="Mumbai"/>
    <s v="Bandra"/>
    <s v="Pizza Planet"/>
    <s v="North Indian"/>
    <s v="Sandwich"/>
    <s v="Veg"/>
    <n v="1"/>
    <n v="139"/>
    <n v="139"/>
    <n v="59"/>
    <s v="UPI"/>
    <n v="3.4"/>
    <x v="8"/>
    <n v="5"/>
    <n v="2024"/>
  </r>
  <r>
    <s v="CUST_577"/>
    <s v="O1570"/>
    <d v="2024-05-14T00:00:00"/>
    <s v="Mumbai"/>
    <s v="Powai"/>
    <s v="Burger Hub"/>
    <s v="Fast Food"/>
    <s v="Chicken Roll"/>
    <s v="Non-Veg"/>
    <n v="4"/>
    <n v="194"/>
    <n v="776"/>
    <n v="56"/>
    <s v="UPI"/>
    <n v="3.2"/>
    <x v="5"/>
    <n v="20"/>
    <n v="2024"/>
  </r>
  <r>
    <s v="CUST_577"/>
    <s v="O1571"/>
    <d v="2024-04-08T00:00:00"/>
    <s v="Chennai"/>
    <s v="Anna Nagar"/>
    <s v="Pizza Planet"/>
    <s v="Indian"/>
    <s v="Chicken Roll"/>
    <s v="Non-Veg"/>
    <n v="2"/>
    <n v="245"/>
    <n v="490"/>
    <n v="25"/>
    <s v="COD"/>
    <n v="3.8"/>
    <x v="2"/>
    <n v="15"/>
    <n v="2024"/>
  </r>
  <r>
    <s v="CUST_578"/>
    <s v="O1572"/>
    <d v="2024-10-03T00:00:00"/>
    <s v="Bangalore"/>
    <s v="Indiranagar"/>
    <s v="Biryani House"/>
    <s v="South Indian"/>
    <s v="Momos"/>
    <s v="Veg"/>
    <n v="2"/>
    <n v="308"/>
    <n v="616"/>
    <n v="28"/>
    <s v="Card"/>
    <n v="4.5"/>
    <x v="0"/>
    <n v="40"/>
    <n v="2024"/>
  </r>
  <r>
    <s v="CUST_578"/>
    <s v="O1573"/>
    <d v="2024-03-03T00:00:00"/>
    <s v="Delhi"/>
    <s v="Rohini"/>
    <s v="Sandwich Stop"/>
    <s v="Italian"/>
    <s v="Pasta"/>
    <s v="Veg"/>
    <n v="3"/>
    <n v="167"/>
    <n v="501"/>
    <n v="48"/>
    <s v="COD"/>
    <n v="4.0999999999999996"/>
    <x v="4"/>
    <n v="10"/>
    <n v="2024"/>
  </r>
  <r>
    <s v="CUST_578"/>
    <s v="O1574"/>
    <d v="2024-02-05T00:00:00"/>
    <s v="Bangalore"/>
    <s v="Jayanagar"/>
    <s v="Burger Hub"/>
    <s v="Italian"/>
    <s v="Pasta"/>
    <s v="Veg"/>
    <n v="3"/>
    <n v="122"/>
    <n v="366"/>
    <n v="28"/>
    <s v="Card"/>
    <n v="4.7"/>
    <x v="8"/>
    <n v="6"/>
    <n v="2024"/>
  </r>
  <r>
    <s v="CUST_579"/>
    <s v="O1575"/>
    <d v="2024-09-25T00:00:00"/>
    <s v="Bangalore"/>
    <s v="Jayanagar"/>
    <s v="Chinese Bowl"/>
    <s v="Italian"/>
    <s v="Sandwich"/>
    <s v="Veg"/>
    <n v="4"/>
    <n v="298"/>
    <n v="1192"/>
    <n v="20"/>
    <s v="UPI"/>
    <n v="3.3"/>
    <x v="3"/>
    <n v="39"/>
    <n v="2024"/>
  </r>
  <r>
    <s v="CUST_579"/>
    <s v="O1576"/>
    <d v="2024-05-10T00:00:00"/>
    <s v="Bangalore"/>
    <s v="Koramangala"/>
    <s v="Café Delight"/>
    <s v="Indian"/>
    <s v="Pizza"/>
    <s v="Veg"/>
    <n v="1"/>
    <n v="458"/>
    <n v="458"/>
    <n v="49"/>
    <s v="UPI"/>
    <n v="4.4000000000000004"/>
    <x v="5"/>
    <n v="19"/>
    <n v="2024"/>
  </r>
  <r>
    <s v="CUST_579"/>
    <s v="O1577"/>
    <d v="2024-10-11T00:00:00"/>
    <s v="Delhi"/>
    <s v="Karol Bagh"/>
    <s v="Pizza Planet"/>
    <s v="Indian"/>
    <s v="Chicken Biryani"/>
    <s v="Non-Veg"/>
    <n v="3"/>
    <n v="104"/>
    <n v="312"/>
    <n v="27"/>
    <s v="Card"/>
    <n v="4.2"/>
    <x v="0"/>
    <n v="41"/>
    <n v="2024"/>
  </r>
  <r>
    <s v="CUST_579"/>
    <s v="O1578"/>
    <d v="2024-09-03T00:00:00"/>
    <s v="Delhi"/>
    <s v="Rohini"/>
    <s v="South Spice"/>
    <s v="Italian"/>
    <s v="Pasta"/>
    <s v="Veg"/>
    <n v="4"/>
    <n v="225"/>
    <n v="900"/>
    <n v="25"/>
    <s v="UPI"/>
    <n v="4.7"/>
    <x v="3"/>
    <n v="36"/>
    <n v="2024"/>
  </r>
  <r>
    <s v="CUST_579"/>
    <s v="O1579"/>
    <d v="2024-01-23T00:00:00"/>
    <s v="Delhi"/>
    <s v="Rohini"/>
    <s v="Burger Hub"/>
    <s v="Italian"/>
    <s v="Pizza"/>
    <s v="Veg"/>
    <n v="2"/>
    <n v="106"/>
    <n v="212"/>
    <n v="55"/>
    <s v="COD"/>
    <n v="4.0999999999999996"/>
    <x v="6"/>
    <n v="4"/>
    <n v="2024"/>
  </r>
  <r>
    <s v="CUST_580"/>
    <s v="O1580"/>
    <d v="2024-01-12T00:00:00"/>
    <s v="Chennai"/>
    <s v="Velachery"/>
    <s v="Biryani House"/>
    <s v="Fast Food"/>
    <s v="Sandwich"/>
    <s v="Veg"/>
    <n v="5"/>
    <n v="337"/>
    <n v="1685"/>
    <n v="20"/>
    <s v="COD"/>
    <n v="4.0999999999999996"/>
    <x v="6"/>
    <n v="2"/>
    <n v="2024"/>
  </r>
  <r>
    <s v="CUST_580"/>
    <s v="O1581"/>
    <d v="2024-04-16T00:00:00"/>
    <s v="Hyderabad"/>
    <s v="Kukatpally"/>
    <s v="South Spice"/>
    <s v="North Indian"/>
    <s v="Momos"/>
    <s v="Veg"/>
    <n v="3"/>
    <n v="332"/>
    <n v="996"/>
    <n v="35"/>
    <s v="UPI"/>
    <n v="4.5"/>
    <x v="2"/>
    <n v="16"/>
    <n v="2024"/>
  </r>
  <r>
    <s v="CUST_580"/>
    <s v="O1582"/>
    <d v="2024-02-20T00:00:00"/>
    <s v="Delhi"/>
    <s v="Saket"/>
    <s v="Tandoori Tales"/>
    <s v="Italian"/>
    <s v="Chicken Roll"/>
    <s v="Non-Veg"/>
    <n v="1"/>
    <n v="344"/>
    <n v="344"/>
    <n v="26"/>
    <s v="COD"/>
    <n v="3.6"/>
    <x v="8"/>
    <n v="8"/>
    <n v="2024"/>
  </r>
  <r>
    <s v="CUST_580"/>
    <s v="O1583"/>
    <d v="2024-01-26T00:00:00"/>
    <s v="Mumbai"/>
    <s v="Goregaon"/>
    <s v="Tandoori Tales"/>
    <s v="Fast Food"/>
    <s v="Pizza"/>
    <s v="Veg"/>
    <n v="1"/>
    <n v="408"/>
    <n v="408"/>
    <n v="56"/>
    <s v="UPI"/>
    <n v="5"/>
    <x v="6"/>
    <n v="4"/>
    <n v="2024"/>
  </r>
  <r>
    <s v="CUST_580"/>
    <s v="O1584"/>
    <d v="2024-07-22T00:00:00"/>
    <s v="Bangalore"/>
    <s v="Whitefield"/>
    <s v="Chinese Bowl"/>
    <s v="Italian"/>
    <s v="Veg Burger"/>
    <s v="Veg"/>
    <n v="5"/>
    <n v="187"/>
    <n v="935"/>
    <n v="36"/>
    <s v="COD"/>
    <n v="3.7"/>
    <x v="1"/>
    <n v="30"/>
    <n v="2024"/>
  </r>
  <r>
    <s v="CUST_581"/>
    <s v="O1585"/>
    <d v="2024-07-08T00:00:00"/>
    <s v="Bangalore"/>
    <s v="Jayanagar"/>
    <s v="Tandoori Tales"/>
    <s v="Fast Food"/>
    <s v="Veg Burger"/>
    <s v="Veg"/>
    <n v="4"/>
    <n v="222"/>
    <n v="888"/>
    <n v="31"/>
    <s v="UPI"/>
    <n v="3.4"/>
    <x v="1"/>
    <n v="28"/>
    <n v="2024"/>
  </r>
  <r>
    <s v="CUST_581"/>
    <s v="O1586"/>
    <d v="2024-06-02T00:00:00"/>
    <s v="Mumbai"/>
    <s v="Andheri"/>
    <s v="Burger Hub"/>
    <s v="Indian"/>
    <s v="Pasta"/>
    <s v="Veg"/>
    <n v="1"/>
    <n v="360"/>
    <n v="360"/>
    <n v="46"/>
    <s v="UPI"/>
    <n v="3"/>
    <x v="7"/>
    <n v="23"/>
    <n v="2024"/>
  </r>
  <r>
    <s v="CUST_582"/>
    <s v="O1587"/>
    <d v="2024-05-19T00:00:00"/>
    <s v="Hyderabad"/>
    <s v="Banjara Hills"/>
    <s v="Café Delight"/>
    <s v="Fast Food"/>
    <s v="Sandwich"/>
    <s v="Veg"/>
    <n v="3"/>
    <n v="425"/>
    <n v="1275"/>
    <n v="57"/>
    <s v="UPI"/>
    <n v="3.9"/>
    <x v="5"/>
    <n v="21"/>
    <n v="2024"/>
  </r>
  <r>
    <s v="CUST_582"/>
    <s v="O1588"/>
    <d v="2024-07-22T00:00:00"/>
    <s v="Chennai"/>
    <s v="Tambaram"/>
    <s v="Pizza Planet"/>
    <s v="North Indian"/>
    <s v="Chicken Roll"/>
    <s v="Non-Veg"/>
    <n v="3"/>
    <n v="398"/>
    <n v="1194"/>
    <n v="47"/>
    <s v="COD"/>
    <n v="3.1"/>
    <x v="1"/>
    <n v="30"/>
    <n v="2024"/>
  </r>
  <r>
    <s v="CUST_582"/>
    <s v="O1589"/>
    <d v="2024-02-02T00:00:00"/>
    <s v="Mumbai"/>
    <s v="Goregaon"/>
    <s v="Burger Hub"/>
    <s v="Indian"/>
    <s v="Pizza"/>
    <s v="Veg"/>
    <n v="3"/>
    <n v="172"/>
    <n v="516"/>
    <n v="47"/>
    <s v="COD"/>
    <n v="5"/>
    <x v="8"/>
    <n v="5"/>
    <n v="2024"/>
  </r>
  <r>
    <s v="CUST_582"/>
    <s v="O1590"/>
    <d v="2024-06-03T00:00:00"/>
    <s v="Chennai"/>
    <s v="T Nagar"/>
    <s v="Tandoori Tales"/>
    <s v="Chinese"/>
    <s v="Paneer Tikka"/>
    <s v="Veg"/>
    <n v="1"/>
    <n v="141"/>
    <n v="141"/>
    <n v="46"/>
    <s v="Card"/>
    <n v="4.4000000000000004"/>
    <x v="7"/>
    <n v="23"/>
    <n v="2024"/>
  </r>
  <r>
    <s v="CUST_582"/>
    <s v="O1591"/>
    <d v="2024-01-19T00:00:00"/>
    <s v="Delhi"/>
    <s v="Saket"/>
    <s v="Biryani House"/>
    <s v="Indian"/>
    <s v="Fried Rice"/>
    <s v="Veg"/>
    <n v="1"/>
    <n v="158"/>
    <n v="158"/>
    <n v="53"/>
    <s v="UPI"/>
    <n v="4"/>
    <x v="6"/>
    <n v="3"/>
    <n v="2024"/>
  </r>
  <r>
    <s v="CUST_583"/>
    <s v="O1592"/>
    <d v="2024-03-05T00:00:00"/>
    <s v="Mumbai"/>
    <s v="Bandra"/>
    <s v="Burger Hub"/>
    <s v="Fast Food"/>
    <s v="Chicken Biryani"/>
    <s v="Non-Veg"/>
    <n v="4"/>
    <n v="284"/>
    <n v="1136"/>
    <n v="35"/>
    <s v="Card"/>
    <n v="3.5"/>
    <x v="4"/>
    <n v="10"/>
    <n v="2024"/>
  </r>
  <r>
    <s v="CUST_583"/>
    <s v="O1593"/>
    <d v="2024-05-05T00:00:00"/>
    <s v="Chennai"/>
    <s v="T Nagar"/>
    <s v="Sandwich Stop"/>
    <s v="Italian"/>
    <s v="Veg Burger"/>
    <s v="Veg"/>
    <n v="4"/>
    <n v="498"/>
    <n v="1992"/>
    <n v="22"/>
    <s v="COD"/>
    <n v="3.1"/>
    <x v="5"/>
    <n v="19"/>
    <n v="2024"/>
  </r>
  <r>
    <s v="CUST_584"/>
    <s v="O1594"/>
    <d v="2024-06-23T00:00:00"/>
    <s v="Hyderabad"/>
    <s v="Madhapur"/>
    <s v="Grill Masters"/>
    <s v="Indian"/>
    <s v="Masala Dosa"/>
    <s v="Veg"/>
    <n v="3"/>
    <n v="298"/>
    <n v="894"/>
    <n v="20"/>
    <s v="Card"/>
    <n v="3.9"/>
    <x v="7"/>
    <n v="26"/>
    <n v="2024"/>
  </r>
  <r>
    <s v="CUST_584"/>
    <s v="O1595"/>
    <d v="2024-03-16T00:00:00"/>
    <s v="Delhi"/>
    <s v="Saket"/>
    <s v="Grill Masters"/>
    <s v="South Indian"/>
    <s v="Chicken Biryani"/>
    <s v="Non-Veg"/>
    <n v="5"/>
    <n v="390"/>
    <n v="1950"/>
    <n v="38"/>
    <s v="Card"/>
    <n v="3.9"/>
    <x v="4"/>
    <n v="11"/>
    <n v="2024"/>
  </r>
  <r>
    <s v="CUST_584"/>
    <s v="O1596"/>
    <d v="2024-08-19T00:00:00"/>
    <s v="Mumbai"/>
    <s v="Goregaon"/>
    <s v="Sandwich Stop"/>
    <s v="South Indian"/>
    <s v="Pasta"/>
    <s v="Veg"/>
    <n v="5"/>
    <n v="180"/>
    <n v="900"/>
    <n v="37"/>
    <s v="COD"/>
    <n v="3.2"/>
    <x v="9"/>
    <n v="34"/>
    <n v="2024"/>
  </r>
  <r>
    <s v="CUST_585"/>
    <s v="O1597"/>
    <d v="2024-02-16T00:00:00"/>
    <s v="Mumbai"/>
    <s v="Bandra"/>
    <s v="Chinese Bowl"/>
    <s v="Fast Food"/>
    <s v="Chicken Roll"/>
    <s v="Non-Veg"/>
    <n v="1"/>
    <n v="198"/>
    <n v="198"/>
    <n v="52"/>
    <s v="Card"/>
    <n v="3.4"/>
    <x v="8"/>
    <n v="7"/>
    <n v="2024"/>
  </r>
  <r>
    <s v="CUST_585"/>
    <s v="O1598"/>
    <d v="2024-04-17T00:00:00"/>
    <s v="Delhi"/>
    <s v="Rohini"/>
    <s v="Burger Hub"/>
    <s v="Indian"/>
    <s v="Sandwich"/>
    <s v="Veg"/>
    <n v="3"/>
    <n v="299"/>
    <n v="897"/>
    <n v="45"/>
    <s v="Card"/>
    <n v="3.2"/>
    <x v="2"/>
    <n v="16"/>
    <n v="2024"/>
  </r>
  <r>
    <s v="CUST_585"/>
    <s v="O1599"/>
    <d v="2024-09-23T00:00:00"/>
    <s v="Delhi"/>
    <s v="Rohini"/>
    <s v="Urban Meals"/>
    <s v="Indian"/>
    <s v="Sandwich"/>
    <s v="Veg"/>
    <n v="2"/>
    <n v="438"/>
    <n v="876"/>
    <n v="37"/>
    <s v="Card"/>
    <n v="3.8"/>
    <x v="3"/>
    <n v="39"/>
    <n v="2024"/>
  </r>
  <r>
    <s v="CUST_585"/>
    <s v="O1600"/>
    <d v="2024-01-17T00:00:00"/>
    <s v="Hyderabad"/>
    <s v="Secunderabad"/>
    <s v="Grill Masters"/>
    <s v="Italian"/>
    <s v="Paneer Tikka"/>
    <s v="Veg"/>
    <n v="5"/>
    <n v="257"/>
    <n v="1285"/>
    <n v="54"/>
    <s v="UPI"/>
    <n v="4.5"/>
    <x v="6"/>
    <n v="3"/>
    <n v="2024"/>
  </r>
  <r>
    <s v="CUST_585"/>
    <s v="O1601"/>
    <d v="2024-01-08T00:00:00"/>
    <s v="Chennai"/>
    <s v="Anna Nagar"/>
    <s v="Sandwich Stop"/>
    <s v="Italian"/>
    <s v="Veg Burger"/>
    <s v="Veg"/>
    <n v="3"/>
    <n v="272"/>
    <n v="816"/>
    <n v="30"/>
    <s v="Card"/>
    <n v="4.0999999999999996"/>
    <x v="6"/>
    <n v="2"/>
    <n v="2024"/>
  </r>
  <r>
    <s v="CUST_586"/>
    <s v="O1602"/>
    <d v="2024-05-02T00:00:00"/>
    <s v="Chennai"/>
    <s v="Tambaram"/>
    <s v="Burger Hub"/>
    <s v="Chinese"/>
    <s v="Momos"/>
    <s v="Veg"/>
    <n v="2"/>
    <n v="249"/>
    <n v="498"/>
    <n v="31"/>
    <s v="UPI"/>
    <n v="4.7"/>
    <x v="5"/>
    <n v="18"/>
    <n v="2024"/>
  </r>
  <r>
    <s v="CUST_586"/>
    <s v="O1603"/>
    <d v="2024-03-02T00:00:00"/>
    <s v="Bangalore"/>
    <s v="Jayanagar"/>
    <s v="Biryani House"/>
    <s v="North Indian"/>
    <s v="Chicken Biryani"/>
    <s v="Non-Veg"/>
    <n v="5"/>
    <n v="297"/>
    <n v="1485"/>
    <n v="21"/>
    <s v="COD"/>
    <n v="3.3"/>
    <x v="4"/>
    <n v="9"/>
    <n v="2024"/>
  </r>
  <r>
    <s v="CUST_586"/>
    <s v="O1604"/>
    <d v="2024-08-13T00:00:00"/>
    <s v="Delhi"/>
    <s v="Karol Bagh"/>
    <s v="Café Delight"/>
    <s v="Indian"/>
    <s v="Fried Rice"/>
    <s v="Veg"/>
    <n v="4"/>
    <n v="402"/>
    <n v="1608"/>
    <n v="22"/>
    <s v="UPI"/>
    <n v="4.4000000000000004"/>
    <x v="9"/>
    <n v="33"/>
    <n v="2024"/>
  </r>
  <r>
    <s v="CUST_586"/>
    <s v="O1605"/>
    <d v="2024-04-01T00:00:00"/>
    <s v="Mumbai"/>
    <s v="Dadar"/>
    <s v="South Spice"/>
    <s v="North Indian"/>
    <s v="Chicken Roll"/>
    <s v="Non-Veg"/>
    <n v="2"/>
    <n v="266"/>
    <n v="532"/>
    <n v="51"/>
    <s v="UPI"/>
    <n v="4.2"/>
    <x v="2"/>
    <n v="14"/>
    <n v="2024"/>
  </r>
  <r>
    <s v="CUST_587"/>
    <s v="O1606"/>
    <d v="2024-01-19T00:00:00"/>
    <s v="Hyderabad"/>
    <s v="Banjara Hills"/>
    <s v="Chinese Bowl"/>
    <s v="Chinese"/>
    <s v="Chicken Roll"/>
    <s v="Non-Veg"/>
    <n v="5"/>
    <n v="336"/>
    <n v="1680"/>
    <n v="53"/>
    <s v="UPI"/>
    <n v="4.7"/>
    <x v="6"/>
    <n v="3"/>
    <n v="2024"/>
  </r>
  <r>
    <s v="CUST_587"/>
    <s v="O1607"/>
    <d v="2024-09-04T00:00:00"/>
    <s v="Hyderabad"/>
    <s v="Madhapur"/>
    <s v="Café Delight"/>
    <s v="North Indian"/>
    <s v="Sandwich"/>
    <s v="Veg"/>
    <n v="1"/>
    <n v="139"/>
    <n v="139"/>
    <n v="59"/>
    <s v="UPI"/>
    <n v="4.0999999999999996"/>
    <x v="3"/>
    <n v="36"/>
    <n v="2024"/>
  </r>
  <r>
    <s v="CUST_587"/>
    <s v="O1608"/>
    <d v="2024-03-10T00:00:00"/>
    <s v="Mumbai"/>
    <s v="Powai"/>
    <s v="Urban Meals"/>
    <s v="Indian"/>
    <s v="Chicken Roll"/>
    <s v="Non-Veg"/>
    <n v="4"/>
    <n v="194"/>
    <n v="776"/>
    <n v="56"/>
    <s v="UPI"/>
    <n v="4.0999999999999996"/>
    <x v="4"/>
    <n v="11"/>
    <n v="2024"/>
  </r>
  <r>
    <s v="CUST_588"/>
    <s v="O1609"/>
    <d v="2024-03-02T00:00:00"/>
    <s v="Delhi"/>
    <s v="Rohini"/>
    <s v="Urban Meals"/>
    <s v="North Indian"/>
    <s v="Chicken Roll"/>
    <s v="Non-Veg"/>
    <n v="2"/>
    <n v="245"/>
    <n v="490"/>
    <n v="25"/>
    <s v="COD"/>
    <n v="4.5"/>
    <x v="4"/>
    <n v="9"/>
    <n v="2024"/>
  </r>
  <r>
    <s v="CUST_588"/>
    <s v="O1610"/>
    <d v="2024-01-01T00:00:00"/>
    <s v="Chennai"/>
    <s v="Anna Nagar"/>
    <s v="Grill Masters"/>
    <s v="North Indian"/>
    <s v="Momos"/>
    <s v="Veg"/>
    <n v="2"/>
    <n v="308"/>
    <n v="616"/>
    <n v="28"/>
    <s v="Card"/>
    <n v="3.6"/>
    <x v="6"/>
    <n v="1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8EFC0-B252-4B09-B0F4-A0534F701F8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" firstHeaderRow="0" firstDataRow="1" firstDataCol="1"/>
  <pivotFields count="11">
    <pivotField dataField="1" showAll="0"/>
    <pivotField numFmtId="14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Recency_Days" fld="4" subtotal="average" baseField="0" baseItem="0"/>
    <dataField name="Count of Row Labels" fld="0" subtotal="count" baseField="0" baseItem="0"/>
    <dataField name="Average of Frequency" fld="3" subtotal="average" baseField="0" baseItem="0"/>
    <dataField name="Average of Monetary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62E37-4D5B-4F6C-9BE3-217D6FBF520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2">
    <pivotField dataField="1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2"/>
        <item x="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etary" fld="2" baseField="0" baseItem="0"/>
    <dataField name="Count of Row Label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13DDF-2FF2-41A3-8614-96B9F2B31CC6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0"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numFmtId="14" showAll="0">
      <items count="11">
        <item x="6"/>
        <item x="8"/>
        <item x="4"/>
        <item x="2"/>
        <item x="5"/>
        <item x="7"/>
        <item x="1"/>
        <item x="9"/>
        <item x="3"/>
        <item x="0"/>
        <item t="default"/>
      </items>
    </pivotField>
    <pivotField numFmtI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9"/>
    <field x="18"/>
    <field x="15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_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9A645-5A55-48F9-9671-E4D5FF9B6532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92" firstHeaderRow="1" firstDataRow="1" firstDataCol="1"/>
  <pivotFields count="2">
    <pivotField axis="axisRow" allDrilled="1" subtotalTop="0" showAll="0" dataSourceSort="1" defaultSubtotal="0" defaultAttributeDrillState="1">
      <items count="5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</items>
    </pivotField>
    <pivotField dataField="1" subtotalTop="0" showAll="0" defaultSubtotal="0"/>
  </pivotFields>
  <rowFields count="1">
    <field x="0"/>
  </rowFields>
  <rowItems count="5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 t="grand">
      <x/>
    </i>
  </rowItems>
  <colItems count="1">
    <i/>
  </colItems>
  <dataFields count="1">
    <dataField name="Count of Promo_Flag" fld="1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mg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439FC-6CC0-4F1D-929F-B7001C4B4E96}" name="PivotTable3" cacheId="2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D6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1" subtotal="count" baseField="0" baseItem="0"/>
    <dataField name="Sum of Total_Amount" fld="3" baseField="0" baseItem="0"/>
    <dataField name="Average of Total_Amount" fld="2" subtotal="average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mg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88AEF-FEAC-4641-9C46-6B3A5DCBA8AD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2">
    <field x="0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Count of Row Labels" fld="2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2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ustomer model!$A$1:$M$58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E9B9A1-1CA7-4311-9BED-98FA4310289C}" name="Table1" displayName="Table1" ref="A1:S1611" totalsRowShown="0">
  <autoFilter ref="A1:S1611" xr:uid="{FFE9B9A1-1CA7-4311-9BED-98FA4310289C}"/>
  <tableColumns count="19">
    <tableColumn id="1" xr3:uid="{093039A7-1F51-4424-ABCD-A73DD7A5BEBF}" name="Customer_ID"/>
    <tableColumn id="2" xr3:uid="{8BAA441C-FDA1-4437-8ED8-C7CED190AEB6}" name="Order_ID"/>
    <tableColumn id="3" xr3:uid="{FDD24444-FCF9-47FB-8D78-E172734E4A2F}" name="Order_Date"/>
    <tableColumn id="4" xr3:uid="{BFC28105-D7BD-4CFD-AE2C-618639E26034}" name="City"/>
    <tableColumn id="5" xr3:uid="{C5909D22-3AD0-4F7E-8BD8-178D8EC48AF7}" name="Area"/>
    <tableColumn id="6" xr3:uid="{D3341C10-F023-4B91-9806-2B3AD7CDBF46}" name="Restaurant_Name"/>
    <tableColumn id="7" xr3:uid="{92DD273A-EFF7-48B4-A99D-7501B67DC8F7}" name="Cuisine_Type"/>
    <tableColumn id="8" xr3:uid="{5FB280BF-7B0E-4AE3-BA17-45033C3CF034}" name="Item_Name"/>
    <tableColumn id="9" xr3:uid="{B636C0E0-1F86-43EB-9C32-2B0DE0B1E270}" name="Food_Type"/>
    <tableColumn id="10" xr3:uid="{E09A9C23-0DB5-46E3-ADF2-E44474A4C98C}" name="Quantity"/>
    <tableColumn id="11" xr3:uid="{613EEBC8-33D7-4619-B33E-C878C3888814}" name="Price"/>
    <tableColumn id="12" xr3:uid="{0B2E9C96-ED48-4057-8F28-7ADC20A0979A}" name="Total_Amount"/>
    <tableColumn id="13" xr3:uid="{508ADFDE-939F-4660-99A4-32C9CAFAAC84}" name="Delivery_Time (mins)"/>
    <tableColumn id="14" xr3:uid="{0979350F-F8B1-4B07-931F-03699AC0E895}" name="Payment_Mode"/>
    <tableColumn id="15" xr3:uid="{8FB430B3-772B-4117-9813-8AF31868F576}" name="Customer_Rating"/>
    <tableColumn id="18" xr3:uid="{D7F15740-FDB0-4E68-86B3-65BE3E47615A}" name="Order_Month" dataDxfId="1">
      <calculatedColumnFormula>EOMONTH(Table1[[#This Row],[Order_Date]],0)</calculatedColumnFormula>
    </tableColumn>
    <tableColumn id="23" xr3:uid="{1568F529-2559-47CC-B60F-FF8EBCEC7761}" name="Order_Week" dataDxfId="0">
      <calculatedColumnFormula>WEEKNUM(Table1[[#This Row],[Order_Date]])</calculatedColumnFormula>
    </tableColumn>
    <tableColumn id="22" xr3:uid="{F17B7CC6-70E4-46D5-B096-C33AF7406CEB}" name="Order_Year">
      <calculatedColumnFormula>YEAR(Table1[[#This Row],[Order_Date]])</calculatedColumnFormula>
    </tableColumn>
    <tableColumn id="16" xr3:uid="{F686B254-39F0-466E-AD88-5A4C468666B4}" name="Promo_Flag">
      <calculatedColumnFormula>IF(Table1[[#This Row],[Quantity]]&gt;=3,"Promo","Regular")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2285-EFFF-40C4-BE9B-4729EE3458D5}">
  <dimension ref="A1:S1611"/>
  <sheetViews>
    <sheetView topLeftCell="A2" zoomScale="99" zoomScaleNormal="99" workbookViewId="0">
      <selection sqref="A1:S1611"/>
    </sheetView>
  </sheetViews>
  <sheetFormatPr defaultRowHeight="14.5" x14ac:dyDescent="0.35"/>
  <cols>
    <col min="1" max="1" width="13.6328125" customWidth="1"/>
    <col min="2" max="2" width="10.08984375" customWidth="1"/>
    <col min="3" max="3" width="12.1796875" customWidth="1"/>
    <col min="6" max="6" width="17.7265625" customWidth="1"/>
    <col min="7" max="7" width="14" customWidth="1"/>
    <col min="8" max="8" width="12.36328125" customWidth="1"/>
    <col min="9" max="9" width="11.6328125" customWidth="1"/>
    <col min="10" max="10" width="10" customWidth="1"/>
    <col min="12" max="12" width="14.26953125" customWidth="1"/>
    <col min="13" max="13" width="20.36328125" customWidth="1"/>
    <col min="14" max="14" width="15.54296875" customWidth="1"/>
    <col min="15" max="15" width="17.1796875" customWidth="1"/>
    <col min="16" max="17" width="14.81640625" customWidth="1"/>
    <col min="18" max="18" width="12.36328125" bestFit="1" customWidth="1"/>
    <col min="19" max="19" width="12.81640625" bestFit="1" customWidth="1"/>
  </cols>
  <sheetData>
    <row r="1" spans="1:19" x14ac:dyDescent="0.35">
      <c r="A1" t="s">
        <v>1685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2274</v>
      </c>
      <c r="Q1" t="s">
        <v>2276</v>
      </c>
      <c r="R1" t="s">
        <v>2275</v>
      </c>
      <c r="S1" t="s">
        <v>2327</v>
      </c>
    </row>
    <row r="2" spans="1:19" x14ac:dyDescent="0.35">
      <c r="A2" t="s">
        <v>1686</v>
      </c>
      <c r="B2" t="s">
        <v>14</v>
      </c>
      <c r="C2" s="1">
        <v>45579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>
        <v>461</v>
      </c>
      <c r="L2">
        <v>461</v>
      </c>
      <c r="M2">
        <v>30</v>
      </c>
      <c r="N2" t="s">
        <v>21</v>
      </c>
      <c r="O2">
        <v>4.0999999999999996</v>
      </c>
      <c r="P2" s="2">
        <f>EOMONTH(Table1[[#This Row],[Order_Date]],0)</f>
        <v>45596</v>
      </c>
      <c r="Q2" s="3">
        <f>WEEKNUM(Table1[[#This Row],[Order_Date]])</f>
        <v>42</v>
      </c>
      <c r="R2">
        <f>YEAR(Table1[[#This Row],[Order_Date]])</f>
        <v>2024</v>
      </c>
      <c r="S2" t="str">
        <f>IF(Table1[[#This Row],[Quantity]]&gt;=3,"Promo","Regular")</f>
        <v>Regular</v>
      </c>
    </row>
    <row r="3" spans="1:19" x14ac:dyDescent="0.35">
      <c r="A3" t="s">
        <v>1687</v>
      </c>
      <c r="B3" t="s">
        <v>22</v>
      </c>
      <c r="C3" s="1">
        <v>45488</v>
      </c>
      <c r="D3" t="s">
        <v>15</v>
      </c>
      <c r="E3" t="s">
        <v>23</v>
      </c>
      <c r="F3" t="s">
        <v>24</v>
      </c>
      <c r="G3" t="s">
        <v>25</v>
      </c>
      <c r="H3" t="s">
        <v>26</v>
      </c>
      <c r="I3" t="s">
        <v>20</v>
      </c>
      <c r="J3">
        <v>3</v>
      </c>
      <c r="K3">
        <v>457</v>
      </c>
      <c r="L3">
        <v>1371</v>
      </c>
      <c r="M3">
        <v>42</v>
      </c>
      <c r="N3" t="s">
        <v>21</v>
      </c>
      <c r="O3">
        <v>3.4</v>
      </c>
      <c r="P3" s="2">
        <f>EOMONTH(Table1[[#This Row],[Order_Date]],0)</f>
        <v>45504</v>
      </c>
      <c r="Q3" s="3">
        <f>WEEKNUM(Table1[[#This Row],[Order_Date]])</f>
        <v>29</v>
      </c>
      <c r="R3">
        <f>YEAR(Table1[[#This Row],[Order_Date]])</f>
        <v>2024</v>
      </c>
      <c r="S3" t="str">
        <f>IF(Table1[[#This Row],[Quantity]]&gt;=3,"Promo","Regular")</f>
        <v>Promo</v>
      </c>
    </row>
    <row r="4" spans="1:19" x14ac:dyDescent="0.35">
      <c r="A4" t="s">
        <v>1688</v>
      </c>
      <c r="B4" t="s">
        <v>27</v>
      </c>
      <c r="C4" s="1">
        <v>45412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20</v>
      </c>
      <c r="J4">
        <v>3</v>
      </c>
      <c r="K4">
        <v>373</v>
      </c>
      <c r="L4">
        <v>1119</v>
      </c>
      <c r="M4">
        <v>32</v>
      </c>
      <c r="N4" t="s">
        <v>33</v>
      </c>
      <c r="O4">
        <v>4.3</v>
      </c>
      <c r="P4" s="2">
        <f>EOMONTH(Table1[[#This Row],[Order_Date]],0)</f>
        <v>45412</v>
      </c>
      <c r="Q4" s="3">
        <f>WEEKNUM(Table1[[#This Row],[Order_Date]])</f>
        <v>18</v>
      </c>
      <c r="R4">
        <f>YEAR(Table1[[#This Row],[Order_Date]])</f>
        <v>2024</v>
      </c>
      <c r="S4" t="str">
        <f>IF(Table1[[#This Row],[Quantity]]&gt;=3,"Promo","Regular")</f>
        <v>Promo</v>
      </c>
    </row>
    <row r="5" spans="1:19" x14ac:dyDescent="0.35">
      <c r="A5" t="s">
        <v>1689</v>
      </c>
      <c r="B5" t="s">
        <v>34</v>
      </c>
      <c r="C5" s="1">
        <v>45555</v>
      </c>
      <c r="D5" t="s">
        <v>15</v>
      </c>
      <c r="E5" t="s">
        <v>23</v>
      </c>
      <c r="F5" t="s">
        <v>35</v>
      </c>
      <c r="G5" t="s">
        <v>36</v>
      </c>
      <c r="H5" t="s">
        <v>37</v>
      </c>
      <c r="I5" t="s">
        <v>20</v>
      </c>
      <c r="J5">
        <v>3</v>
      </c>
      <c r="K5">
        <v>424</v>
      </c>
      <c r="L5">
        <v>1272</v>
      </c>
      <c r="M5">
        <v>44</v>
      </c>
      <c r="N5" t="s">
        <v>38</v>
      </c>
      <c r="O5">
        <v>4.0999999999999996</v>
      </c>
      <c r="P5" s="2">
        <f>EOMONTH(Table1[[#This Row],[Order_Date]],0)</f>
        <v>45565</v>
      </c>
      <c r="Q5" s="3">
        <f>WEEKNUM(Table1[[#This Row],[Order_Date]])</f>
        <v>38</v>
      </c>
      <c r="R5">
        <f>YEAR(Table1[[#This Row],[Order_Date]])</f>
        <v>2024</v>
      </c>
      <c r="S5" t="str">
        <f>IF(Table1[[#This Row],[Quantity]]&gt;=3,"Promo","Regular")</f>
        <v>Promo</v>
      </c>
    </row>
    <row r="6" spans="1:19" x14ac:dyDescent="0.35">
      <c r="A6" t="s">
        <v>1690</v>
      </c>
      <c r="B6" t="s">
        <v>39</v>
      </c>
      <c r="C6" s="1">
        <v>45359</v>
      </c>
      <c r="D6" t="s">
        <v>28</v>
      </c>
      <c r="E6" t="s">
        <v>40</v>
      </c>
      <c r="F6" t="s">
        <v>41</v>
      </c>
      <c r="G6" t="s">
        <v>25</v>
      </c>
      <c r="H6" t="s">
        <v>19</v>
      </c>
      <c r="I6" t="s">
        <v>20</v>
      </c>
      <c r="J6">
        <v>5</v>
      </c>
      <c r="K6">
        <v>313</v>
      </c>
      <c r="L6">
        <v>1565</v>
      </c>
      <c r="M6">
        <v>30</v>
      </c>
      <c r="N6" t="s">
        <v>33</v>
      </c>
      <c r="O6">
        <v>4.7</v>
      </c>
      <c r="P6" s="2">
        <f>EOMONTH(Table1[[#This Row],[Order_Date]],0)</f>
        <v>45382</v>
      </c>
      <c r="Q6" s="3">
        <f>WEEKNUM(Table1[[#This Row],[Order_Date]])</f>
        <v>10</v>
      </c>
      <c r="R6">
        <f>YEAR(Table1[[#This Row],[Order_Date]])</f>
        <v>2024</v>
      </c>
      <c r="S6" t="str">
        <f>IF(Table1[[#This Row],[Quantity]]&gt;=3,"Promo","Regular")</f>
        <v>Promo</v>
      </c>
    </row>
    <row r="7" spans="1:19" x14ac:dyDescent="0.35">
      <c r="A7" t="s">
        <v>1691</v>
      </c>
      <c r="B7" t="s">
        <v>42</v>
      </c>
      <c r="C7" s="1">
        <v>45538</v>
      </c>
      <c r="D7" t="s">
        <v>43</v>
      </c>
      <c r="E7" t="s">
        <v>44</v>
      </c>
      <c r="F7" t="s">
        <v>45</v>
      </c>
      <c r="G7" t="s">
        <v>46</v>
      </c>
      <c r="H7" t="s">
        <v>19</v>
      </c>
      <c r="I7" t="s">
        <v>20</v>
      </c>
      <c r="J7">
        <v>1</v>
      </c>
      <c r="K7">
        <v>431</v>
      </c>
      <c r="L7">
        <v>431</v>
      </c>
      <c r="M7">
        <v>54</v>
      </c>
      <c r="N7" t="s">
        <v>38</v>
      </c>
      <c r="O7">
        <v>3</v>
      </c>
      <c r="P7" s="2">
        <f>EOMONTH(Table1[[#This Row],[Order_Date]],0)</f>
        <v>45565</v>
      </c>
      <c r="Q7" s="3">
        <f>WEEKNUM(Table1[[#This Row],[Order_Date]])</f>
        <v>36</v>
      </c>
      <c r="R7">
        <f>YEAR(Table1[[#This Row],[Order_Date]])</f>
        <v>2024</v>
      </c>
      <c r="S7" t="str">
        <f>IF(Table1[[#This Row],[Quantity]]&gt;=3,"Promo","Regular")</f>
        <v>Regular</v>
      </c>
    </row>
    <row r="8" spans="1:19" x14ac:dyDescent="0.35">
      <c r="A8" t="s">
        <v>1692</v>
      </c>
      <c r="B8" t="s">
        <v>47</v>
      </c>
      <c r="C8" s="1">
        <v>45432</v>
      </c>
      <c r="D8" t="s">
        <v>48</v>
      </c>
      <c r="E8" t="s">
        <v>49</v>
      </c>
      <c r="F8" t="s">
        <v>17</v>
      </c>
      <c r="G8" t="s">
        <v>36</v>
      </c>
      <c r="H8" t="s">
        <v>50</v>
      </c>
      <c r="I8" t="s">
        <v>20</v>
      </c>
      <c r="J8">
        <v>4</v>
      </c>
      <c r="K8">
        <v>495</v>
      </c>
      <c r="L8">
        <v>1980</v>
      </c>
      <c r="M8">
        <v>33</v>
      </c>
      <c r="N8" t="s">
        <v>33</v>
      </c>
      <c r="O8">
        <v>4</v>
      </c>
      <c r="P8" s="2">
        <f>EOMONTH(Table1[[#This Row],[Order_Date]],0)</f>
        <v>45443</v>
      </c>
      <c r="Q8" s="3">
        <f>WEEKNUM(Table1[[#This Row],[Order_Date]])</f>
        <v>21</v>
      </c>
      <c r="R8">
        <f>YEAR(Table1[[#This Row],[Order_Date]])</f>
        <v>2024</v>
      </c>
      <c r="S8" t="str">
        <f>IF(Table1[[#This Row],[Quantity]]&gt;=3,"Promo","Regular")</f>
        <v>Promo</v>
      </c>
    </row>
    <row r="9" spans="1:19" x14ac:dyDescent="0.35">
      <c r="A9" t="s">
        <v>1693</v>
      </c>
      <c r="B9" t="s">
        <v>51</v>
      </c>
      <c r="C9" s="1">
        <v>45375</v>
      </c>
      <c r="D9" t="s">
        <v>43</v>
      </c>
      <c r="E9" t="s">
        <v>52</v>
      </c>
      <c r="F9" t="s">
        <v>24</v>
      </c>
      <c r="G9" t="s">
        <v>18</v>
      </c>
      <c r="H9" t="s">
        <v>53</v>
      </c>
      <c r="I9" t="s">
        <v>20</v>
      </c>
      <c r="J9">
        <v>4</v>
      </c>
      <c r="K9">
        <v>318</v>
      </c>
      <c r="L9">
        <v>1272</v>
      </c>
      <c r="M9">
        <v>46</v>
      </c>
      <c r="N9" t="s">
        <v>33</v>
      </c>
      <c r="O9">
        <v>3.7</v>
      </c>
      <c r="P9" s="2">
        <f>EOMONTH(Table1[[#This Row],[Order_Date]],0)</f>
        <v>45382</v>
      </c>
      <c r="Q9" s="3">
        <f>WEEKNUM(Table1[[#This Row],[Order_Date]])</f>
        <v>13</v>
      </c>
      <c r="R9">
        <f>YEAR(Table1[[#This Row],[Order_Date]])</f>
        <v>2024</v>
      </c>
      <c r="S9" t="str">
        <f>IF(Table1[[#This Row],[Quantity]]&gt;=3,"Promo","Regular")</f>
        <v>Promo</v>
      </c>
    </row>
    <row r="10" spans="1:19" x14ac:dyDescent="0.35">
      <c r="A10" t="s">
        <v>1694</v>
      </c>
      <c r="B10" t="s">
        <v>54</v>
      </c>
      <c r="C10" s="1">
        <v>45310</v>
      </c>
      <c r="D10" t="s">
        <v>28</v>
      </c>
      <c r="E10" t="s">
        <v>40</v>
      </c>
      <c r="F10" t="s">
        <v>17</v>
      </c>
      <c r="G10" t="s">
        <v>25</v>
      </c>
      <c r="H10" t="s">
        <v>55</v>
      </c>
      <c r="I10" t="s">
        <v>20</v>
      </c>
      <c r="J10">
        <v>2</v>
      </c>
      <c r="K10">
        <v>220</v>
      </c>
      <c r="L10">
        <v>440</v>
      </c>
      <c r="M10">
        <v>46</v>
      </c>
      <c r="N10" t="s">
        <v>21</v>
      </c>
      <c r="O10">
        <v>4.2</v>
      </c>
      <c r="P10" s="2">
        <f>EOMONTH(Table1[[#This Row],[Order_Date]],0)</f>
        <v>45322</v>
      </c>
      <c r="Q10" s="3">
        <f>WEEKNUM(Table1[[#This Row],[Order_Date]])</f>
        <v>3</v>
      </c>
      <c r="R10">
        <f>YEAR(Table1[[#This Row],[Order_Date]])</f>
        <v>2024</v>
      </c>
      <c r="S10" t="str">
        <f>IF(Table1[[#This Row],[Quantity]]&gt;=3,"Promo","Regular")</f>
        <v>Regular</v>
      </c>
    </row>
    <row r="11" spans="1:19" x14ac:dyDescent="0.35">
      <c r="A11" t="s">
        <v>1695</v>
      </c>
      <c r="B11" t="s">
        <v>56</v>
      </c>
      <c r="C11" s="1">
        <v>45383</v>
      </c>
      <c r="D11" t="s">
        <v>57</v>
      </c>
      <c r="E11" t="s">
        <v>58</v>
      </c>
      <c r="F11" t="s">
        <v>45</v>
      </c>
      <c r="G11" t="s">
        <v>31</v>
      </c>
      <c r="H11" t="s">
        <v>59</v>
      </c>
      <c r="I11" t="s">
        <v>60</v>
      </c>
      <c r="J11">
        <v>5</v>
      </c>
      <c r="K11">
        <v>158</v>
      </c>
      <c r="L11">
        <v>790</v>
      </c>
      <c r="M11">
        <v>46</v>
      </c>
      <c r="N11" t="s">
        <v>33</v>
      </c>
      <c r="O11">
        <v>3.2</v>
      </c>
      <c r="P11" s="2">
        <f>EOMONTH(Table1[[#This Row],[Order_Date]],0)</f>
        <v>45412</v>
      </c>
      <c r="Q11" s="3">
        <f>WEEKNUM(Table1[[#This Row],[Order_Date]])</f>
        <v>14</v>
      </c>
      <c r="R11">
        <f>YEAR(Table1[[#This Row],[Order_Date]])</f>
        <v>2024</v>
      </c>
      <c r="S11" t="str">
        <f>IF(Table1[[#This Row],[Quantity]]&gt;=3,"Promo","Regular")</f>
        <v>Promo</v>
      </c>
    </row>
    <row r="12" spans="1:19" x14ac:dyDescent="0.35">
      <c r="A12" t="s">
        <v>1696</v>
      </c>
      <c r="B12" t="s">
        <v>61</v>
      </c>
      <c r="C12" s="1">
        <v>45580</v>
      </c>
      <c r="D12" t="s">
        <v>57</v>
      </c>
      <c r="E12" t="s">
        <v>62</v>
      </c>
      <c r="F12" t="s">
        <v>41</v>
      </c>
      <c r="G12" t="s">
        <v>18</v>
      </c>
      <c r="H12" t="s">
        <v>26</v>
      </c>
      <c r="I12" t="s">
        <v>20</v>
      </c>
      <c r="J12">
        <v>3</v>
      </c>
      <c r="K12">
        <v>264</v>
      </c>
      <c r="L12">
        <v>792</v>
      </c>
      <c r="M12">
        <v>21</v>
      </c>
      <c r="N12" t="s">
        <v>21</v>
      </c>
      <c r="O12">
        <v>3.9</v>
      </c>
      <c r="P12" s="2">
        <f>EOMONTH(Table1[[#This Row],[Order_Date]],0)</f>
        <v>45596</v>
      </c>
      <c r="Q12" s="3">
        <f>WEEKNUM(Table1[[#This Row],[Order_Date]])</f>
        <v>42</v>
      </c>
      <c r="R12">
        <f>YEAR(Table1[[#This Row],[Order_Date]])</f>
        <v>2024</v>
      </c>
      <c r="S12" t="str">
        <f>IF(Table1[[#This Row],[Quantity]]&gt;=3,"Promo","Regular")</f>
        <v>Promo</v>
      </c>
    </row>
    <row r="13" spans="1:19" x14ac:dyDescent="0.35">
      <c r="A13" t="s">
        <v>1697</v>
      </c>
      <c r="B13" t="s">
        <v>63</v>
      </c>
      <c r="C13" s="1">
        <v>45441</v>
      </c>
      <c r="D13" t="s">
        <v>48</v>
      </c>
      <c r="E13" t="s">
        <v>64</v>
      </c>
      <c r="F13" t="s">
        <v>65</v>
      </c>
      <c r="G13" t="s">
        <v>36</v>
      </c>
      <c r="H13" t="s">
        <v>66</v>
      </c>
      <c r="I13" t="s">
        <v>20</v>
      </c>
      <c r="J13">
        <v>4</v>
      </c>
      <c r="K13">
        <v>387</v>
      </c>
      <c r="L13">
        <v>1548</v>
      </c>
      <c r="M13">
        <v>52</v>
      </c>
      <c r="N13" t="s">
        <v>33</v>
      </c>
      <c r="O13">
        <v>4</v>
      </c>
      <c r="P13" s="2">
        <f>EOMONTH(Table1[[#This Row],[Order_Date]],0)</f>
        <v>45443</v>
      </c>
      <c r="Q13" s="3">
        <f>WEEKNUM(Table1[[#This Row],[Order_Date]])</f>
        <v>22</v>
      </c>
      <c r="R13">
        <f>YEAR(Table1[[#This Row],[Order_Date]])</f>
        <v>2024</v>
      </c>
      <c r="S13" t="str">
        <f>IF(Table1[[#This Row],[Quantity]]&gt;=3,"Promo","Regular")</f>
        <v>Promo</v>
      </c>
    </row>
    <row r="14" spans="1:19" x14ac:dyDescent="0.35">
      <c r="A14" t="s">
        <v>1698</v>
      </c>
      <c r="B14" t="s">
        <v>67</v>
      </c>
      <c r="C14" s="1">
        <v>45412</v>
      </c>
      <c r="D14" t="s">
        <v>48</v>
      </c>
      <c r="E14" t="s">
        <v>68</v>
      </c>
      <c r="F14" t="s">
        <v>69</v>
      </c>
      <c r="G14" t="s">
        <v>25</v>
      </c>
      <c r="H14" t="s">
        <v>55</v>
      </c>
      <c r="I14" t="s">
        <v>20</v>
      </c>
      <c r="J14">
        <v>1</v>
      </c>
      <c r="K14">
        <v>313</v>
      </c>
      <c r="L14">
        <v>313</v>
      </c>
      <c r="M14">
        <v>40</v>
      </c>
      <c r="N14" t="s">
        <v>38</v>
      </c>
      <c r="O14">
        <v>3.7</v>
      </c>
      <c r="P14" s="2">
        <f>EOMONTH(Table1[[#This Row],[Order_Date]],0)</f>
        <v>45412</v>
      </c>
      <c r="Q14" s="3">
        <f>WEEKNUM(Table1[[#This Row],[Order_Date]])</f>
        <v>18</v>
      </c>
      <c r="R14">
        <f>YEAR(Table1[[#This Row],[Order_Date]])</f>
        <v>2024</v>
      </c>
      <c r="S14" t="str">
        <f>IF(Table1[[#This Row],[Quantity]]&gt;=3,"Promo","Regular")</f>
        <v>Regular</v>
      </c>
    </row>
    <row r="15" spans="1:19" x14ac:dyDescent="0.35">
      <c r="A15" t="s">
        <v>1699</v>
      </c>
      <c r="B15" t="s">
        <v>70</v>
      </c>
      <c r="C15" s="1">
        <v>45462</v>
      </c>
      <c r="D15" t="s">
        <v>28</v>
      </c>
      <c r="E15" t="s">
        <v>71</v>
      </c>
      <c r="F15" t="s">
        <v>72</v>
      </c>
      <c r="G15" t="s">
        <v>73</v>
      </c>
      <c r="H15" t="s">
        <v>59</v>
      </c>
      <c r="I15" t="s">
        <v>60</v>
      </c>
      <c r="J15">
        <v>1</v>
      </c>
      <c r="K15">
        <v>241</v>
      </c>
      <c r="L15">
        <v>241</v>
      </c>
      <c r="M15">
        <v>35</v>
      </c>
      <c r="N15" t="s">
        <v>38</v>
      </c>
      <c r="O15">
        <v>4.3</v>
      </c>
      <c r="P15" s="2">
        <f>EOMONTH(Table1[[#This Row],[Order_Date]],0)</f>
        <v>45473</v>
      </c>
      <c r="Q15" s="3">
        <f>WEEKNUM(Table1[[#This Row],[Order_Date]])</f>
        <v>25</v>
      </c>
      <c r="R15">
        <f>YEAR(Table1[[#This Row],[Order_Date]])</f>
        <v>2024</v>
      </c>
      <c r="S15" t="str">
        <f>IF(Table1[[#This Row],[Quantity]]&gt;=3,"Promo","Regular")</f>
        <v>Regular</v>
      </c>
    </row>
    <row r="16" spans="1:19" x14ac:dyDescent="0.35">
      <c r="A16" t="s">
        <v>1700</v>
      </c>
      <c r="B16" t="s">
        <v>74</v>
      </c>
      <c r="C16" s="1">
        <v>45345</v>
      </c>
      <c r="D16" t="s">
        <v>57</v>
      </c>
      <c r="E16" t="s">
        <v>75</v>
      </c>
      <c r="F16" t="s">
        <v>69</v>
      </c>
      <c r="G16" t="s">
        <v>36</v>
      </c>
      <c r="H16" t="s">
        <v>53</v>
      </c>
      <c r="I16" t="s">
        <v>20</v>
      </c>
      <c r="J16">
        <v>2</v>
      </c>
      <c r="K16">
        <v>199</v>
      </c>
      <c r="L16">
        <v>398</v>
      </c>
      <c r="M16">
        <v>47</v>
      </c>
      <c r="N16" t="s">
        <v>33</v>
      </c>
      <c r="O16">
        <v>3.6</v>
      </c>
      <c r="P16" s="2">
        <f>EOMONTH(Table1[[#This Row],[Order_Date]],0)</f>
        <v>45351</v>
      </c>
      <c r="Q16" s="3">
        <f>WEEKNUM(Table1[[#This Row],[Order_Date]])</f>
        <v>8</v>
      </c>
      <c r="R16">
        <f>YEAR(Table1[[#This Row],[Order_Date]])</f>
        <v>2024</v>
      </c>
      <c r="S16" t="str">
        <f>IF(Table1[[#This Row],[Quantity]]&gt;=3,"Promo","Regular")</f>
        <v>Regular</v>
      </c>
    </row>
    <row r="17" spans="1:19" x14ac:dyDescent="0.35">
      <c r="A17" t="s">
        <v>1701</v>
      </c>
      <c r="B17" t="s">
        <v>76</v>
      </c>
      <c r="C17" s="1">
        <v>45313</v>
      </c>
      <c r="D17" t="s">
        <v>28</v>
      </c>
      <c r="E17" t="s">
        <v>77</v>
      </c>
      <c r="F17" t="s">
        <v>45</v>
      </c>
      <c r="G17" t="s">
        <v>18</v>
      </c>
      <c r="H17" t="s">
        <v>26</v>
      </c>
      <c r="I17" t="s">
        <v>20</v>
      </c>
      <c r="J17">
        <v>2</v>
      </c>
      <c r="K17">
        <v>309</v>
      </c>
      <c r="L17">
        <v>618</v>
      </c>
      <c r="M17">
        <v>23</v>
      </c>
      <c r="N17" t="s">
        <v>38</v>
      </c>
      <c r="O17">
        <v>3.6</v>
      </c>
      <c r="P17" s="2">
        <f>EOMONTH(Table1[[#This Row],[Order_Date]],0)</f>
        <v>45322</v>
      </c>
      <c r="Q17" s="3">
        <f>WEEKNUM(Table1[[#This Row],[Order_Date]])</f>
        <v>4</v>
      </c>
      <c r="R17">
        <f>YEAR(Table1[[#This Row],[Order_Date]])</f>
        <v>2024</v>
      </c>
      <c r="S17" t="str">
        <f>IF(Table1[[#This Row],[Quantity]]&gt;=3,"Promo","Regular")</f>
        <v>Regular</v>
      </c>
    </row>
    <row r="18" spans="1:19" x14ac:dyDescent="0.35">
      <c r="A18" t="s">
        <v>1702</v>
      </c>
      <c r="B18" t="s">
        <v>78</v>
      </c>
      <c r="C18" s="1">
        <v>45428</v>
      </c>
      <c r="D18" t="s">
        <v>43</v>
      </c>
      <c r="E18" t="s">
        <v>52</v>
      </c>
      <c r="F18" t="s">
        <v>45</v>
      </c>
      <c r="G18" t="s">
        <v>73</v>
      </c>
      <c r="H18" t="s">
        <v>37</v>
      </c>
      <c r="I18" t="s">
        <v>20</v>
      </c>
      <c r="J18">
        <v>5</v>
      </c>
      <c r="K18">
        <v>111</v>
      </c>
      <c r="L18">
        <v>555</v>
      </c>
      <c r="M18">
        <v>30</v>
      </c>
      <c r="N18" t="s">
        <v>38</v>
      </c>
      <c r="O18">
        <v>4.0999999999999996</v>
      </c>
      <c r="P18" s="2">
        <f>EOMONTH(Table1[[#This Row],[Order_Date]],0)</f>
        <v>45443</v>
      </c>
      <c r="Q18" s="3">
        <f>WEEKNUM(Table1[[#This Row],[Order_Date]])</f>
        <v>20</v>
      </c>
      <c r="R18">
        <f>YEAR(Table1[[#This Row],[Order_Date]])</f>
        <v>2024</v>
      </c>
      <c r="S18" t="str">
        <f>IF(Table1[[#This Row],[Quantity]]&gt;=3,"Promo","Regular")</f>
        <v>Promo</v>
      </c>
    </row>
    <row r="19" spans="1:19" x14ac:dyDescent="0.35">
      <c r="A19" t="s">
        <v>1703</v>
      </c>
      <c r="B19" t="s">
        <v>79</v>
      </c>
      <c r="C19" s="1">
        <v>45533</v>
      </c>
      <c r="D19" t="s">
        <v>15</v>
      </c>
      <c r="E19" t="s">
        <v>16</v>
      </c>
      <c r="F19" t="s">
        <v>45</v>
      </c>
      <c r="G19" t="s">
        <v>46</v>
      </c>
      <c r="H19" t="s">
        <v>50</v>
      </c>
      <c r="I19" t="s">
        <v>20</v>
      </c>
      <c r="J19">
        <v>5</v>
      </c>
      <c r="K19">
        <v>223</v>
      </c>
      <c r="L19">
        <v>1115</v>
      </c>
      <c r="M19">
        <v>23</v>
      </c>
      <c r="N19" t="s">
        <v>33</v>
      </c>
      <c r="O19">
        <v>3.7</v>
      </c>
      <c r="P19" s="2">
        <f>EOMONTH(Table1[[#This Row],[Order_Date]],0)</f>
        <v>45535</v>
      </c>
      <c r="Q19" s="3">
        <f>WEEKNUM(Table1[[#This Row],[Order_Date]])</f>
        <v>35</v>
      </c>
      <c r="R19">
        <f>YEAR(Table1[[#This Row],[Order_Date]])</f>
        <v>2024</v>
      </c>
      <c r="S19" t="str">
        <f>IF(Table1[[#This Row],[Quantity]]&gt;=3,"Promo","Regular")</f>
        <v>Promo</v>
      </c>
    </row>
    <row r="20" spans="1:19" x14ac:dyDescent="0.35">
      <c r="A20" t="s">
        <v>1704</v>
      </c>
      <c r="B20" t="s">
        <v>80</v>
      </c>
      <c r="C20" s="1">
        <v>45357</v>
      </c>
      <c r="D20" t="s">
        <v>28</v>
      </c>
      <c r="E20" t="s">
        <v>77</v>
      </c>
      <c r="F20" t="s">
        <v>17</v>
      </c>
      <c r="G20" t="s">
        <v>46</v>
      </c>
      <c r="H20" t="s">
        <v>55</v>
      </c>
      <c r="I20" t="s">
        <v>20</v>
      </c>
      <c r="J20">
        <v>2</v>
      </c>
      <c r="K20">
        <v>153</v>
      </c>
      <c r="L20">
        <v>306</v>
      </c>
      <c r="M20">
        <v>24</v>
      </c>
      <c r="N20" t="s">
        <v>21</v>
      </c>
      <c r="O20">
        <v>4.2</v>
      </c>
      <c r="P20" s="2">
        <f>EOMONTH(Table1[[#This Row],[Order_Date]],0)</f>
        <v>45382</v>
      </c>
      <c r="Q20" s="3">
        <f>WEEKNUM(Table1[[#This Row],[Order_Date]])</f>
        <v>10</v>
      </c>
      <c r="R20">
        <f>YEAR(Table1[[#This Row],[Order_Date]])</f>
        <v>2024</v>
      </c>
      <c r="S20" t="str">
        <f>IF(Table1[[#This Row],[Quantity]]&gt;=3,"Promo","Regular")</f>
        <v>Regular</v>
      </c>
    </row>
    <row r="21" spans="1:19" x14ac:dyDescent="0.35">
      <c r="A21" t="s">
        <v>1705</v>
      </c>
      <c r="B21" t="s">
        <v>81</v>
      </c>
      <c r="C21" s="1">
        <v>45559</v>
      </c>
      <c r="D21" t="s">
        <v>43</v>
      </c>
      <c r="E21" t="s">
        <v>82</v>
      </c>
      <c r="F21" t="s">
        <v>30</v>
      </c>
      <c r="G21" t="s">
        <v>25</v>
      </c>
      <c r="H21" t="s">
        <v>50</v>
      </c>
      <c r="I21" t="s">
        <v>20</v>
      </c>
      <c r="J21">
        <v>2</v>
      </c>
      <c r="K21">
        <v>291</v>
      </c>
      <c r="L21">
        <v>582</v>
      </c>
      <c r="M21">
        <v>40</v>
      </c>
      <c r="N21" t="s">
        <v>38</v>
      </c>
      <c r="O21">
        <v>4.8</v>
      </c>
      <c r="P21" s="2">
        <f>EOMONTH(Table1[[#This Row],[Order_Date]],0)</f>
        <v>45565</v>
      </c>
      <c r="Q21" s="3">
        <f>WEEKNUM(Table1[[#This Row],[Order_Date]])</f>
        <v>39</v>
      </c>
      <c r="R21">
        <f>YEAR(Table1[[#This Row],[Order_Date]])</f>
        <v>2024</v>
      </c>
      <c r="S21" t="str">
        <f>IF(Table1[[#This Row],[Quantity]]&gt;=3,"Promo","Regular")</f>
        <v>Regular</v>
      </c>
    </row>
    <row r="22" spans="1:19" x14ac:dyDescent="0.35">
      <c r="A22" t="s">
        <v>1706</v>
      </c>
      <c r="B22" t="s">
        <v>83</v>
      </c>
      <c r="C22" s="1">
        <v>45480</v>
      </c>
      <c r="D22" t="s">
        <v>43</v>
      </c>
      <c r="E22" t="s">
        <v>52</v>
      </c>
      <c r="F22" t="s">
        <v>72</v>
      </c>
      <c r="G22" t="s">
        <v>18</v>
      </c>
      <c r="H22" t="s">
        <v>32</v>
      </c>
      <c r="I22" t="s">
        <v>20</v>
      </c>
      <c r="J22">
        <v>1</v>
      </c>
      <c r="K22">
        <v>276</v>
      </c>
      <c r="L22">
        <v>276</v>
      </c>
      <c r="M22">
        <v>51</v>
      </c>
      <c r="N22" t="s">
        <v>38</v>
      </c>
      <c r="O22">
        <v>4.0999999999999996</v>
      </c>
      <c r="P22" s="2">
        <f>EOMONTH(Table1[[#This Row],[Order_Date]],0)</f>
        <v>45504</v>
      </c>
      <c r="Q22" s="3">
        <f>WEEKNUM(Table1[[#This Row],[Order_Date]])</f>
        <v>28</v>
      </c>
      <c r="R22">
        <f>YEAR(Table1[[#This Row],[Order_Date]])</f>
        <v>2024</v>
      </c>
      <c r="S22" t="str">
        <f>IF(Table1[[#This Row],[Quantity]]&gt;=3,"Promo","Regular")</f>
        <v>Regular</v>
      </c>
    </row>
    <row r="23" spans="1:19" x14ac:dyDescent="0.35">
      <c r="A23" t="s">
        <v>1707</v>
      </c>
      <c r="B23" t="s">
        <v>84</v>
      </c>
      <c r="C23" s="1">
        <v>45565</v>
      </c>
      <c r="D23" t="s">
        <v>57</v>
      </c>
      <c r="E23" t="s">
        <v>75</v>
      </c>
      <c r="F23" t="s">
        <v>85</v>
      </c>
      <c r="G23" t="s">
        <v>36</v>
      </c>
      <c r="H23" t="s">
        <v>50</v>
      </c>
      <c r="I23" t="s">
        <v>20</v>
      </c>
      <c r="J23">
        <v>3</v>
      </c>
      <c r="K23">
        <v>389</v>
      </c>
      <c r="L23">
        <v>1167</v>
      </c>
      <c r="M23">
        <v>41</v>
      </c>
      <c r="N23" t="s">
        <v>33</v>
      </c>
      <c r="O23">
        <v>3.6</v>
      </c>
      <c r="P23" s="2">
        <f>EOMONTH(Table1[[#This Row],[Order_Date]],0)</f>
        <v>45565</v>
      </c>
      <c r="Q23" s="3">
        <f>WEEKNUM(Table1[[#This Row],[Order_Date]])</f>
        <v>40</v>
      </c>
      <c r="R23">
        <f>YEAR(Table1[[#This Row],[Order_Date]])</f>
        <v>2024</v>
      </c>
      <c r="S23" t="str">
        <f>IF(Table1[[#This Row],[Quantity]]&gt;=3,"Promo","Regular")</f>
        <v>Promo</v>
      </c>
    </row>
    <row r="24" spans="1:19" x14ac:dyDescent="0.35">
      <c r="A24" t="s">
        <v>1708</v>
      </c>
      <c r="B24" t="s">
        <v>86</v>
      </c>
      <c r="C24" s="1">
        <v>45412</v>
      </c>
      <c r="D24" t="s">
        <v>15</v>
      </c>
      <c r="E24" t="s">
        <v>16</v>
      </c>
      <c r="F24" t="s">
        <v>65</v>
      </c>
      <c r="G24" t="s">
        <v>73</v>
      </c>
      <c r="H24" t="s">
        <v>50</v>
      </c>
      <c r="I24" t="s">
        <v>20</v>
      </c>
      <c r="J24">
        <v>2</v>
      </c>
      <c r="K24">
        <v>213</v>
      </c>
      <c r="L24">
        <v>426</v>
      </c>
      <c r="M24">
        <v>27</v>
      </c>
      <c r="N24" t="s">
        <v>33</v>
      </c>
      <c r="O24">
        <v>3.6</v>
      </c>
      <c r="P24" s="2">
        <f>EOMONTH(Table1[[#This Row],[Order_Date]],0)</f>
        <v>45412</v>
      </c>
      <c r="Q24" s="3">
        <f>WEEKNUM(Table1[[#This Row],[Order_Date]])</f>
        <v>18</v>
      </c>
      <c r="R24">
        <f>YEAR(Table1[[#This Row],[Order_Date]])</f>
        <v>2024</v>
      </c>
      <c r="S24" t="str">
        <f>IF(Table1[[#This Row],[Quantity]]&gt;=3,"Promo","Regular")</f>
        <v>Regular</v>
      </c>
    </row>
    <row r="25" spans="1:19" x14ac:dyDescent="0.35">
      <c r="A25" t="s">
        <v>1709</v>
      </c>
      <c r="B25" t="s">
        <v>87</v>
      </c>
      <c r="C25" s="1">
        <v>45409</v>
      </c>
      <c r="D25" t="s">
        <v>48</v>
      </c>
      <c r="E25" t="s">
        <v>49</v>
      </c>
      <c r="F25" t="s">
        <v>30</v>
      </c>
      <c r="G25" t="s">
        <v>25</v>
      </c>
      <c r="H25" t="s">
        <v>55</v>
      </c>
      <c r="I25" t="s">
        <v>20</v>
      </c>
      <c r="J25">
        <v>4</v>
      </c>
      <c r="K25">
        <v>448</v>
      </c>
      <c r="L25">
        <v>1792</v>
      </c>
      <c r="M25">
        <v>40</v>
      </c>
      <c r="N25" t="s">
        <v>21</v>
      </c>
      <c r="O25">
        <v>4.5</v>
      </c>
      <c r="P25" s="2">
        <f>EOMONTH(Table1[[#This Row],[Order_Date]],0)</f>
        <v>45412</v>
      </c>
      <c r="Q25" s="3">
        <f>WEEKNUM(Table1[[#This Row],[Order_Date]])</f>
        <v>17</v>
      </c>
      <c r="R25">
        <f>YEAR(Table1[[#This Row],[Order_Date]])</f>
        <v>2024</v>
      </c>
      <c r="S25" t="str">
        <f>IF(Table1[[#This Row],[Quantity]]&gt;=3,"Promo","Regular")</f>
        <v>Promo</v>
      </c>
    </row>
    <row r="26" spans="1:19" x14ac:dyDescent="0.35">
      <c r="A26" t="s">
        <v>1710</v>
      </c>
      <c r="B26" t="s">
        <v>88</v>
      </c>
      <c r="C26" s="1">
        <v>45451</v>
      </c>
      <c r="D26" t="s">
        <v>43</v>
      </c>
      <c r="E26" t="s">
        <v>82</v>
      </c>
      <c r="F26" t="s">
        <v>24</v>
      </c>
      <c r="G26" t="s">
        <v>18</v>
      </c>
      <c r="H26" t="s">
        <v>19</v>
      </c>
      <c r="I26" t="s">
        <v>20</v>
      </c>
      <c r="J26">
        <v>5</v>
      </c>
      <c r="K26">
        <v>148</v>
      </c>
      <c r="L26">
        <v>740</v>
      </c>
      <c r="M26">
        <v>43</v>
      </c>
      <c r="N26" t="s">
        <v>33</v>
      </c>
      <c r="O26">
        <v>3.9</v>
      </c>
      <c r="P26" s="2">
        <f>EOMONTH(Table1[[#This Row],[Order_Date]],0)</f>
        <v>45473</v>
      </c>
      <c r="Q26" s="3">
        <f>WEEKNUM(Table1[[#This Row],[Order_Date]])</f>
        <v>23</v>
      </c>
      <c r="R26">
        <f>YEAR(Table1[[#This Row],[Order_Date]])</f>
        <v>2024</v>
      </c>
      <c r="S26" t="str">
        <f>IF(Table1[[#This Row],[Quantity]]&gt;=3,"Promo","Regular")</f>
        <v>Promo</v>
      </c>
    </row>
    <row r="27" spans="1:19" x14ac:dyDescent="0.35">
      <c r="A27" t="s">
        <v>1711</v>
      </c>
      <c r="B27" t="s">
        <v>89</v>
      </c>
      <c r="C27" s="1">
        <v>45464</v>
      </c>
      <c r="D27" t="s">
        <v>28</v>
      </c>
      <c r="E27" t="s">
        <v>71</v>
      </c>
      <c r="F27" t="s">
        <v>17</v>
      </c>
      <c r="G27" t="s">
        <v>25</v>
      </c>
      <c r="H27" t="s">
        <v>53</v>
      </c>
      <c r="I27" t="s">
        <v>20</v>
      </c>
      <c r="J27">
        <v>5</v>
      </c>
      <c r="K27">
        <v>269</v>
      </c>
      <c r="L27">
        <v>1345</v>
      </c>
      <c r="M27">
        <v>21</v>
      </c>
      <c r="N27" t="s">
        <v>38</v>
      </c>
      <c r="O27">
        <v>4.3</v>
      </c>
      <c r="P27" s="2">
        <f>EOMONTH(Table1[[#This Row],[Order_Date]],0)</f>
        <v>45473</v>
      </c>
      <c r="Q27" s="3">
        <f>WEEKNUM(Table1[[#This Row],[Order_Date]])</f>
        <v>25</v>
      </c>
      <c r="R27">
        <f>YEAR(Table1[[#This Row],[Order_Date]])</f>
        <v>2024</v>
      </c>
      <c r="S27" t="str">
        <f>IF(Table1[[#This Row],[Quantity]]&gt;=3,"Promo","Regular")</f>
        <v>Promo</v>
      </c>
    </row>
    <row r="28" spans="1:19" x14ac:dyDescent="0.35">
      <c r="A28" t="s">
        <v>1712</v>
      </c>
      <c r="B28" t="s">
        <v>90</v>
      </c>
      <c r="C28" s="1">
        <v>45319</v>
      </c>
      <c r="D28" t="s">
        <v>57</v>
      </c>
      <c r="E28" t="s">
        <v>75</v>
      </c>
      <c r="F28" t="s">
        <v>45</v>
      </c>
      <c r="G28" t="s">
        <v>46</v>
      </c>
      <c r="H28" t="s">
        <v>32</v>
      </c>
      <c r="I28" t="s">
        <v>20</v>
      </c>
      <c r="J28">
        <v>1</v>
      </c>
      <c r="K28">
        <v>471</v>
      </c>
      <c r="L28">
        <v>471</v>
      </c>
      <c r="M28">
        <v>38</v>
      </c>
      <c r="N28" t="s">
        <v>38</v>
      </c>
      <c r="O28">
        <v>3.4</v>
      </c>
      <c r="P28" s="2">
        <f>EOMONTH(Table1[[#This Row],[Order_Date]],0)</f>
        <v>45322</v>
      </c>
      <c r="Q28" s="3">
        <f>WEEKNUM(Table1[[#This Row],[Order_Date]])</f>
        <v>5</v>
      </c>
      <c r="R28">
        <f>YEAR(Table1[[#This Row],[Order_Date]])</f>
        <v>2024</v>
      </c>
      <c r="S28" t="str">
        <f>IF(Table1[[#This Row],[Quantity]]&gt;=3,"Promo","Regular")</f>
        <v>Regular</v>
      </c>
    </row>
    <row r="29" spans="1:19" x14ac:dyDescent="0.35">
      <c r="A29" t="s">
        <v>1713</v>
      </c>
      <c r="B29" t="s">
        <v>91</v>
      </c>
      <c r="C29" s="1">
        <v>45553</v>
      </c>
      <c r="D29" t="s">
        <v>48</v>
      </c>
      <c r="E29" t="s">
        <v>49</v>
      </c>
      <c r="F29" t="s">
        <v>24</v>
      </c>
      <c r="G29" t="s">
        <v>46</v>
      </c>
      <c r="H29" t="s">
        <v>50</v>
      </c>
      <c r="I29" t="s">
        <v>20</v>
      </c>
      <c r="J29">
        <v>4</v>
      </c>
      <c r="K29">
        <v>105</v>
      </c>
      <c r="L29">
        <v>420</v>
      </c>
      <c r="M29">
        <v>28</v>
      </c>
      <c r="N29" t="s">
        <v>38</v>
      </c>
      <c r="O29">
        <v>4.8</v>
      </c>
      <c r="P29" s="2">
        <f>EOMONTH(Table1[[#This Row],[Order_Date]],0)</f>
        <v>45565</v>
      </c>
      <c r="Q29" s="3">
        <f>WEEKNUM(Table1[[#This Row],[Order_Date]])</f>
        <v>38</v>
      </c>
      <c r="R29">
        <f>YEAR(Table1[[#This Row],[Order_Date]])</f>
        <v>2024</v>
      </c>
      <c r="S29" t="str">
        <f>IF(Table1[[#This Row],[Quantity]]&gt;=3,"Promo","Regular")</f>
        <v>Promo</v>
      </c>
    </row>
    <row r="30" spans="1:19" x14ac:dyDescent="0.35">
      <c r="A30" t="s">
        <v>1714</v>
      </c>
      <c r="B30" t="s">
        <v>92</v>
      </c>
      <c r="C30" s="1">
        <v>45367</v>
      </c>
      <c r="D30" t="s">
        <v>43</v>
      </c>
      <c r="E30" t="s">
        <v>93</v>
      </c>
      <c r="F30" t="s">
        <v>45</v>
      </c>
      <c r="G30" t="s">
        <v>73</v>
      </c>
      <c r="H30" t="s">
        <v>53</v>
      </c>
      <c r="I30" t="s">
        <v>20</v>
      </c>
      <c r="J30">
        <v>3</v>
      </c>
      <c r="K30">
        <v>334</v>
      </c>
      <c r="L30">
        <v>1002</v>
      </c>
      <c r="M30">
        <v>54</v>
      </c>
      <c r="N30" t="s">
        <v>33</v>
      </c>
      <c r="O30">
        <v>4.7</v>
      </c>
      <c r="P30" s="2">
        <f>EOMONTH(Table1[[#This Row],[Order_Date]],0)</f>
        <v>45382</v>
      </c>
      <c r="Q30" s="3">
        <f>WEEKNUM(Table1[[#This Row],[Order_Date]])</f>
        <v>11</v>
      </c>
      <c r="R30">
        <f>YEAR(Table1[[#This Row],[Order_Date]])</f>
        <v>2024</v>
      </c>
      <c r="S30" t="str">
        <f>IF(Table1[[#This Row],[Quantity]]&gt;=3,"Promo","Regular")</f>
        <v>Promo</v>
      </c>
    </row>
    <row r="31" spans="1:19" x14ac:dyDescent="0.35">
      <c r="A31" t="s">
        <v>1715</v>
      </c>
      <c r="B31" t="s">
        <v>94</v>
      </c>
      <c r="C31" s="1">
        <v>45512</v>
      </c>
      <c r="D31" t="s">
        <v>15</v>
      </c>
      <c r="E31" t="s">
        <v>95</v>
      </c>
      <c r="F31" t="s">
        <v>85</v>
      </c>
      <c r="G31" t="s">
        <v>36</v>
      </c>
      <c r="H31" t="s">
        <v>53</v>
      </c>
      <c r="I31" t="s">
        <v>20</v>
      </c>
      <c r="J31">
        <v>3</v>
      </c>
      <c r="K31">
        <v>316</v>
      </c>
      <c r="L31">
        <v>948</v>
      </c>
      <c r="M31">
        <v>46</v>
      </c>
      <c r="N31" t="s">
        <v>21</v>
      </c>
      <c r="O31">
        <v>4.8</v>
      </c>
      <c r="P31" s="2">
        <f>EOMONTH(Table1[[#This Row],[Order_Date]],0)</f>
        <v>45535</v>
      </c>
      <c r="Q31" s="3">
        <f>WEEKNUM(Table1[[#This Row],[Order_Date]])</f>
        <v>32</v>
      </c>
      <c r="R31">
        <f>YEAR(Table1[[#This Row],[Order_Date]])</f>
        <v>2024</v>
      </c>
      <c r="S31" t="str">
        <f>IF(Table1[[#This Row],[Quantity]]&gt;=3,"Promo","Regular")</f>
        <v>Promo</v>
      </c>
    </row>
    <row r="32" spans="1:19" x14ac:dyDescent="0.35">
      <c r="A32" t="s">
        <v>1716</v>
      </c>
      <c r="B32" t="s">
        <v>96</v>
      </c>
      <c r="C32" s="1">
        <v>45390</v>
      </c>
      <c r="D32" t="s">
        <v>48</v>
      </c>
      <c r="E32" t="s">
        <v>49</v>
      </c>
      <c r="F32" t="s">
        <v>72</v>
      </c>
      <c r="G32" t="s">
        <v>36</v>
      </c>
      <c r="H32" t="s">
        <v>19</v>
      </c>
      <c r="I32" t="s">
        <v>20</v>
      </c>
      <c r="J32">
        <v>5</v>
      </c>
      <c r="K32">
        <v>349</v>
      </c>
      <c r="L32">
        <v>1745</v>
      </c>
      <c r="M32">
        <v>38</v>
      </c>
      <c r="N32" t="s">
        <v>33</v>
      </c>
      <c r="O32">
        <v>3.5</v>
      </c>
      <c r="P32" s="2">
        <f>EOMONTH(Table1[[#This Row],[Order_Date]],0)</f>
        <v>45412</v>
      </c>
      <c r="Q32" s="3">
        <f>WEEKNUM(Table1[[#This Row],[Order_Date]])</f>
        <v>15</v>
      </c>
      <c r="R32">
        <f>YEAR(Table1[[#This Row],[Order_Date]])</f>
        <v>2024</v>
      </c>
      <c r="S32" t="str">
        <f>IF(Table1[[#This Row],[Quantity]]&gt;=3,"Promo","Regular")</f>
        <v>Promo</v>
      </c>
    </row>
    <row r="33" spans="1:19" x14ac:dyDescent="0.35">
      <c r="A33" t="s">
        <v>1717</v>
      </c>
      <c r="B33" t="s">
        <v>97</v>
      </c>
      <c r="C33" s="1">
        <v>45558</v>
      </c>
      <c r="D33" t="s">
        <v>28</v>
      </c>
      <c r="E33" t="s">
        <v>98</v>
      </c>
      <c r="F33" t="s">
        <v>17</v>
      </c>
      <c r="G33" t="s">
        <v>18</v>
      </c>
      <c r="H33" t="s">
        <v>55</v>
      </c>
      <c r="I33" t="s">
        <v>20</v>
      </c>
      <c r="J33">
        <v>5</v>
      </c>
      <c r="K33">
        <v>139</v>
      </c>
      <c r="L33">
        <v>695</v>
      </c>
      <c r="M33">
        <v>28</v>
      </c>
      <c r="N33" t="s">
        <v>21</v>
      </c>
      <c r="O33">
        <v>4</v>
      </c>
      <c r="P33" s="2">
        <f>EOMONTH(Table1[[#This Row],[Order_Date]],0)</f>
        <v>45565</v>
      </c>
      <c r="Q33" s="3">
        <f>WEEKNUM(Table1[[#This Row],[Order_Date]])</f>
        <v>39</v>
      </c>
      <c r="R33">
        <f>YEAR(Table1[[#This Row],[Order_Date]])</f>
        <v>2024</v>
      </c>
      <c r="S33" t="str">
        <f>IF(Table1[[#This Row],[Quantity]]&gt;=3,"Promo","Regular")</f>
        <v>Promo</v>
      </c>
    </row>
    <row r="34" spans="1:19" x14ac:dyDescent="0.35">
      <c r="A34" t="s">
        <v>1718</v>
      </c>
      <c r="B34" t="s">
        <v>99</v>
      </c>
      <c r="C34" s="1">
        <v>45577</v>
      </c>
      <c r="D34" t="s">
        <v>28</v>
      </c>
      <c r="E34" t="s">
        <v>40</v>
      </c>
      <c r="F34" t="s">
        <v>30</v>
      </c>
      <c r="G34" t="s">
        <v>36</v>
      </c>
      <c r="H34" t="s">
        <v>66</v>
      </c>
      <c r="I34" t="s">
        <v>20</v>
      </c>
      <c r="J34">
        <v>1</v>
      </c>
      <c r="K34">
        <v>491</v>
      </c>
      <c r="L34">
        <v>491</v>
      </c>
      <c r="M34">
        <v>57</v>
      </c>
      <c r="N34" t="s">
        <v>21</v>
      </c>
      <c r="O34">
        <v>3.9</v>
      </c>
      <c r="P34" s="2">
        <f>EOMONTH(Table1[[#This Row],[Order_Date]],0)</f>
        <v>45596</v>
      </c>
      <c r="Q34" s="3">
        <f>WEEKNUM(Table1[[#This Row],[Order_Date]])</f>
        <v>41</v>
      </c>
      <c r="R34">
        <f>YEAR(Table1[[#This Row],[Order_Date]])</f>
        <v>2024</v>
      </c>
      <c r="S34" t="str">
        <f>IF(Table1[[#This Row],[Quantity]]&gt;=3,"Promo","Regular")</f>
        <v>Regular</v>
      </c>
    </row>
    <row r="35" spans="1:19" x14ac:dyDescent="0.35">
      <c r="A35" t="s">
        <v>1719</v>
      </c>
      <c r="B35" t="s">
        <v>100</v>
      </c>
      <c r="C35" s="1">
        <v>45477</v>
      </c>
      <c r="D35" t="s">
        <v>57</v>
      </c>
      <c r="E35" t="s">
        <v>62</v>
      </c>
      <c r="F35" t="s">
        <v>72</v>
      </c>
      <c r="G35" t="s">
        <v>31</v>
      </c>
      <c r="H35" t="s">
        <v>53</v>
      </c>
      <c r="I35" t="s">
        <v>20</v>
      </c>
      <c r="J35">
        <v>4</v>
      </c>
      <c r="K35">
        <v>481</v>
      </c>
      <c r="L35">
        <v>1924</v>
      </c>
      <c r="M35">
        <v>51</v>
      </c>
      <c r="N35" t="s">
        <v>21</v>
      </c>
      <c r="O35">
        <v>3.7</v>
      </c>
      <c r="P35" s="2">
        <f>EOMONTH(Table1[[#This Row],[Order_Date]],0)</f>
        <v>45504</v>
      </c>
      <c r="Q35" s="3">
        <f>WEEKNUM(Table1[[#This Row],[Order_Date]])</f>
        <v>27</v>
      </c>
      <c r="R35">
        <f>YEAR(Table1[[#This Row],[Order_Date]])</f>
        <v>2024</v>
      </c>
      <c r="S35" t="str">
        <f>IF(Table1[[#This Row],[Quantity]]&gt;=3,"Promo","Regular")</f>
        <v>Promo</v>
      </c>
    </row>
    <row r="36" spans="1:19" x14ac:dyDescent="0.35">
      <c r="A36" t="s">
        <v>1720</v>
      </c>
      <c r="B36" t="s">
        <v>101</v>
      </c>
      <c r="C36" s="1">
        <v>45399</v>
      </c>
      <c r="D36" t="s">
        <v>43</v>
      </c>
      <c r="E36" t="s">
        <v>52</v>
      </c>
      <c r="F36" t="s">
        <v>45</v>
      </c>
      <c r="G36" t="s">
        <v>36</v>
      </c>
      <c r="H36" t="s">
        <v>32</v>
      </c>
      <c r="I36" t="s">
        <v>20</v>
      </c>
      <c r="J36">
        <v>4</v>
      </c>
      <c r="K36">
        <v>402</v>
      </c>
      <c r="L36">
        <v>1608</v>
      </c>
      <c r="M36">
        <v>41</v>
      </c>
      <c r="N36" t="s">
        <v>21</v>
      </c>
      <c r="O36">
        <v>4.2</v>
      </c>
      <c r="P36" s="2">
        <f>EOMONTH(Table1[[#This Row],[Order_Date]],0)</f>
        <v>45412</v>
      </c>
      <c r="Q36" s="3">
        <f>WEEKNUM(Table1[[#This Row],[Order_Date]])</f>
        <v>16</v>
      </c>
      <c r="R36">
        <f>YEAR(Table1[[#This Row],[Order_Date]])</f>
        <v>2024</v>
      </c>
      <c r="S36" t="str">
        <f>IF(Table1[[#This Row],[Quantity]]&gt;=3,"Promo","Regular")</f>
        <v>Promo</v>
      </c>
    </row>
    <row r="37" spans="1:19" x14ac:dyDescent="0.35">
      <c r="A37" t="s">
        <v>1721</v>
      </c>
      <c r="B37" t="s">
        <v>102</v>
      </c>
      <c r="C37" s="1">
        <v>45468</v>
      </c>
      <c r="D37" t="s">
        <v>15</v>
      </c>
      <c r="E37" t="s">
        <v>103</v>
      </c>
      <c r="F37" t="s">
        <v>17</v>
      </c>
      <c r="G37" t="s">
        <v>36</v>
      </c>
      <c r="H37" t="s">
        <v>37</v>
      </c>
      <c r="I37" t="s">
        <v>20</v>
      </c>
      <c r="J37">
        <v>4</v>
      </c>
      <c r="K37">
        <v>133</v>
      </c>
      <c r="L37">
        <v>532</v>
      </c>
      <c r="M37">
        <v>21</v>
      </c>
      <c r="N37" t="s">
        <v>33</v>
      </c>
      <c r="O37">
        <v>3.6</v>
      </c>
      <c r="P37" s="2">
        <f>EOMONTH(Table1[[#This Row],[Order_Date]],0)</f>
        <v>45473</v>
      </c>
      <c r="Q37" s="3">
        <f>WEEKNUM(Table1[[#This Row],[Order_Date]])</f>
        <v>26</v>
      </c>
      <c r="R37">
        <f>YEAR(Table1[[#This Row],[Order_Date]])</f>
        <v>2024</v>
      </c>
      <c r="S37" t="str">
        <f>IF(Table1[[#This Row],[Quantity]]&gt;=3,"Promo","Regular")</f>
        <v>Promo</v>
      </c>
    </row>
    <row r="38" spans="1:19" x14ac:dyDescent="0.35">
      <c r="A38" t="s">
        <v>1722</v>
      </c>
      <c r="B38" t="s">
        <v>104</v>
      </c>
      <c r="C38" s="1">
        <v>45442</v>
      </c>
      <c r="D38" t="s">
        <v>57</v>
      </c>
      <c r="E38" t="s">
        <v>105</v>
      </c>
      <c r="F38" t="s">
        <v>30</v>
      </c>
      <c r="G38" t="s">
        <v>25</v>
      </c>
      <c r="H38" t="s">
        <v>53</v>
      </c>
      <c r="I38" t="s">
        <v>20</v>
      </c>
      <c r="J38">
        <v>3</v>
      </c>
      <c r="K38">
        <v>185</v>
      </c>
      <c r="L38">
        <v>555</v>
      </c>
      <c r="M38">
        <v>46</v>
      </c>
      <c r="N38" t="s">
        <v>38</v>
      </c>
      <c r="O38">
        <v>4</v>
      </c>
      <c r="P38" s="2">
        <f>EOMONTH(Table1[[#This Row],[Order_Date]],0)</f>
        <v>45443</v>
      </c>
      <c r="Q38" s="3">
        <f>WEEKNUM(Table1[[#This Row],[Order_Date]])</f>
        <v>22</v>
      </c>
      <c r="R38">
        <f>YEAR(Table1[[#This Row],[Order_Date]])</f>
        <v>2024</v>
      </c>
      <c r="S38" t="str">
        <f>IF(Table1[[#This Row],[Quantity]]&gt;=3,"Promo","Regular")</f>
        <v>Promo</v>
      </c>
    </row>
    <row r="39" spans="1:19" x14ac:dyDescent="0.35">
      <c r="A39" t="s">
        <v>1723</v>
      </c>
      <c r="B39" t="s">
        <v>106</v>
      </c>
      <c r="C39" s="1">
        <v>45566</v>
      </c>
      <c r="D39" t="s">
        <v>28</v>
      </c>
      <c r="E39" t="s">
        <v>77</v>
      </c>
      <c r="F39" t="s">
        <v>85</v>
      </c>
      <c r="G39" t="s">
        <v>31</v>
      </c>
      <c r="H39" t="s">
        <v>32</v>
      </c>
      <c r="I39" t="s">
        <v>20</v>
      </c>
      <c r="J39">
        <v>3</v>
      </c>
      <c r="K39">
        <v>329</v>
      </c>
      <c r="L39">
        <v>987</v>
      </c>
      <c r="M39">
        <v>39</v>
      </c>
      <c r="N39" t="s">
        <v>33</v>
      </c>
      <c r="O39">
        <v>4.5</v>
      </c>
      <c r="P39" s="2">
        <f>EOMONTH(Table1[[#This Row],[Order_Date]],0)</f>
        <v>45596</v>
      </c>
      <c r="Q39" s="3">
        <f>WEEKNUM(Table1[[#This Row],[Order_Date]])</f>
        <v>40</v>
      </c>
      <c r="R39">
        <f>YEAR(Table1[[#This Row],[Order_Date]])</f>
        <v>2024</v>
      </c>
      <c r="S39" t="str">
        <f>IF(Table1[[#This Row],[Quantity]]&gt;=3,"Promo","Regular")</f>
        <v>Promo</v>
      </c>
    </row>
    <row r="40" spans="1:19" x14ac:dyDescent="0.35">
      <c r="A40" t="s">
        <v>1724</v>
      </c>
      <c r="B40" t="s">
        <v>107</v>
      </c>
      <c r="C40" s="1">
        <v>45308</v>
      </c>
      <c r="D40" t="s">
        <v>28</v>
      </c>
      <c r="E40" t="s">
        <v>71</v>
      </c>
      <c r="F40" t="s">
        <v>85</v>
      </c>
      <c r="G40" t="s">
        <v>18</v>
      </c>
      <c r="H40" t="s">
        <v>59</v>
      </c>
      <c r="I40" t="s">
        <v>60</v>
      </c>
      <c r="J40">
        <v>1</v>
      </c>
      <c r="K40">
        <v>298</v>
      </c>
      <c r="L40">
        <v>298</v>
      </c>
      <c r="M40">
        <v>47</v>
      </c>
      <c r="N40" t="s">
        <v>33</v>
      </c>
      <c r="O40">
        <v>4.7</v>
      </c>
      <c r="P40" s="2">
        <f>EOMONTH(Table1[[#This Row],[Order_Date]],0)</f>
        <v>45322</v>
      </c>
      <c r="Q40" s="3">
        <f>WEEKNUM(Table1[[#This Row],[Order_Date]])</f>
        <v>3</v>
      </c>
      <c r="R40">
        <f>YEAR(Table1[[#This Row],[Order_Date]])</f>
        <v>2024</v>
      </c>
      <c r="S40" t="str">
        <f>IF(Table1[[#This Row],[Quantity]]&gt;=3,"Promo","Regular")</f>
        <v>Regular</v>
      </c>
    </row>
    <row r="41" spans="1:19" x14ac:dyDescent="0.35">
      <c r="A41" t="s">
        <v>1725</v>
      </c>
      <c r="B41" t="s">
        <v>108</v>
      </c>
      <c r="C41" s="1">
        <v>45443</v>
      </c>
      <c r="D41" t="s">
        <v>57</v>
      </c>
      <c r="E41" t="s">
        <v>105</v>
      </c>
      <c r="F41" t="s">
        <v>45</v>
      </c>
      <c r="G41" t="s">
        <v>46</v>
      </c>
      <c r="H41" t="s">
        <v>55</v>
      </c>
      <c r="I41" t="s">
        <v>20</v>
      </c>
      <c r="J41">
        <v>3</v>
      </c>
      <c r="K41">
        <v>305</v>
      </c>
      <c r="L41">
        <v>915</v>
      </c>
      <c r="M41">
        <v>55</v>
      </c>
      <c r="N41" t="s">
        <v>21</v>
      </c>
      <c r="O41">
        <v>3.3</v>
      </c>
      <c r="P41" s="2">
        <f>EOMONTH(Table1[[#This Row],[Order_Date]],0)</f>
        <v>45443</v>
      </c>
      <c r="Q41" s="3">
        <f>WEEKNUM(Table1[[#This Row],[Order_Date]])</f>
        <v>22</v>
      </c>
      <c r="R41">
        <f>YEAR(Table1[[#This Row],[Order_Date]])</f>
        <v>2024</v>
      </c>
      <c r="S41" t="str">
        <f>IF(Table1[[#This Row],[Quantity]]&gt;=3,"Promo","Regular")</f>
        <v>Promo</v>
      </c>
    </row>
    <row r="42" spans="1:19" x14ac:dyDescent="0.35">
      <c r="A42" t="s">
        <v>1726</v>
      </c>
      <c r="B42" t="s">
        <v>109</v>
      </c>
      <c r="C42" s="1">
        <v>45485</v>
      </c>
      <c r="D42" t="s">
        <v>43</v>
      </c>
      <c r="E42" t="s">
        <v>110</v>
      </c>
      <c r="F42" t="s">
        <v>72</v>
      </c>
      <c r="G42" t="s">
        <v>31</v>
      </c>
      <c r="H42" t="s">
        <v>50</v>
      </c>
      <c r="I42" t="s">
        <v>20</v>
      </c>
      <c r="J42">
        <v>5</v>
      </c>
      <c r="K42">
        <v>227</v>
      </c>
      <c r="L42">
        <v>1135</v>
      </c>
      <c r="M42">
        <v>28</v>
      </c>
      <c r="N42" t="s">
        <v>38</v>
      </c>
      <c r="O42">
        <v>3.4</v>
      </c>
      <c r="P42" s="2">
        <f>EOMONTH(Table1[[#This Row],[Order_Date]],0)</f>
        <v>45504</v>
      </c>
      <c r="Q42" s="3">
        <f>WEEKNUM(Table1[[#This Row],[Order_Date]])</f>
        <v>28</v>
      </c>
      <c r="R42">
        <f>YEAR(Table1[[#This Row],[Order_Date]])</f>
        <v>2024</v>
      </c>
      <c r="S42" t="str">
        <f>IF(Table1[[#This Row],[Quantity]]&gt;=3,"Promo","Regular")</f>
        <v>Promo</v>
      </c>
    </row>
    <row r="43" spans="1:19" x14ac:dyDescent="0.35">
      <c r="A43" t="s">
        <v>1727</v>
      </c>
      <c r="B43" t="s">
        <v>111</v>
      </c>
      <c r="C43" s="1">
        <v>45302</v>
      </c>
      <c r="D43" t="s">
        <v>15</v>
      </c>
      <c r="E43" t="s">
        <v>112</v>
      </c>
      <c r="F43" t="s">
        <v>35</v>
      </c>
      <c r="G43" t="s">
        <v>36</v>
      </c>
      <c r="H43" t="s">
        <v>50</v>
      </c>
      <c r="I43" t="s">
        <v>20</v>
      </c>
      <c r="J43">
        <v>4</v>
      </c>
      <c r="K43">
        <v>131</v>
      </c>
      <c r="L43">
        <v>524</v>
      </c>
      <c r="M43">
        <v>44</v>
      </c>
      <c r="N43" t="s">
        <v>21</v>
      </c>
      <c r="O43">
        <v>3.3</v>
      </c>
      <c r="P43" s="2">
        <f>EOMONTH(Table1[[#This Row],[Order_Date]],0)</f>
        <v>45322</v>
      </c>
      <c r="Q43" s="3">
        <f>WEEKNUM(Table1[[#This Row],[Order_Date]])</f>
        <v>2</v>
      </c>
      <c r="R43">
        <f>YEAR(Table1[[#This Row],[Order_Date]])</f>
        <v>2024</v>
      </c>
      <c r="S43" t="str">
        <f>IF(Table1[[#This Row],[Quantity]]&gt;=3,"Promo","Regular")</f>
        <v>Promo</v>
      </c>
    </row>
    <row r="44" spans="1:19" x14ac:dyDescent="0.35">
      <c r="A44" t="s">
        <v>1728</v>
      </c>
      <c r="B44" t="s">
        <v>113</v>
      </c>
      <c r="C44" s="1">
        <v>45386</v>
      </c>
      <c r="D44" t="s">
        <v>28</v>
      </c>
      <c r="E44" t="s">
        <v>77</v>
      </c>
      <c r="F44" t="s">
        <v>69</v>
      </c>
      <c r="G44" t="s">
        <v>18</v>
      </c>
      <c r="H44" t="s">
        <v>19</v>
      </c>
      <c r="I44" t="s">
        <v>20</v>
      </c>
      <c r="J44">
        <v>3</v>
      </c>
      <c r="K44">
        <v>272</v>
      </c>
      <c r="L44">
        <v>816</v>
      </c>
      <c r="M44">
        <v>42</v>
      </c>
      <c r="N44" t="s">
        <v>21</v>
      </c>
      <c r="O44">
        <v>3.4</v>
      </c>
      <c r="P44" s="2">
        <f>EOMONTH(Table1[[#This Row],[Order_Date]],0)</f>
        <v>45412</v>
      </c>
      <c r="Q44" s="3">
        <f>WEEKNUM(Table1[[#This Row],[Order_Date]])</f>
        <v>14</v>
      </c>
      <c r="R44">
        <f>YEAR(Table1[[#This Row],[Order_Date]])</f>
        <v>2024</v>
      </c>
      <c r="S44" t="str">
        <f>IF(Table1[[#This Row],[Quantity]]&gt;=3,"Promo","Regular")</f>
        <v>Promo</v>
      </c>
    </row>
    <row r="45" spans="1:19" x14ac:dyDescent="0.35">
      <c r="A45" t="s">
        <v>1729</v>
      </c>
      <c r="B45" t="s">
        <v>114</v>
      </c>
      <c r="C45" s="1">
        <v>45494</v>
      </c>
      <c r="D45" t="s">
        <v>15</v>
      </c>
      <c r="E45" t="s">
        <v>95</v>
      </c>
      <c r="F45" t="s">
        <v>69</v>
      </c>
      <c r="G45" t="s">
        <v>36</v>
      </c>
      <c r="H45" t="s">
        <v>26</v>
      </c>
      <c r="I45" t="s">
        <v>20</v>
      </c>
      <c r="J45">
        <v>4</v>
      </c>
      <c r="K45">
        <v>273</v>
      </c>
      <c r="L45">
        <v>1092</v>
      </c>
      <c r="M45">
        <v>42</v>
      </c>
      <c r="N45" t="s">
        <v>21</v>
      </c>
      <c r="O45">
        <v>5</v>
      </c>
      <c r="P45" s="2">
        <f>EOMONTH(Table1[[#This Row],[Order_Date]],0)</f>
        <v>45504</v>
      </c>
      <c r="Q45" s="3">
        <f>WEEKNUM(Table1[[#This Row],[Order_Date]])</f>
        <v>30</v>
      </c>
      <c r="R45">
        <f>YEAR(Table1[[#This Row],[Order_Date]])</f>
        <v>2024</v>
      </c>
      <c r="S45" t="str">
        <f>IF(Table1[[#This Row],[Quantity]]&gt;=3,"Promo","Regular")</f>
        <v>Promo</v>
      </c>
    </row>
    <row r="46" spans="1:19" x14ac:dyDescent="0.35">
      <c r="A46" t="s">
        <v>1730</v>
      </c>
      <c r="B46" t="s">
        <v>115</v>
      </c>
      <c r="C46" s="1">
        <v>45581</v>
      </c>
      <c r="D46" t="s">
        <v>43</v>
      </c>
      <c r="E46" t="s">
        <v>93</v>
      </c>
      <c r="F46" t="s">
        <v>85</v>
      </c>
      <c r="G46" t="s">
        <v>25</v>
      </c>
      <c r="H46" t="s">
        <v>59</v>
      </c>
      <c r="I46" t="s">
        <v>60</v>
      </c>
      <c r="J46">
        <v>2</v>
      </c>
      <c r="K46">
        <v>433</v>
      </c>
      <c r="L46">
        <v>866</v>
      </c>
      <c r="M46">
        <v>59</v>
      </c>
      <c r="N46" t="s">
        <v>33</v>
      </c>
      <c r="O46">
        <v>4.2</v>
      </c>
      <c r="P46" s="2">
        <f>EOMONTH(Table1[[#This Row],[Order_Date]],0)</f>
        <v>45596</v>
      </c>
      <c r="Q46" s="3">
        <f>WEEKNUM(Table1[[#This Row],[Order_Date]])</f>
        <v>42</v>
      </c>
      <c r="R46">
        <f>YEAR(Table1[[#This Row],[Order_Date]])</f>
        <v>2024</v>
      </c>
      <c r="S46" t="str">
        <f>IF(Table1[[#This Row],[Quantity]]&gt;=3,"Promo","Regular")</f>
        <v>Regular</v>
      </c>
    </row>
    <row r="47" spans="1:19" x14ac:dyDescent="0.35">
      <c r="A47" t="s">
        <v>1731</v>
      </c>
      <c r="B47" t="s">
        <v>116</v>
      </c>
      <c r="C47" s="1">
        <v>45546</v>
      </c>
      <c r="D47" t="s">
        <v>57</v>
      </c>
      <c r="E47" t="s">
        <v>105</v>
      </c>
      <c r="F47" t="s">
        <v>30</v>
      </c>
      <c r="G47" t="s">
        <v>73</v>
      </c>
      <c r="H47" t="s">
        <v>32</v>
      </c>
      <c r="I47" t="s">
        <v>20</v>
      </c>
      <c r="J47">
        <v>5</v>
      </c>
      <c r="K47">
        <v>445</v>
      </c>
      <c r="L47">
        <v>2225</v>
      </c>
      <c r="M47">
        <v>39</v>
      </c>
      <c r="N47" t="s">
        <v>38</v>
      </c>
      <c r="O47">
        <v>3.4</v>
      </c>
      <c r="P47" s="2">
        <f>EOMONTH(Table1[[#This Row],[Order_Date]],0)</f>
        <v>45565</v>
      </c>
      <c r="Q47" s="3">
        <f>WEEKNUM(Table1[[#This Row],[Order_Date]])</f>
        <v>37</v>
      </c>
      <c r="R47">
        <f>YEAR(Table1[[#This Row],[Order_Date]])</f>
        <v>2024</v>
      </c>
      <c r="S47" t="str">
        <f>IF(Table1[[#This Row],[Quantity]]&gt;=3,"Promo","Regular")</f>
        <v>Promo</v>
      </c>
    </row>
    <row r="48" spans="1:19" x14ac:dyDescent="0.35">
      <c r="A48" t="s">
        <v>1732</v>
      </c>
      <c r="B48" t="s">
        <v>117</v>
      </c>
      <c r="C48" s="1">
        <v>45389</v>
      </c>
      <c r="D48" t="s">
        <v>48</v>
      </c>
      <c r="E48" t="s">
        <v>64</v>
      </c>
      <c r="F48" t="s">
        <v>17</v>
      </c>
      <c r="G48" t="s">
        <v>25</v>
      </c>
      <c r="H48" t="s">
        <v>66</v>
      </c>
      <c r="I48" t="s">
        <v>20</v>
      </c>
      <c r="J48">
        <v>2</v>
      </c>
      <c r="K48">
        <v>418</v>
      </c>
      <c r="L48">
        <v>836</v>
      </c>
      <c r="M48">
        <v>20</v>
      </c>
      <c r="N48" t="s">
        <v>38</v>
      </c>
      <c r="O48">
        <v>4.7</v>
      </c>
      <c r="P48" s="2">
        <f>EOMONTH(Table1[[#This Row],[Order_Date]],0)</f>
        <v>45412</v>
      </c>
      <c r="Q48" s="3">
        <f>WEEKNUM(Table1[[#This Row],[Order_Date]])</f>
        <v>15</v>
      </c>
      <c r="R48">
        <f>YEAR(Table1[[#This Row],[Order_Date]])</f>
        <v>2024</v>
      </c>
      <c r="S48" t="str">
        <f>IF(Table1[[#This Row],[Quantity]]&gt;=3,"Promo","Regular")</f>
        <v>Regular</v>
      </c>
    </row>
    <row r="49" spans="1:19" x14ac:dyDescent="0.35">
      <c r="A49" t="s">
        <v>1733</v>
      </c>
      <c r="B49" t="s">
        <v>118</v>
      </c>
      <c r="C49" s="1">
        <v>45482</v>
      </c>
      <c r="D49" t="s">
        <v>48</v>
      </c>
      <c r="E49" t="s">
        <v>49</v>
      </c>
      <c r="F49" t="s">
        <v>69</v>
      </c>
      <c r="G49" t="s">
        <v>25</v>
      </c>
      <c r="H49" t="s">
        <v>53</v>
      </c>
      <c r="I49" t="s">
        <v>20</v>
      </c>
      <c r="J49">
        <v>2</v>
      </c>
      <c r="K49">
        <v>214</v>
      </c>
      <c r="L49">
        <v>428</v>
      </c>
      <c r="M49">
        <v>21</v>
      </c>
      <c r="N49" t="s">
        <v>33</v>
      </c>
      <c r="O49">
        <v>4.7</v>
      </c>
      <c r="P49" s="2">
        <f>EOMONTH(Table1[[#This Row],[Order_Date]],0)</f>
        <v>45504</v>
      </c>
      <c r="Q49" s="3">
        <f>WEEKNUM(Table1[[#This Row],[Order_Date]])</f>
        <v>28</v>
      </c>
      <c r="R49">
        <f>YEAR(Table1[[#This Row],[Order_Date]])</f>
        <v>2024</v>
      </c>
      <c r="S49" t="str">
        <f>IF(Table1[[#This Row],[Quantity]]&gt;=3,"Promo","Regular")</f>
        <v>Regular</v>
      </c>
    </row>
    <row r="50" spans="1:19" x14ac:dyDescent="0.35">
      <c r="A50" t="s">
        <v>1734</v>
      </c>
      <c r="B50" t="s">
        <v>119</v>
      </c>
      <c r="C50" s="1">
        <v>45411</v>
      </c>
      <c r="D50" t="s">
        <v>15</v>
      </c>
      <c r="E50" t="s">
        <v>112</v>
      </c>
      <c r="F50" t="s">
        <v>85</v>
      </c>
      <c r="G50" t="s">
        <v>36</v>
      </c>
      <c r="H50" t="s">
        <v>120</v>
      </c>
      <c r="I50" t="s">
        <v>60</v>
      </c>
      <c r="J50">
        <v>1</v>
      </c>
      <c r="K50">
        <v>336</v>
      </c>
      <c r="L50">
        <v>336</v>
      </c>
      <c r="M50">
        <v>40</v>
      </c>
      <c r="N50" t="s">
        <v>21</v>
      </c>
      <c r="O50">
        <v>4.8</v>
      </c>
      <c r="P50" s="2">
        <f>EOMONTH(Table1[[#This Row],[Order_Date]],0)</f>
        <v>45412</v>
      </c>
      <c r="Q50" s="3">
        <f>WEEKNUM(Table1[[#This Row],[Order_Date]])</f>
        <v>18</v>
      </c>
      <c r="R50">
        <f>YEAR(Table1[[#This Row],[Order_Date]])</f>
        <v>2024</v>
      </c>
      <c r="S50" t="str">
        <f>IF(Table1[[#This Row],[Quantity]]&gt;=3,"Promo","Regular")</f>
        <v>Regular</v>
      </c>
    </row>
    <row r="51" spans="1:19" x14ac:dyDescent="0.35">
      <c r="A51" t="s">
        <v>1735</v>
      </c>
      <c r="B51" t="s">
        <v>121</v>
      </c>
      <c r="C51" s="1">
        <v>45467</v>
      </c>
      <c r="D51" t="s">
        <v>57</v>
      </c>
      <c r="E51" t="s">
        <v>105</v>
      </c>
      <c r="F51" t="s">
        <v>72</v>
      </c>
      <c r="G51" t="s">
        <v>25</v>
      </c>
      <c r="H51" t="s">
        <v>59</v>
      </c>
      <c r="I51" t="s">
        <v>60</v>
      </c>
      <c r="J51">
        <v>3</v>
      </c>
      <c r="K51">
        <v>464</v>
      </c>
      <c r="L51">
        <v>1392</v>
      </c>
      <c r="M51">
        <v>56</v>
      </c>
      <c r="N51" t="s">
        <v>38</v>
      </c>
      <c r="O51">
        <v>4.5</v>
      </c>
      <c r="P51" s="2">
        <f>EOMONTH(Table1[[#This Row],[Order_Date]],0)</f>
        <v>45473</v>
      </c>
      <c r="Q51" s="3">
        <f>WEEKNUM(Table1[[#This Row],[Order_Date]])</f>
        <v>26</v>
      </c>
      <c r="R51">
        <f>YEAR(Table1[[#This Row],[Order_Date]])</f>
        <v>2024</v>
      </c>
      <c r="S51" t="str">
        <f>IF(Table1[[#This Row],[Quantity]]&gt;=3,"Promo","Regular")</f>
        <v>Promo</v>
      </c>
    </row>
    <row r="52" spans="1:19" x14ac:dyDescent="0.35">
      <c r="A52" t="s">
        <v>1736</v>
      </c>
      <c r="B52" t="s">
        <v>122</v>
      </c>
      <c r="C52" s="1">
        <v>45489</v>
      </c>
      <c r="D52" t="s">
        <v>15</v>
      </c>
      <c r="E52" t="s">
        <v>23</v>
      </c>
      <c r="F52" t="s">
        <v>72</v>
      </c>
      <c r="G52" t="s">
        <v>25</v>
      </c>
      <c r="H52" t="s">
        <v>32</v>
      </c>
      <c r="I52" t="s">
        <v>20</v>
      </c>
      <c r="J52">
        <v>1</v>
      </c>
      <c r="K52">
        <v>395</v>
      </c>
      <c r="L52">
        <v>395</v>
      </c>
      <c r="M52">
        <v>41</v>
      </c>
      <c r="N52" t="s">
        <v>21</v>
      </c>
      <c r="O52">
        <v>4.8</v>
      </c>
      <c r="P52" s="2">
        <f>EOMONTH(Table1[[#This Row],[Order_Date]],0)</f>
        <v>45504</v>
      </c>
      <c r="Q52" s="3">
        <f>WEEKNUM(Table1[[#This Row],[Order_Date]])</f>
        <v>29</v>
      </c>
      <c r="R52">
        <f>YEAR(Table1[[#This Row],[Order_Date]])</f>
        <v>2024</v>
      </c>
      <c r="S52" t="str">
        <f>IF(Table1[[#This Row],[Quantity]]&gt;=3,"Promo","Regular")</f>
        <v>Regular</v>
      </c>
    </row>
    <row r="53" spans="1:19" x14ac:dyDescent="0.35">
      <c r="A53" t="s">
        <v>1737</v>
      </c>
      <c r="B53" t="s">
        <v>123</v>
      </c>
      <c r="C53" s="1">
        <v>45404</v>
      </c>
      <c r="D53" t="s">
        <v>57</v>
      </c>
      <c r="E53" t="s">
        <v>75</v>
      </c>
      <c r="F53" t="s">
        <v>41</v>
      </c>
      <c r="G53" t="s">
        <v>18</v>
      </c>
      <c r="H53" t="s">
        <v>37</v>
      </c>
      <c r="I53" t="s">
        <v>20</v>
      </c>
      <c r="J53">
        <v>5</v>
      </c>
      <c r="K53">
        <v>432</v>
      </c>
      <c r="L53">
        <v>2160</v>
      </c>
      <c r="M53">
        <v>41</v>
      </c>
      <c r="N53" t="s">
        <v>21</v>
      </c>
      <c r="O53">
        <v>3.4</v>
      </c>
      <c r="P53" s="2">
        <f>EOMONTH(Table1[[#This Row],[Order_Date]],0)</f>
        <v>45412</v>
      </c>
      <c r="Q53" s="3">
        <f>WEEKNUM(Table1[[#This Row],[Order_Date]])</f>
        <v>17</v>
      </c>
      <c r="R53">
        <f>YEAR(Table1[[#This Row],[Order_Date]])</f>
        <v>2024</v>
      </c>
      <c r="S53" t="str">
        <f>IF(Table1[[#This Row],[Quantity]]&gt;=3,"Promo","Regular")</f>
        <v>Promo</v>
      </c>
    </row>
    <row r="54" spans="1:19" x14ac:dyDescent="0.35">
      <c r="A54" t="s">
        <v>1738</v>
      </c>
      <c r="B54" t="s">
        <v>124</v>
      </c>
      <c r="C54" s="1">
        <v>45323</v>
      </c>
      <c r="D54" t="s">
        <v>48</v>
      </c>
      <c r="E54" t="s">
        <v>68</v>
      </c>
      <c r="F54" t="s">
        <v>85</v>
      </c>
      <c r="G54" t="s">
        <v>46</v>
      </c>
      <c r="H54" t="s">
        <v>26</v>
      </c>
      <c r="I54" t="s">
        <v>20</v>
      </c>
      <c r="J54">
        <v>1</v>
      </c>
      <c r="K54">
        <v>394</v>
      </c>
      <c r="L54">
        <v>394</v>
      </c>
      <c r="M54">
        <v>46</v>
      </c>
      <c r="N54" t="s">
        <v>21</v>
      </c>
      <c r="O54">
        <v>4.4000000000000004</v>
      </c>
      <c r="P54" s="2">
        <f>EOMONTH(Table1[[#This Row],[Order_Date]],0)</f>
        <v>45351</v>
      </c>
      <c r="Q54" s="3">
        <f>WEEKNUM(Table1[[#This Row],[Order_Date]])</f>
        <v>5</v>
      </c>
      <c r="R54">
        <f>YEAR(Table1[[#This Row],[Order_Date]])</f>
        <v>2024</v>
      </c>
      <c r="S54" t="str">
        <f>IF(Table1[[#This Row],[Quantity]]&gt;=3,"Promo","Regular")</f>
        <v>Regular</v>
      </c>
    </row>
    <row r="55" spans="1:19" x14ac:dyDescent="0.35">
      <c r="A55" t="s">
        <v>1739</v>
      </c>
      <c r="B55" t="s">
        <v>125</v>
      </c>
      <c r="C55" s="1">
        <v>45581</v>
      </c>
      <c r="D55" t="s">
        <v>43</v>
      </c>
      <c r="E55" t="s">
        <v>93</v>
      </c>
      <c r="F55" t="s">
        <v>30</v>
      </c>
      <c r="G55" t="s">
        <v>18</v>
      </c>
      <c r="H55" t="s">
        <v>50</v>
      </c>
      <c r="I55" t="s">
        <v>20</v>
      </c>
      <c r="J55">
        <v>4</v>
      </c>
      <c r="K55">
        <v>264</v>
      </c>
      <c r="L55">
        <v>1056</v>
      </c>
      <c r="M55">
        <v>55</v>
      </c>
      <c r="N55" t="s">
        <v>33</v>
      </c>
      <c r="O55">
        <v>4</v>
      </c>
      <c r="P55" s="2">
        <f>EOMONTH(Table1[[#This Row],[Order_Date]],0)</f>
        <v>45596</v>
      </c>
      <c r="Q55" s="3">
        <f>WEEKNUM(Table1[[#This Row],[Order_Date]])</f>
        <v>42</v>
      </c>
      <c r="R55">
        <f>YEAR(Table1[[#This Row],[Order_Date]])</f>
        <v>2024</v>
      </c>
      <c r="S55" t="str">
        <f>IF(Table1[[#This Row],[Quantity]]&gt;=3,"Promo","Regular")</f>
        <v>Promo</v>
      </c>
    </row>
    <row r="56" spans="1:19" x14ac:dyDescent="0.35">
      <c r="A56" t="s">
        <v>1740</v>
      </c>
      <c r="B56" t="s">
        <v>126</v>
      </c>
      <c r="C56" s="1">
        <v>45431</v>
      </c>
      <c r="D56" t="s">
        <v>48</v>
      </c>
      <c r="E56" t="s">
        <v>127</v>
      </c>
      <c r="F56" t="s">
        <v>72</v>
      </c>
      <c r="G56" t="s">
        <v>46</v>
      </c>
      <c r="H56" t="s">
        <v>50</v>
      </c>
      <c r="I56" t="s">
        <v>20</v>
      </c>
      <c r="J56">
        <v>3</v>
      </c>
      <c r="K56">
        <v>256</v>
      </c>
      <c r="L56">
        <v>768</v>
      </c>
      <c r="M56">
        <v>43</v>
      </c>
      <c r="N56" t="s">
        <v>33</v>
      </c>
      <c r="O56">
        <v>3.9</v>
      </c>
      <c r="P56" s="2">
        <f>EOMONTH(Table1[[#This Row],[Order_Date]],0)</f>
        <v>45443</v>
      </c>
      <c r="Q56" s="3">
        <f>WEEKNUM(Table1[[#This Row],[Order_Date]])</f>
        <v>21</v>
      </c>
      <c r="R56">
        <f>YEAR(Table1[[#This Row],[Order_Date]])</f>
        <v>2024</v>
      </c>
      <c r="S56" t="str">
        <f>IF(Table1[[#This Row],[Quantity]]&gt;=3,"Promo","Regular")</f>
        <v>Promo</v>
      </c>
    </row>
    <row r="57" spans="1:19" x14ac:dyDescent="0.35">
      <c r="A57" t="s">
        <v>1741</v>
      </c>
      <c r="B57" t="s">
        <v>128</v>
      </c>
      <c r="C57" s="1">
        <v>45545</v>
      </c>
      <c r="D57" t="s">
        <v>48</v>
      </c>
      <c r="E57" t="s">
        <v>68</v>
      </c>
      <c r="F57" t="s">
        <v>41</v>
      </c>
      <c r="G57" t="s">
        <v>25</v>
      </c>
      <c r="H57" t="s">
        <v>66</v>
      </c>
      <c r="I57" t="s">
        <v>20</v>
      </c>
      <c r="J57">
        <v>4</v>
      </c>
      <c r="K57">
        <v>178</v>
      </c>
      <c r="L57">
        <v>712</v>
      </c>
      <c r="M57">
        <v>53</v>
      </c>
      <c r="N57" t="s">
        <v>38</v>
      </c>
      <c r="O57">
        <v>4.8</v>
      </c>
      <c r="P57" s="2">
        <f>EOMONTH(Table1[[#This Row],[Order_Date]],0)</f>
        <v>45565</v>
      </c>
      <c r="Q57" s="3">
        <f>WEEKNUM(Table1[[#This Row],[Order_Date]])</f>
        <v>37</v>
      </c>
      <c r="R57">
        <f>YEAR(Table1[[#This Row],[Order_Date]])</f>
        <v>2024</v>
      </c>
      <c r="S57" t="str">
        <f>IF(Table1[[#This Row],[Quantity]]&gt;=3,"Promo","Regular")</f>
        <v>Promo</v>
      </c>
    </row>
    <row r="58" spans="1:19" x14ac:dyDescent="0.35">
      <c r="A58" t="s">
        <v>1742</v>
      </c>
      <c r="B58" t="s">
        <v>129</v>
      </c>
      <c r="C58" s="1">
        <v>45372</v>
      </c>
      <c r="D58" t="s">
        <v>48</v>
      </c>
      <c r="E58" t="s">
        <v>49</v>
      </c>
      <c r="F58" t="s">
        <v>41</v>
      </c>
      <c r="G58" t="s">
        <v>18</v>
      </c>
      <c r="H58" t="s">
        <v>32</v>
      </c>
      <c r="I58" t="s">
        <v>20</v>
      </c>
      <c r="J58">
        <v>1</v>
      </c>
      <c r="K58">
        <v>481</v>
      </c>
      <c r="L58">
        <v>481</v>
      </c>
      <c r="M58">
        <v>41</v>
      </c>
      <c r="N58" t="s">
        <v>21</v>
      </c>
      <c r="O58">
        <v>4.0999999999999996</v>
      </c>
      <c r="P58" s="2">
        <f>EOMONTH(Table1[[#This Row],[Order_Date]],0)</f>
        <v>45382</v>
      </c>
      <c r="Q58" s="3">
        <f>WEEKNUM(Table1[[#This Row],[Order_Date]])</f>
        <v>12</v>
      </c>
      <c r="R58">
        <f>YEAR(Table1[[#This Row],[Order_Date]])</f>
        <v>2024</v>
      </c>
      <c r="S58" t="str">
        <f>IF(Table1[[#This Row],[Quantity]]&gt;=3,"Promo","Regular")</f>
        <v>Regular</v>
      </c>
    </row>
    <row r="59" spans="1:19" x14ac:dyDescent="0.35">
      <c r="A59" t="s">
        <v>1743</v>
      </c>
      <c r="B59" t="s">
        <v>130</v>
      </c>
      <c r="C59" s="1">
        <v>45490</v>
      </c>
      <c r="D59" t="s">
        <v>57</v>
      </c>
      <c r="E59" t="s">
        <v>75</v>
      </c>
      <c r="F59" t="s">
        <v>69</v>
      </c>
      <c r="G59" t="s">
        <v>31</v>
      </c>
      <c r="H59" t="s">
        <v>53</v>
      </c>
      <c r="I59" t="s">
        <v>20</v>
      </c>
      <c r="J59">
        <v>3</v>
      </c>
      <c r="K59">
        <v>200</v>
      </c>
      <c r="L59">
        <v>600</v>
      </c>
      <c r="M59">
        <v>36</v>
      </c>
      <c r="N59" t="s">
        <v>33</v>
      </c>
      <c r="O59">
        <v>3.5</v>
      </c>
      <c r="P59" s="2">
        <f>EOMONTH(Table1[[#This Row],[Order_Date]],0)</f>
        <v>45504</v>
      </c>
      <c r="Q59" s="3">
        <f>WEEKNUM(Table1[[#This Row],[Order_Date]])</f>
        <v>29</v>
      </c>
      <c r="R59">
        <f>YEAR(Table1[[#This Row],[Order_Date]])</f>
        <v>2024</v>
      </c>
      <c r="S59" t="str">
        <f>IF(Table1[[#This Row],[Quantity]]&gt;=3,"Promo","Regular")</f>
        <v>Promo</v>
      </c>
    </row>
    <row r="60" spans="1:19" x14ac:dyDescent="0.35">
      <c r="A60" t="s">
        <v>1744</v>
      </c>
      <c r="B60" t="s">
        <v>131</v>
      </c>
      <c r="C60" s="1">
        <v>45587</v>
      </c>
      <c r="D60" t="s">
        <v>48</v>
      </c>
      <c r="E60" t="s">
        <v>132</v>
      </c>
      <c r="F60" t="s">
        <v>65</v>
      </c>
      <c r="G60" t="s">
        <v>36</v>
      </c>
      <c r="H60" t="s">
        <v>66</v>
      </c>
      <c r="I60" t="s">
        <v>20</v>
      </c>
      <c r="J60">
        <v>2</v>
      </c>
      <c r="K60">
        <v>441</v>
      </c>
      <c r="L60">
        <v>882</v>
      </c>
      <c r="M60">
        <v>36</v>
      </c>
      <c r="N60" t="s">
        <v>38</v>
      </c>
      <c r="O60">
        <v>4</v>
      </c>
      <c r="P60" s="2">
        <f>EOMONTH(Table1[[#This Row],[Order_Date]],0)</f>
        <v>45596</v>
      </c>
      <c r="Q60" s="3">
        <f>WEEKNUM(Table1[[#This Row],[Order_Date]])</f>
        <v>43</v>
      </c>
      <c r="R60">
        <f>YEAR(Table1[[#This Row],[Order_Date]])</f>
        <v>2024</v>
      </c>
      <c r="S60" t="str">
        <f>IF(Table1[[#This Row],[Quantity]]&gt;=3,"Promo","Regular")</f>
        <v>Regular</v>
      </c>
    </row>
    <row r="61" spans="1:19" x14ac:dyDescent="0.35">
      <c r="A61" t="s">
        <v>1745</v>
      </c>
      <c r="B61" t="s">
        <v>133</v>
      </c>
      <c r="C61" s="1">
        <v>45567</v>
      </c>
      <c r="D61" t="s">
        <v>28</v>
      </c>
      <c r="E61" t="s">
        <v>77</v>
      </c>
      <c r="F61" t="s">
        <v>72</v>
      </c>
      <c r="G61" t="s">
        <v>31</v>
      </c>
      <c r="H61" t="s">
        <v>32</v>
      </c>
      <c r="I61" t="s">
        <v>20</v>
      </c>
      <c r="J61">
        <v>4</v>
      </c>
      <c r="K61">
        <v>441</v>
      </c>
      <c r="L61">
        <v>1764</v>
      </c>
      <c r="M61">
        <v>28</v>
      </c>
      <c r="N61" t="s">
        <v>33</v>
      </c>
      <c r="O61">
        <v>4</v>
      </c>
      <c r="P61" s="2">
        <f>EOMONTH(Table1[[#This Row],[Order_Date]],0)</f>
        <v>45596</v>
      </c>
      <c r="Q61" s="3">
        <f>WEEKNUM(Table1[[#This Row],[Order_Date]])</f>
        <v>40</v>
      </c>
      <c r="R61">
        <f>YEAR(Table1[[#This Row],[Order_Date]])</f>
        <v>2024</v>
      </c>
      <c r="S61" t="str">
        <f>IF(Table1[[#This Row],[Quantity]]&gt;=3,"Promo","Regular")</f>
        <v>Promo</v>
      </c>
    </row>
    <row r="62" spans="1:19" x14ac:dyDescent="0.35">
      <c r="A62" t="s">
        <v>1746</v>
      </c>
      <c r="B62" t="s">
        <v>134</v>
      </c>
      <c r="C62" s="1">
        <v>45437</v>
      </c>
      <c r="D62" t="s">
        <v>28</v>
      </c>
      <c r="E62" t="s">
        <v>98</v>
      </c>
      <c r="F62" t="s">
        <v>24</v>
      </c>
      <c r="G62" t="s">
        <v>25</v>
      </c>
      <c r="H62" t="s">
        <v>37</v>
      </c>
      <c r="I62" t="s">
        <v>20</v>
      </c>
      <c r="J62">
        <v>3</v>
      </c>
      <c r="K62">
        <v>251</v>
      </c>
      <c r="L62">
        <v>753</v>
      </c>
      <c r="M62">
        <v>33</v>
      </c>
      <c r="N62" t="s">
        <v>21</v>
      </c>
      <c r="O62">
        <v>4.7</v>
      </c>
      <c r="P62" s="2">
        <f>EOMONTH(Table1[[#This Row],[Order_Date]],0)</f>
        <v>45443</v>
      </c>
      <c r="Q62" s="3">
        <f>WEEKNUM(Table1[[#This Row],[Order_Date]])</f>
        <v>21</v>
      </c>
      <c r="R62">
        <f>YEAR(Table1[[#This Row],[Order_Date]])</f>
        <v>2024</v>
      </c>
      <c r="S62" t="str">
        <f>IF(Table1[[#This Row],[Quantity]]&gt;=3,"Promo","Regular")</f>
        <v>Promo</v>
      </c>
    </row>
    <row r="63" spans="1:19" x14ac:dyDescent="0.35">
      <c r="A63" t="s">
        <v>1747</v>
      </c>
      <c r="B63" t="s">
        <v>135</v>
      </c>
      <c r="C63" s="1">
        <v>45389</v>
      </c>
      <c r="D63" t="s">
        <v>57</v>
      </c>
      <c r="E63" t="s">
        <v>136</v>
      </c>
      <c r="F63" t="s">
        <v>69</v>
      </c>
      <c r="G63" t="s">
        <v>46</v>
      </c>
      <c r="H63" t="s">
        <v>120</v>
      </c>
      <c r="I63" t="s">
        <v>60</v>
      </c>
      <c r="J63">
        <v>2</v>
      </c>
      <c r="K63">
        <v>180</v>
      </c>
      <c r="L63">
        <v>360</v>
      </c>
      <c r="M63">
        <v>30</v>
      </c>
      <c r="N63" t="s">
        <v>38</v>
      </c>
      <c r="O63">
        <v>3.9</v>
      </c>
      <c r="P63" s="2">
        <f>EOMONTH(Table1[[#This Row],[Order_Date]],0)</f>
        <v>45412</v>
      </c>
      <c r="Q63" s="3">
        <f>WEEKNUM(Table1[[#This Row],[Order_Date]])</f>
        <v>15</v>
      </c>
      <c r="R63">
        <f>YEAR(Table1[[#This Row],[Order_Date]])</f>
        <v>2024</v>
      </c>
      <c r="S63" t="str">
        <f>IF(Table1[[#This Row],[Quantity]]&gt;=3,"Promo","Regular")</f>
        <v>Regular</v>
      </c>
    </row>
    <row r="64" spans="1:19" x14ac:dyDescent="0.35">
      <c r="A64" t="s">
        <v>1748</v>
      </c>
      <c r="B64" t="s">
        <v>137</v>
      </c>
      <c r="C64" s="1">
        <v>45295</v>
      </c>
      <c r="D64" t="s">
        <v>28</v>
      </c>
      <c r="E64" t="s">
        <v>71</v>
      </c>
      <c r="F64" t="s">
        <v>41</v>
      </c>
      <c r="G64" t="s">
        <v>46</v>
      </c>
      <c r="H64" t="s">
        <v>26</v>
      </c>
      <c r="I64" t="s">
        <v>20</v>
      </c>
      <c r="J64">
        <v>2</v>
      </c>
      <c r="K64">
        <v>421</v>
      </c>
      <c r="L64">
        <v>842</v>
      </c>
      <c r="M64">
        <v>34</v>
      </c>
      <c r="N64" t="s">
        <v>38</v>
      </c>
      <c r="O64">
        <v>4.4000000000000004</v>
      </c>
      <c r="P64" s="2">
        <f>EOMONTH(Table1[[#This Row],[Order_Date]],0)</f>
        <v>45322</v>
      </c>
      <c r="Q64" s="3">
        <f>WEEKNUM(Table1[[#This Row],[Order_Date]])</f>
        <v>1</v>
      </c>
      <c r="R64">
        <f>YEAR(Table1[[#This Row],[Order_Date]])</f>
        <v>2024</v>
      </c>
      <c r="S64" t="str">
        <f>IF(Table1[[#This Row],[Quantity]]&gt;=3,"Promo","Regular")</f>
        <v>Regular</v>
      </c>
    </row>
    <row r="65" spans="1:19" x14ac:dyDescent="0.35">
      <c r="A65" t="s">
        <v>1749</v>
      </c>
      <c r="B65" t="s">
        <v>138</v>
      </c>
      <c r="C65" s="1">
        <v>45535</v>
      </c>
      <c r="D65" t="s">
        <v>43</v>
      </c>
      <c r="E65" t="s">
        <v>93</v>
      </c>
      <c r="F65" t="s">
        <v>30</v>
      </c>
      <c r="G65" t="s">
        <v>46</v>
      </c>
      <c r="H65" t="s">
        <v>53</v>
      </c>
      <c r="I65" t="s">
        <v>20</v>
      </c>
      <c r="J65">
        <v>4</v>
      </c>
      <c r="K65">
        <v>213</v>
      </c>
      <c r="L65">
        <v>852</v>
      </c>
      <c r="M65">
        <v>40</v>
      </c>
      <c r="N65" t="s">
        <v>33</v>
      </c>
      <c r="O65">
        <v>3.6</v>
      </c>
      <c r="P65" s="2">
        <f>EOMONTH(Table1[[#This Row],[Order_Date]],0)</f>
        <v>45535</v>
      </c>
      <c r="Q65" s="3">
        <f>WEEKNUM(Table1[[#This Row],[Order_Date]])</f>
        <v>35</v>
      </c>
      <c r="R65">
        <f>YEAR(Table1[[#This Row],[Order_Date]])</f>
        <v>2024</v>
      </c>
      <c r="S65" t="str">
        <f>IF(Table1[[#This Row],[Quantity]]&gt;=3,"Promo","Regular")</f>
        <v>Promo</v>
      </c>
    </row>
    <row r="66" spans="1:19" x14ac:dyDescent="0.35">
      <c r="A66" t="s">
        <v>1750</v>
      </c>
      <c r="B66" t="s">
        <v>139</v>
      </c>
      <c r="C66" s="1">
        <v>45558</v>
      </c>
      <c r="D66" t="s">
        <v>57</v>
      </c>
      <c r="E66" t="s">
        <v>136</v>
      </c>
      <c r="F66" t="s">
        <v>45</v>
      </c>
      <c r="G66" t="s">
        <v>25</v>
      </c>
      <c r="H66" t="s">
        <v>120</v>
      </c>
      <c r="I66" t="s">
        <v>60</v>
      </c>
      <c r="J66">
        <v>1</v>
      </c>
      <c r="K66">
        <v>322</v>
      </c>
      <c r="L66">
        <v>322</v>
      </c>
      <c r="M66">
        <v>24</v>
      </c>
      <c r="N66" t="s">
        <v>38</v>
      </c>
      <c r="O66">
        <v>4.2</v>
      </c>
      <c r="P66" s="2">
        <f>EOMONTH(Table1[[#This Row],[Order_Date]],0)</f>
        <v>45565</v>
      </c>
      <c r="Q66" s="3">
        <f>WEEKNUM(Table1[[#This Row],[Order_Date]])</f>
        <v>39</v>
      </c>
      <c r="R66">
        <f>YEAR(Table1[[#This Row],[Order_Date]])</f>
        <v>2024</v>
      </c>
      <c r="S66" t="str">
        <f>IF(Table1[[#This Row],[Quantity]]&gt;=3,"Promo","Regular")</f>
        <v>Regular</v>
      </c>
    </row>
    <row r="67" spans="1:19" x14ac:dyDescent="0.35">
      <c r="A67" t="s">
        <v>1751</v>
      </c>
      <c r="B67" t="s">
        <v>140</v>
      </c>
      <c r="C67" s="1">
        <v>45357</v>
      </c>
      <c r="D67" t="s">
        <v>43</v>
      </c>
      <c r="E67" t="s">
        <v>52</v>
      </c>
      <c r="F67" t="s">
        <v>41</v>
      </c>
      <c r="G67" t="s">
        <v>73</v>
      </c>
      <c r="H67" t="s">
        <v>19</v>
      </c>
      <c r="I67" t="s">
        <v>20</v>
      </c>
      <c r="J67">
        <v>2</v>
      </c>
      <c r="K67">
        <v>166</v>
      </c>
      <c r="L67">
        <v>332</v>
      </c>
      <c r="M67">
        <v>33</v>
      </c>
      <c r="N67" t="s">
        <v>33</v>
      </c>
      <c r="O67">
        <v>4.2</v>
      </c>
      <c r="P67" s="2">
        <f>EOMONTH(Table1[[#This Row],[Order_Date]],0)</f>
        <v>45382</v>
      </c>
      <c r="Q67" s="3">
        <f>WEEKNUM(Table1[[#This Row],[Order_Date]])</f>
        <v>10</v>
      </c>
      <c r="R67">
        <f>YEAR(Table1[[#This Row],[Order_Date]])</f>
        <v>2024</v>
      </c>
      <c r="S67" t="str">
        <f>IF(Table1[[#This Row],[Quantity]]&gt;=3,"Promo","Regular")</f>
        <v>Regular</v>
      </c>
    </row>
    <row r="68" spans="1:19" x14ac:dyDescent="0.35">
      <c r="A68" t="s">
        <v>1752</v>
      </c>
      <c r="B68" t="s">
        <v>141</v>
      </c>
      <c r="C68" s="1">
        <v>45398</v>
      </c>
      <c r="D68" t="s">
        <v>43</v>
      </c>
      <c r="E68" t="s">
        <v>110</v>
      </c>
      <c r="F68" t="s">
        <v>30</v>
      </c>
      <c r="G68" t="s">
        <v>31</v>
      </c>
      <c r="H68" t="s">
        <v>53</v>
      </c>
      <c r="I68" t="s">
        <v>20</v>
      </c>
      <c r="J68">
        <v>2</v>
      </c>
      <c r="K68">
        <v>305</v>
      </c>
      <c r="L68">
        <v>610</v>
      </c>
      <c r="M68">
        <v>37</v>
      </c>
      <c r="N68" t="s">
        <v>33</v>
      </c>
      <c r="O68">
        <v>4.0999999999999996</v>
      </c>
      <c r="P68" s="2">
        <f>EOMONTH(Table1[[#This Row],[Order_Date]],0)</f>
        <v>45412</v>
      </c>
      <c r="Q68" s="3">
        <f>WEEKNUM(Table1[[#This Row],[Order_Date]])</f>
        <v>16</v>
      </c>
      <c r="R68">
        <f>YEAR(Table1[[#This Row],[Order_Date]])</f>
        <v>2024</v>
      </c>
      <c r="S68" t="str">
        <f>IF(Table1[[#This Row],[Quantity]]&gt;=3,"Promo","Regular")</f>
        <v>Regular</v>
      </c>
    </row>
    <row r="69" spans="1:19" x14ac:dyDescent="0.35">
      <c r="A69" t="s">
        <v>1753</v>
      </c>
      <c r="B69" t="s">
        <v>142</v>
      </c>
      <c r="C69" s="1">
        <v>45298</v>
      </c>
      <c r="D69" t="s">
        <v>28</v>
      </c>
      <c r="E69" t="s">
        <v>71</v>
      </c>
      <c r="F69" t="s">
        <v>85</v>
      </c>
      <c r="G69" t="s">
        <v>25</v>
      </c>
      <c r="H69" t="s">
        <v>55</v>
      </c>
      <c r="I69" t="s">
        <v>20</v>
      </c>
      <c r="J69">
        <v>2</v>
      </c>
      <c r="K69">
        <v>280</v>
      </c>
      <c r="L69">
        <v>560</v>
      </c>
      <c r="M69">
        <v>32</v>
      </c>
      <c r="N69" t="s">
        <v>33</v>
      </c>
      <c r="O69">
        <v>4.2</v>
      </c>
      <c r="P69" s="2">
        <f>EOMONTH(Table1[[#This Row],[Order_Date]],0)</f>
        <v>45322</v>
      </c>
      <c r="Q69" s="3">
        <f>WEEKNUM(Table1[[#This Row],[Order_Date]])</f>
        <v>2</v>
      </c>
      <c r="R69">
        <f>YEAR(Table1[[#This Row],[Order_Date]])</f>
        <v>2024</v>
      </c>
      <c r="S69" t="str">
        <f>IF(Table1[[#This Row],[Quantity]]&gt;=3,"Promo","Regular")</f>
        <v>Regular</v>
      </c>
    </row>
    <row r="70" spans="1:19" x14ac:dyDescent="0.35">
      <c r="A70" t="s">
        <v>1754</v>
      </c>
      <c r="B70" t="s">
        <v>143</v>
      </c>
      <c r="C70" s="1">
        <v>45469</v>
      </c>
      <c r="D70" t="s">
        <v>28</v>
      </c>
      <c r="E70" t="s">
        <v>71</v>
      </c>
      <c r="F70" t="s">
        <v>85</v>
      </c>
      <c r="G70" t="s">
        <v>31</v>
      </c>
      <c r="H70" t="s">
        <v>32</v>
      </c>
      <c r="I70" t="s">
        <v>20</v>
      </c>
      <c r="J70">
        <v>1</v>
      </c>
      <c r="K70">
        <v>408</v>
      </c>
      <c r="L70">
        <v>408</v>
      </c>
      <c r="M70">
        <v>51</v>
      </c>
      <c r="N70" t="s">
        <v>21</v>
      </c>
      <c r="O70">
        <v>4.0999999999999996</v>
      </c>
      <c r="P70" s="2">
        <f>EOMONTH(Table1[[#This Row],[Order_Date]],0)</f>
        <v>45473</v>
      </c>
      <c r="Q70" s="3">
        <f>WEEKNUM(Table1[[#This Row],[Order_Date]])</f>
        <v>26</v>
      </c>
      <c r="R70">
        <f>YEAR(Table1[[#This Row],[Order_Date]])</f>
        <v>2024</v>
      </c>
      <c r="S70" t="str">
        <f>IF(Table1[[#This Row],[Quantity]]&gt;=3,"Promo","Regular")</f>
        <v>Regular</v>
      </c>
    </row>
    <row r="71" spans="1:19" x14ac:dyDescent="0.35">
      <c r="A71" t="s">
        <v>1755</v>
      </c>
      <c r="B71" t="s">
        <v>144</v>
      </c>
      <c r="C71" s="1">
        <v>45514</v>
      </c>
      <c r="D71" t="s">
        <v>28</v>
      </c>
      <c r="E71" t="s">
        <v>98</v>
      </c>
      <c r="F71" t="s">
        <v>30</v>
      </c>
      <c r="G71" t="s">
        <v>73</v>
      </c>
      <c r="H71" t="s">
        <v>26</v>
      </c>
      <c r="I71" t="s">
        <v>20</v>
      </c>
      <c r="J71">
        <v>4</v>
      </c>
      <c r="K71">
        <v>203</v>
      </c>
      <c r="L71">
        <v>812</v>
      </c>
      <c r="M71">
        <v>58</v>
      </c>
      <c r="N71" t="s">
        <v>38</v>
      </c>
      <c r="O71">
        <v>3.3</v>
      </c>
      <c r="P71" s="2">
        <f>EOMONTH(Table1[[#This Row],[Order_Date]],0)</f>
        <v>45535</v>
      </c>
      <c r="Q71" s="3">
        <f>WEEKNUM(Table1[[#This Row],[Order_Date]])</f>
        <v>32</v>
      </c>
      <c r="R71">
        <f>YEAR(Table1[[#This Row],[Order_Date]])</f>
        <v>2024</v>
      </c>
      <c r="S71" t="str">
        <f>IF(Table1[[#This Row],[Quantity]]&gt;=3,"Promo","Regular")</f>
        <v>Promo</v>
      </c>
    </row>
    <row r="72" spans="1:19" x14ac:dyDescent="0.35">
      <c r="A72" t="s">
        <v>1756</v>
      </c>
      <c r="B72" t="s">
        <v>145</v>
      </c>
      <c r="C72" s="1">
        <v>45396</v>
      </c>
      <c r="D72" t="s">
        <v>15</v>
      </c>
      <c r="E72" t="s">
        <v>16</v>
      </c>
      <c r="F72" t="s">
        <v>85</v>
      </c>
      <c r="G72" t="s">
        <v>46</v>
      </c>
      <c r="H72" t="s">
        <v>37</v>
      </c>
      <c r="I72" t="s">
        <v>20</v>
      </c>
      <c r="J72">
        <v>5</v>
      </c>
      <c r="K72">
        <v>487</v>
      </c>
      <c r="L72">
        <v>2435</v>
      </c>
      <c r="M72">
        <v>48</v>
      </c>
      <c r="N72" t="s">
        <v>33</v>
      </c>
      <c r="O72">
        <v>4.4000000000000004</v>
      </c>
      <c r="P72" s="2">
        <f>EOMONTH(Table1[[#This Row],[Order_Date]],0)</f>
        <v>45412</v>
      </c>
      <c r="Q72" s="3">
        <f>WEEKNUM(Table1[[#This Row],[Order_Date]])</f>
        <v>16</v>
      </c>
      <c r="R72">
        <f>YEAR(Table1[[#This Row],[Order_Date]])</f>
        <v>2024</v>
      </c>
      <c r="S72" t="str">
        <f>IF(Table1[[#This Row],[Quantity]]&gt;=3,"Promo","Regular")</f>
        <v>Promo</v>
      </c>
    </row>
    <row r="73" spans="1:19" x14ac:dyDescent="0.35">
      <c r="A73" t="s">
        <v>1757</v>
      </c>
      <c r="B73" t="s">
        <v>146</v>
      </c>
      <c r="C73" s="1">
        <v>45323</v>
      </c>
      <c r="D73" t="s">
        <v>57</v>
      </c>
      <c r="E73" t="s">
        <v>75</v>
      </c>
      <c r="F73" t="s">
        <v>72</v>
      </c>
      <c r="G73" t="s">
        <v>36</v>
      </c>
      <c r="H73" t="s">
        <v>66</v>
      </c>
      <c r="I73" t="s">
        <v>20</v>
      </c>
      <c r="J73">
        <v>1</v>
      </c>
      <c r="K73">
        <v>292</v>
      </c>
      <c r="L73">
        <v>292</v>
      </c>
      <c r="M73">
        <v>21</v>
      </c>
      <c r="N73" t="s">
        <v>21</v>
      </c>
      <c r="O73">
        <v>3.8</v>
      </c>
      <c r="P73" s="2">
        <f>EOMONTH(Table1[[#This Row],[Order_Date]],0)</f>
        <v>45351</v>
      </c>
      <c r="Q73" s="3">
        <f>WEEKNUM(Table1[[#This Row],[Order_Date]])</f>
        <v>5</v>
      </c>
      <c r="R73">
        <f>YEAR(Table1[[#This Row],[Order_Date]])</f>
        <v>2024</v>
      </c>
      <c r="S73" t="str">
        <f>IF(Table1[[#This Row],[Quantity]]&gt;=3,"Promo","Regular")</f>
        <v>Regular</v>
      </c>
    </row>
    <row r="74" spans="1:19" x14ac:dyDescent="0.35">
      <c r="A74" t="s">
        <v>1758</v>
      </c>
      <c r="B74" t="s">
        <v>147</v>
      </c>
      <c r="C74" s="1">
        <v>45556</v>
      </c>
      <c r="D74" t="s">
        <v>43</v>
      </c>
      <c r="E74" t="s">
        <v>52</v>
      </c>
      <c r="F74" t="s">
        <v>69</v>
      </c>
      <c r="G74" t="s">
        <v>18</v>
      </c>
      <c r="H74" t="s">
        <v>19</v>
      </c>
      <c r="I74" t="s">
        <v>20</v>
      </c>
      <c r="J74">
        <v>3</v>
      </c>
      <c r="K74">
        <v>401</v>
      </c>
      <c r="L74">
        <v>1203</v>
      </c>
      <c r="M74">
        <v>40</v>
      </c>
      <c r="N74" t="s">
        <v>21</v>
      </c>
      <c r="O74">
        <v>4.2</v>
      </c>
      <c r="P74" s="2">
        <f>EOMONTH(Table1[[#This Row],[Order_Date]],0)</f>
        <v>45565</v>
      </c>
      <c r="Q74" s="3">
        <f>WEEKNUM(Table1[[#This Row],[Order_Date]])</f>
        <v>38</v>
      </c>
      <c r="R74">
        <f>YEAR(Table1[[#This Row],[Order_Date]])</f>
        <v>2024</v>
      </c>
      <c r="S74" t="str">
        <f>IF(Table1[[#This Row],[Quantity]]&gt;=3,"Promo","Regular")</f>
        <v>Promo</v>
      </c>
    </row>
    <row r="75" spans="1:19" x14ac:dyDescent="0.35">
      <c r="A75" t="s">
        <v>1759</v>
      </c>
      <c r="B75" t="s">
        <v>148</v>
      </c>
      <c r="C75" s="1">
        <v>45427</v>
      </c>
      <c r="D75" t="s">
        <v>57</v>
      </c>
      <c r="E75" t="s">
        <v>105</v>
      </c>
      <c r="F75" t="s">
        <v>30</v>
      </c>
      <c r="G75" t="s">
        <v>18</v>
      </c>
      <c r="H75" t="s">
        <v>32</v>
      </c>
      <c r="I75" t="s">
        <v>20</v>
      </c>
      <c r="J75">
        <v>4</v>
      </c>
      <c r="K75">
        <v>392</v>
      </c>
      <c r="L75">
        <v>1568</v>
      </c>
      <c r="M75">
        <v>20</v>
      </c>
      <c r="N75" t="s">
        <v>33</v>
      </c>
      <c r="O75">
        <v>4.0999999999999996</v>
      </c>
      <c r="P75" s="2">
        <f>EOMONTH(Table1[[#This Row],[Order_Date]],0)</f>
        <v>45443</v>
      </c>
      <c r="Q75" s="3">
        <f>WEEKNUM(Table1[[#This Row],[Order_Date]])</f>
        <v>20</v>
      </c>
      <c r="R75">
        <f>YEAR(Table1[[#This Row],[Order_Date]])</f>
        <v>2024</v>
      </c>
      <c r="S75" t="str">
        <f>IF(Table1[[#This Row],[Quantity]]&gt;=3,"Promo","Regular")</f>
        <v>Promo</v>
      </c>
    </row>
    <row r="76" spans="1:19" x14ac:dyDescent="0.35">
      <c r="A76" t="s">
        <v>1760</v>
      </c>
      <c r="B76" t="s">
        <v>149</v>
      </c>
      <c r="C76" s="1">
        <v>45551</v>
      </c>
      <c r="D76" t="s">
        <v>57</v>
      </c>
      <c r="E76" t="s">
        <v>105</v>
      </c>
      <c r="F76" t="s">
        <v>41</v>
      </c>
      <c r="G76" t="s">
        <v>18</v>
      </c>
      <c r="H76" t="s">
        <v>66</v>
      </c>
      <c r="I76" t="s">
        <v>20</v>
      </c>
      <c r="J76">
        <v>5</v>
      </c>
      <c r="K76">
        <v>146</v>
      </c>
      <c r="L76">
        <v>730</v>
      </c>
      <c r="M76">
        <v>53</v>
      </c>
      <c r="N76" t="s">
        <v>33</v>
      </c>
      <c r="O76">
        <v>3.8</v>
      </c>
      <c r="P76" s="2">
        <f>EOMONTH(Table1[[#This Row],[Order_Date]],0)</f>
        <v>45565</v>
      </c>
      <c r="Q76" s="3">
        <f>WEEKNUM(Table1[[#This Row],[Order_Date]])</f>
        <v>38</v>
      </c>
      <c r="R76">
        <f>YEAR(Table1[[#This Row],[Order_Date]])</f>
        <v>2024</v>
      </c>
      <c r="S76" t="str">
        <f>IF(Table1[[#This Row],[Quantity]]&gt;=3,"Promo","Regular")</f>
        <v>Promo</v>
      </c>
    </row>
    <row r="77" spans="1:19" x14ac:dyDescent="0.35">
      <c r="A77" t="s">
        <v>1761</v>
      </c>
      <c r="B77" t="s">
        <v>150</v>
      </c>
      <c r="C77" s="1">
        <v>45401</v>
      </c>
      <c r="D77" t="s">
        <v>57</v>
      </c>
      <c r="E77" t="s">
        <v>136</v>
      </c>
      <c r="F77" t="s">
        <v>17</v>
      </c>
      <c r="G77" t="s">
        <v>46</v>
      </c>
      <c r="H77" t="s">
        <v>55</v>
      </c>
      <c r="I77" t="s">
        <v>20</v>
      </c>
      <c r="J77">
        <v>4</v>
      </c>
      <c r="K77">
        <v>199</v>
      </c>
      <c r="L77">
        <v>796</v>
      </c>
      <c r="M77">
        <v>27</v>
      </c>
      <c r="N77" t="s">
        <v>38</v>
      </c>
      <c r="O77">
        <v>3.6</v>
      </c>
      <c r="P77" s="2">
        <f>EOMONTH(Table1[[#This Row],[Order_Date]],0)</f>
        <v>45412</v>
      </c>
      <c r="Q77" s="3">
        <f>WEEKNUM(Table1[[#This Row],[Order_Date]])</f>
        <v>16</v>
      </c>
      <c r="R77">
        <f>YEAR(Table1[[#This Row],[Order_Date]])</f>
        <v>2024</v>
      </c>
      <c r="S77" t="str">
        <f>IF(Table1[[#This Row],[Quantity]]&gt;=3,"Promo","Regular")</f>
        <v>Promo</v>
      </c>
    </row>
    <row r="78" spans="1:19" x14ac:dyDescent="0.35">
      <c r="A78" t="s">
        <v>1762</v>
      </c>
      <c r="B78" t="s">
        <v>151</v>
      </c>
      <c r="C78" s="1">
        <v>45336</v>
      </c>
      <c r="D78" t="s">
        <v>43</v>
      </c>
      <c r="E78" t="s">
        <v>82</v>
      </c>
      <c r="F78" t="s">
        <v>85</v>
      </c>
      <c r="G78" t="s">
        <v>46</v>
      </c>
      <c r="H78" t="s">
        <v>59</v>
      </c>
      <c r="I78" t="s">
        <v>60</v>
      </c>
      <c r="J78">
        <v>1</v>
      </c>
      <c r="K78">
        <v>137</v>
      </c>
      <c r="L78">
        <v>137</v>
      </c>
      <c r="M78">
        <v>20</v>
      </c>
      <c r="N78" t="s">
        <v>33</v>
      </c>
      <c r="O78">
        <v>4.9000000000000004</v>
      </c>
      <c r="P78" s="2">
        <f>EOMONTH(Table1[[#This Row],[Order_Date]],0)</f>
        <v>45351</v>
      </c>
      <c r="Q78" s="3">
        <f>WEEKNUM(Table1[[#This Row],[Order_Date]])</f>
        <v>7</v>
      </c>
      <c r="R78">
        <f>YEAR(Table1[[#This Row],[Order_Date]])</f>
        <v>2024</v>
      </c>
      <c r="S78" t="str">
        <f>IF(Table1[[#This Row],[Quantity]]&gt;=3,"Promo","Regular")</f>
        <v>Regular</v>
      </c>
    </row>
    <row r="79" spans="1:19" x14ac:dyDescent="0.35">
      <c r="A79" t="s">
        <v>1763</v>
      </c>
      <c r="B79" t="s">
        <v>152</v>
      </c>
      <c r="C79" s="1">
        <v>45392</v>
      </c>
      <c r="D79" t="s">
        <v>43</v>
      </c>
      <c r="E79" t="s">
        <v>52</v>
      </c>
      <c r="F79" t="s">
        <v>65</v>
      </c>
      <c r="G79" t="s">
        <v>18</v>
      </c>
      <c r="H79" t="s">
        <v>53</v>
      </c>
      <c r="I79" t="s">
        <v>20</v>
      </c>
      <c r="J79">
        <v>3</v>
      </c>
      <c r="K79">
        <v>139</v>
      </c>
      <c r="L79">
        <v>417</v>
      </c>
      <c r="M79">
        <v>51</v>
      </c>
      <c r="N79" t="s">
        <v>21</v>
      </c>
      <c r="O79">
        <v>4.0999999999999996</v>
      </c>
      <c r="P79" s="2">
        <f>EOMONTH(Table1[[#This Row],[Order_Date]],0)</f>
        <v>45412</v>
      </c>
      <c r="Q79" s="3">
        <f>WEEKNUM(Table1[[#This Row],[Order_Date]])</f>
        <v>15</v>
      </c>
      <c r="R79">
        <f>YEAR(Table1[[#This Row],[Order_Date]])</f>
        <v>2024</v>
      </c>
      <c r="S79" t="str">
        <f>IF(Table1[[#This Row],[Quantity]]&gt;=3,"Promo","Regular")</f>
        <v>Promo</v>
      </c>
    </row>
    <row r="80" spans="1:19" x14ac:dyDescent="0.35">
      <c r="A80" t="s">
        <v>1764</v>
      </c>
      <c r="B80" t="s">
        <v>153</v>
      </c>
      <c r="C80" s="1">
        <v>45314</v>
      </c>
      <c r="D80" t="s">
        <v>43</v>
      </c>
      <c r="E80" t="s">
        <v>52</v>
      </c>
      <c r="F80" t="s">
        <v>30</v>
      </c>
      <c r="G80" t="s">
        <v>18</v>
      </c>
      <c r="H80" t="s">
        <v>66</v>
      </c>
      <c r="I80" t="s">
        <v>20</v>
      </c>
      <c r="J80">
        <v>4</v>
      </c>
      <c r="K80">
        <v>108</v>
      </c>
      <c r="L80">
        <v>432</v>
      </c>
      <c r="M80">
        <v>29</v>
      </c>
      <c r="N80" t="s">
        <v>33</v>
      </c>
      <c r="O80">
        <v>3.9</v>
      </c>
      <c r="P80" s="2">
        <f>EOMONTH(Table1[[#This Row],[Order_Date]],0)</f>
        <v>45322</v>
      </c>
      <c r="Q80" s="3">
        <f>WEEKNUM(Table1[[#This Row],[Order_Date]])</f>
        <v>4</v>
      </c>
      <c r="R80">
        <f>YEAR(Table1[[#This Row],[Order_Date]])</f>
        <v>2024</v>
      </c>
      <c r="S80" t="str">
        <f>IF(Table1[[#This Row],[Quantity]]&gt;=3,"Promo","Regular")</f>
        <v>Promo</v>
      </c>
    </row>
    <row r="81" spans="1:19" x14ac:dyDescent="0.35">
      <c r="A81" t="s">
        <v>1765</v>
      </c>
      <c r="B81" t="s">
        <v>154</v>
      </c>
      <c r="C81" s="1">
        <v>45512</v>
      </c>
      <c r="D81" t="s">
        <v>15</v>
      </c>
      <c r="E81" t="s">
        <v>23</v>
      </c>
      <c r="F81" t="s">
        <v>72</v>
      </c>
      <c r="G81" t="s">
        <v>73</v>
      </c>
      <c r="H81" t="s">
        <v>66</v>
      </c>
      <c r="I81" t="s">
        <v>20</v>
      </c>
      <c r="J81">
        <v>4</v>
      </c>
      <c r="K81">
        <v>332</v>
      </c>
      <c r="L81">
        <v>1328</v>
      </c>
      <c r="M81">
        <v>30</v>
      </c>
      <c r="N81" t="s">
        <v>21</v>
      </c>
      <c r="O81">
        <v>3.6</v>
      </c>
      <c r="P81" s="2">
        <f>EOMONTH(Table1[[#This Row],[Order_Date]],0)</f>
        <v>45535</v>
      </c>
      <c r="Q81" s="3">
        <f>WEEKNUM(Table1[[#This Row],[Order_Date]])</f>
        <v>32</v>
      </c>
      <c r="R81">
        <f>YEAR(Table1[[#This Row],[Order_Date]])</f>
        <v>2024</v>
      </c>
      <c r="S81" t="str">
        <f>IF(Table1[[#This Row],[Quantity]]&gt;=3,"Promo","Regular")</f>
        <v>Promo</v>
      </c>
    </row>
    <row r="82" spans="1:19" x14ac:dyDescent="0.35">
      <c r="A82" t="s">
        <v>1766</v>
      </c>
      <c r="B82" t="s">
        <v>155</v>
      </c>
      <c r="C82" s="1">
        <v>45458</v>
      </c>
      <c r="D82" t="s">
        <v>48</v>
      </c>
      <c r="E82" t="s">
        <v>64</v>
      </c>
      <c r="F82" t="s">
        <v>65</v>
      </c>
      <c r="G82" t="s">
        <v>31</v>
      </c>
      <c r="H82" t="s">
        <v>19</v>
      </c>
      <c r="I82" t="s">
        <v>20</v>
      </c>
      <c r="J82">
        <v>2</v>
      </c>
      <c r="K82">
        <v>146</v>
      </c>
      <c r="L82">
        <v>292</v>
      </c>
      <c r="M82">
        <v>50</v>
      </c>
      <c r="N82" t="s">
        <v>33</v>
      </c>
      <c r="O82">
        <v>4.9000000000000004</v>
      </c>
      <c r="P82" s="2">
        <f>EOMONTH(Table1[[#This Row],[Order_Date]],0)</f>
        <v>45473</v>
      </c>
      <c r="Q82" s="3">
        <f>WEEKNUM(Table1[[#This Row],[Order_Date]])</f>
        <v>24</v>
      </c>
      <c r="R82">
        <f>YEAR(Table1[[#This Row],[Order_Date]])</f>
        <v>2024</v>
      </c>
      <c r="S82" t="str">
        <f>IF(Table1[[#This Row],[Quantity]]&gt;=3,"Promo","Regular")</f>
        <v>Regular</v>
      </c>
    </row>
    <row r="83" spans="1:19" x14ac:dyDescent="0.35">
      <c r="A83" t="s">
        <v>1767</v>
      </c>
      <c r="B83" t="s">
        <v>156</v>
      </c>
      <c r="C83" s="1">
        <v>45506</v>
      </c>
      <c r="D83" t="s">
        <v>43</v>
      </c>
      <c r="E83" t="s">
        <v>110</v>
      </c>
      <c r="F83" t="s">
        <v>35</v>
      </c>
      <c r="G83" t="s">
        <v>18</v>
      </c>
      <c r="H83" t="s">
        <v>26</v>
      </c>
      <c r="I83" t="s">
        <v>20</v>
      </c>
      <c r="J83">
        <v>4</v>
      </c>
      <c r="K83">
        <v>126</v>
      </c>
      <c r="L83">
        <v>504</v>
      </c>
      <c r="M83">
        <v>21</v>
      </c>
      <c r="N83" t="s">
        <v>33</v>
      </c>
      <c r="O83">
        <v>3.1</v>
      </c>
      <c r="P83" s="2">
        <f>EOMONTH(Table1[[#This Row],[Order_Date]],0)</f>
        <v>45535</v>
      </c>
      <c r="Q83" s="3">
        <f>WEEKNUM(Table1[[#This Row],[Order_Date]])</f>
        <v>31</v>
      </c>
      <c r="R83">
        <f>YEAR(Table1[[#This Row],[Order_Date]])</f>
        <v>2024</v>
      </c>
      <c r="S83" t="str">
        <f>IF(Table1[[#This Row],[Quantity]]&gt;=3,"Promo","Regular")</f>
        <v>Promo</v>
      </c>
    </row>
    <row r="84" spans="1:19" x14ac:dyDescent="0.35">
      <c r="A84" t="s">
        <v>1768</v>
      </c>
      <c r="B84" t="s">
        <v>157</v>
      </c>
      <c r="C84" s="1">
        <v>45381</v>
      </c>
      <c r="D84" t="s">
        <v>28</v>
      </c>
      <c r="E84" t="s">
        <v>77</v>
      </c>
      <c r="F84" t="s">
        <v>35</v>
      </c>
      <c r="G84" t="s">
        <v>73</v>
      </c>
      <c r="H84" t="s">
        <v>66</v>
      </c>
      <c r="I84" t="s">
        <v>20</v>
      </c>
      <c r="J84">
        <v>5</v>
      </c>
      <c r="K84">
        <v>203</v>
      </c>
      <c r="L84">
        <v>1015</v>
      </c>
      <c r="M84">
        <v>29</v>
      </c>
      <c r="N84" t="s">
        <v>38</v>
      </c>
      <c r="O84">
        <v>4.3</v>
      </c>
      <c r="P84" s="2">
        <f>EOMONTH(Table1[[#This Row],[Order_Date]],0)</f>
        <v>45382</v>
      </c>
      <c r="Q84" s="3">
        <f>WEEKNUM(Table1[[#This Row],[Order_Date]])</f>
        <v>13</v>
      </c>
      <c r="R84">
        <f>YEAR(Table1[[#This Row],[Order_Date]])</f>
        <v>2024</v>
      </c>
      <c r="S84" t="str">
        <f>IF(Table1[[#This Row],[Quantity]]&gt;=3,"Promo","Regular")</f>
        <v>Promo</v>
      </c>
    </row>
    <row r="85" spans="1:19" x14ac:dyDescent="0.35">
      <c r="A85" t="s">
        <v>1769</v>
      </c>
      <c r="B85" t="s">
        <v>158</v>
      </c>
      <c r="C85" s="1">
        <v>45390</v>
      </c>
      <c r="D85" t="s">
        <v>57</v>
      </c>
      <c r="E85" t="s">
        <v>62</v>
      </c>
      <c r="F85" t="s">
        <v>41</v>
      </c>
      <c r="G85" t="s">
        <v>18</v>
      </c>
      <c r="H85" t="s">
        <v>53</v>
      </c>
      <c r="I85" t="s">
        <v>20</v>
      </c>
      <c r="J85">
        <v>4</v>
      </c>
      <c r="K85">
        <v>119</v>
      </c>
      <c r="L85">
        <v>476</v>
      </c>
      <c r="M85">
        <v>30</v>
      </c>
      <c r="N85" t="s">
        <v>33</v>
      </c>
      <c r="O85">
        <v>4.9000000000000004</v>
      </c>
      <c r="P85" s="2">
        <f>EOMONTH(Table1[[#This Row],[Order_Date]],0)</f>
        <v>45412</v>
      </c>
      <c r="Q85" s="3">
        <f>WEEKNUM(Table1[[#This Row],[Order_Date]])</f>
        <v>15</v>
      </c>
      <c r="R85">
        <f>YEAR(Table1[[#This Row],[Order_Date]])</f>
        <v>2024</v>
      </c>
      <c r="S85" t="str">
        <f>IF(Table1[[#This Row],[Quantity]]&gt;=3,"Promo","Regular")</f>
        <v>Promo</v>
      </c>
    </row>
    <row r="86" spans="1:19" x14ac:dyDescent="0.35">
      <c r="A86" t="s">
        <v>1770</v>
      </c>
      <c r="B86" t="s">
        <v>159</v>
      </c>
      <c r="C86" s="1">
        <v>45523</v>
      </c>
      <c r="D86" t="s">
        <v>57</v>
      </c>
      <c r="E86" t="s">
        <v>105</v>
      </c>
      <c r="F86" t="s">
        <v>35</v>
      </c>
      <c r="G86" t="s">
        <v>73</v>
      </c>
      <c r="H86" t="s">
        <v>19</v>
      </c>
      <c r="I86" t="s">
        <v>20</v>
      </c>
      <c r="J86">
        <v>2</v>
      </c>
      <c r="K86">
        <v>349</v>
      </c>
      <c r="L86">
        <v>698</v>
      </c>
      <c r="M86">
        <v>31</v>
      </c>
      <c r="N86" t="s">
        <v>33</v>
      </c>
      <c r="O86">
        <v>3.5</v>
      </c>
      <c r="P86" s="2">
        <f>EOMONTH(Table1[[#This Row],[Order_Date]],0)</f>
        <v>45535</v>
      </c>
      <c r="Q86" s="3">
        <f>WEEKNUM(Table1[[#This Row],[Order_Date]])</f>
        <v>34</v>
      </c>
      <c r="R86">
        <f>YEAR(Table1[[#This Row],[Order_Date]])</f>
        <v>2024</v>
      </c>
      <c r="S86" t="str">
        <f>IF(Table1[[#This Row],[Quantity]]&gt;=3,"Promo","Regular")</f>
        <v>Regular</v>
      </c>
    </row>
    <row r="87" spans="1:19" x14ac:dyDescent="0.35">
      <c r="A87" t="s">
        <v>1771</v>
      </c>
      <c r="B87" t="s">
        <v>160</v>
      </c>
      <c r="C87" s="1">
        <v>45497</v>
      </c>
      <c r="D87" t="s">
        <v>28</v>
      </c>
      <c r="E87" t="s">
        <v>40</v>
      </c>
      <c r="F87" t="s">
        <v>30</v>
      </c>
      <c r="G87" t="s">
        <v>46</v>
      </c>
      <c r="H87" t="s">
        <v>26</v>
      </c>
      <c r="I87" t="s">
        <v>20</v>
      </c>
      <c r="J87">
        <v>2</v>
      </c>
      <c r="K87">
        <v>481</v>
      </c>
      <c r="L87">
        <v>962</v>
      </c>
      <c r="M87">
        <v>58</v>
      </c>
      <c r="N87" t="s">
        <v>21</v>
      </c>
      <c r="O87">
        <v>3.9</v>
      </c>
      <c r="P87" s="2">
        <f>EOMONTH(Table1[[#This Row],[Order_Date]],0)</f>
        <v>45504</v>
      </c>
      <c r="Q87" s="3">
        <f>WEEKNUM(Table1[[#This Row],[Order_Date]])</f>
        <v>30</v>
      </c>
      <c r="R87">
        <f>YEAR(Table1[[#This Row],[Order_Date]])</f>
        <v>2024</v>
      </c>
      <c r="S87" t="str">
        <f>IF(Table1[[#This Row],[Quantity]]&gt;=3,"Promo","Regular")</f>
        <v>Regular</v>
      </c>
    </row>
    <row r="88" spans="1:19" x14ac:dyDescent="0.35">
      <c r="A88" t="s">
        <v>1772</v>
      </c>
      <c r="B88" t="s">
        <v>161</v>
      </c>
      <c r="C88" s="1">
        <v>45523</v>
      </c>
      <c r="D88" t="s">
        <v>48</v>
      </c>
      <c r="E88" t="s">
        <v>132</v>
      </c>
      <c r="F88" t="s">
        <v>17</v>
      </c>
      <c r="G88" t="s">
        <v>73</v>
      </c>
      <c r="H88" t="s">
        <v>32</v>
      </c>
      <c r="I88" t="s">
        <v>20</v>
      </c>
      <c r="J88">
        <v>3</v>
      </c>
      <c r="K88">
        <v>389</v>
      </c>
      <c r="L88">
        <v>1167</v>
      </c>
      <c r="M88">
        <v>48</v>
      </c>
      <c r="N88" t="s">
        <v>38</v>
      </c>
      <c r="O88">
        <v>3.2</v>
      </c>
      <c r="P88" s="2">
        <f>EOMONTH(Table1[[#This Row],[Order_Date]],0)</f>
        <v>45535</v>
      </c>
      <c r="Q88" s="3">
        <f>WEEKNUM(Table1[[#This Row],[Order_Date]])</f>
        <v>34</v>
      </c>
      <c r="R88">
        <f>YEAR(Table1[[#This Row],[Order_Date]])</f>
        <v>2024</v>
      </c>
      <c r="S88" t="str">
        <f>IF(Table1[[#This Row],[Quantity]]&gt;=3,"Promo","Regular")</f>
        <v>Promo</v>
      </c>
    </row>
    <row r="89" spans="1:19" x14ac:dyDescent="0.35">
      <c r="A89" t="s">
        <v>1773</v>
      </c>
      <c r="B89" t="s">
        <v>162</v>
      </c>
      <c r="C89" s="1">
        <v>45407</v>
      </c>
      <c r="D89" t="s">
        <v>15</v>
      </c>
      <c r="E89" t="s">
        <v>112</v>
      </c>
      <c r="F89" t="s">
        <v>85</v>
      </c>
      <c r="G89" t="s">
        <v>31</v>
      </c>
      <c r="H89" t="s">
        <v>19</v>
      </c>
      <c r="I89" t="s">
        <v>20</v>
      </c>
      <c r="J89">
        <v>1</v>
      </c>
      <c r="K89">
        <v>259</v>
      </c>
      <c r="L89">
        <v>259</v>
      </c>
      <c r="M89">
        <v>44</v>
      </c>
      <c r="N89" t="s">
        <v>21</v>
      </c>
      <c r="O89">
        <v>3.6</v>
      </c>
      <c r="P89" s="2">
        <f>EOMONTH(Table1[[#This Row],[Order_Date]],0)</f>
        <v>45412</v>
      </c>
      <c r="Q89" s="3">
        <f>WEEKNUM(Table1[[#This Row],[Order_Date]])</f>
        <v>17</v>
      </c>
      <c r="R89">
        <f>YEAR(Table1[[#This Row],[Order_Date]])</f>
        <v>2024</v>
      </c>
      <c r="S89" t="str">
        <f>IF(Table1[[#This Row],[Quantity]]&gt;=3,"Promo","Regular")</f>
        <v>Regular</v>
      </c>
    </row>
    <row r="90" spans="1:19" x14ac:dyDescent="0.35">
      <c r="A90" t="s">
        <v>1774</v>
      </c>
      <c r="B90" t="s">
        <v>163</v>
      </c>
      <c r="C90" s="1">
        <v>45463</v>
      </c>
      <c r="D90" t="s">
        <v>28</v>
      </c>
      <c r="E90" t="s">
        <v>77</v>
      </c>
      <c r="F90" t="s">
        <v>30</v>
      </c>
      <c r="G90" t="s">
        <v>46</v>
      </c>
      <c r="H90" t="s">
        <v>19</v>
      </c>
      <c r="I90" t="s">
        <v>20</v>
      </c>
      <c r="J90">
        <v>2</v>
      </c>
      <c r="K90">
        <v>151</v>
      </c>
      <c r="L90">
        <v>302</v>
      </c>
      <c r="M90">
        <v>55</v>
      </c>
      <c r="N90" t="s">
        <v>33</v>
      </c>
      <c r="O90">
        <v>3.9</v>
      </c>
      <c r="P90" s="2">
        <f>EOMONTH(Table1[[#This Row],[Order_Date]],0)</f>
        <v>45473</v>
      </c>
      <c r="Q90" s="3">
        <f>WEEKNUM(Table1[[#This Row],[Order_Date]])</f>
        <v>25</v>
      </c>
      <c r="R90">
        <f>YEAR(Table1[[#This Row],[Order_Date]])</f>
        <v>2024</v>
      </c>
      <c r="S90" t="str">
        <f>IF(Table1[[#This Row],[Quantity]]&gt;=3,"Promo","Regular")</f>
        <v>Regular</v>
      </c>
    </row>
    <row r="91" spans="1:19" x14ac:dyDescent="0.35">
      <c r="A91" t="s">
        <v>1775</v>
      </c>
      <c r="B91" t="s">
        <v>164</v>
      </c>
      <c r="C91" s="1">
        <v>45335</v>
      </c>
      <c r="D91" t="s">
        <v>15</v>
      </c>
      <c r="E91" t="s">
        <v>95</v>
      </c>
      <c r="F91" t="s">
        <v>35</v>
      </c>
      <c r="G91" t="s">
        <v>25</v>
      </c>
      <c r="H91" t="s">
        <v>37</v>
      </c>
      <c r="I91" t="s">
        <v>20</v>
      </c>
      <c r="J91">
        <v>3</v>
      </c>
      <c r="K91">
        <v>407</v>
      </c>
      <c r="L91">
        <v>1221</v>
      </c>
      <c r="M91">
        <v>55</v>
      </c>
      <c r="N91" t="s">
        <v>21</v>
      </c>
      <c r="O91">
        <v>3.9</v>
      </c>
      <c r="P91" s="2">
        <f>EOMONTH(Table1[[#This Row],[Order_Date]],0)</f>
        <v>45351</v>
      </c>
      <c r="Q91" s="3">
        <f>WEEKNUM(Table1[[#This Row],[Order_Date]])</f>
        <v>7</v>
      </c>
      <c r="R91">
        <f>YEAR(Table1[[#This Row],[Order_Date]])</f>
        <v>2024</v>
      </c>
      <c r="S91" t="str">
        <f>IF(Table1[[#This Row],[Quantity]]&gt;=3,"Promo","Regular")</f>
        <v>Promo</v>
      </c>
    </row>
    <row r="92" spans="1:19" x14ac:dyDescent="0.35">
      <c r="A92" t="s">
        <v>1776</v>
      </c>
      <c r="B92" t="s">
        <v>165</v>
      </c>
      <c r="C92" s="1">
        <v>45459</v>
      </c>
      <c r="D92" t="s">
        <v>43</v>
      </c>
      <c r="E92" t="s">
        <v>110</v>
      </c>
      <c r="F92" t="s">
        <v>72</v>
      </c>
      <c r="G92" t="s">
        <v>46</v>
      </c>
      <c r="H92" t="s">
        <v>50</v>
      </c>
      <c r="I92" t="s">
        <v>20</v>
      </c>
      <c r="J92">
        <v>3</v>
      </c>
      <c r="K92">
        <v>221</v>
      </c>
      <c r="L92">
        <v>663</v>
      </c>
      <c r="M92">
        <v>38</v>
      </c>
      <c r="N92" t="s">
        <v>33</v>
      </c>
      <c r="O92">
        <v>4.5999999999999996</v>
      </c>
      <c r="P92" s="2">
        <f>EOMONTH(Table1[[#This Row],[Order_Date]],0)</f>
        <v>45473</v>
      </c>
      <c r="Q92" s="3">
        <f>WEEKNUM(Table1[[#This Row],[Order_Date]])</f>
        <v>25</v>
      </c>
      <c r="R92">
        <f>YEAR(Table1[[#This Row],[Order_Date]])</f>
        <v>2024</v>
      </c>
      <c r="S92" t="str">
        <f>IF(Table1[[#This Row],[Quantity]]&gt;=3,"Promo","Regular")</f>
        <v>Promo</v>
      </c>
    </row>
    <row r="93" spans="1:19" x14ac:dyDescent="0.35">
      <c r="A93" t="s">
        <v>1777</v>
      </c>
      <c r="B93" t="s">
        <v>166</v>
      </c>
      <c r="C93" s="1">
        <v>45588</v>
      </c>
      <c r="D93" t="s">
        <v>28</v>
      </c>
      <c r="E93" t="s">
        <v>71</v>
      </c>
      <c r="F93" t="s">
        <v>30</v>
      </c>
      <c r="G93" t="s">
        <v>73</v>
      </c>
      <c r="H93" t="s">
        <v>32</v>
      </c>
      <c r="I93" t="s">
        <v>20</v>
      </c>
      <c r="J93">
        <v>3</v>
      </c>
      <c r="K93">
        <v>443</v>
      </c>
      <c r="L93">
        <v>1329</v>
      </c>
      <c r="M93">
        <v>44</v>
      </c>
      <c r="N93" t="s">
        <v>21</v>
      </c>
      <c r="O93">
        <v>3</v>
      </c>
      <c r="P93" s="2">
        <f>EOMONTH(Table1[[#This Row],[Order_Date]],0)</f>
        <v>45596</v>
      </c>
      <c r="Q93" s="3">
        <f>WEEKNUM(Table1[[#This Row],[Order_Date]])</f>
        <v>43</v>
      </c>
      <c r="R93">
        <f>YEAR(Table1[[#This Row],[Order_Date]])</f>
        <v>2024</v>
      </c>
      <c r="S93" t="str">
        <f>IF(Table1[[#This Row],[Quantity]]&gt;=3,"Promo","Regular")</f>
        <v>Promo</v>
      </c>
    </row>
    <row r="94" spans="1:19" x14ac:dyDescent="0.35">
      <c r="A94" t="s">
        <v>1778</v>
      </c>
      <c r="B94" t="s">
        <v>167</v>
      </c>
      <c r="C94" s="1">
        <v>45478</v>
      </c>
      <c r="D94" t="s">
        <v>15</v>
      </c>
      <c r="E94" t="s">
        <v>95</v>
      </c>
      <c r="F94" t="s">
        <v>69</v>
      </c>
      <c r="G94" t="s">
        <v>18</v>
      </c>
      <c r="H94" t="s">
        <v>32</v>
      </c>
      <c r="I94" t="s">
        <v>20</v>
      </c>
      <c r="J94">
        <v>3</v>
      </c>
      <c r="K94">
        <v>133</v>
      </c>
      <c r="L94">
        <v>399</v>
      </c>
      <c r="M94">
        <v>43</v>
      </c>
      <c r="N94" t="s">
        <v>21</v>
      </c>
      <c r="O94">
        <v>4.5</v>
      </c>
      <c r="P94" s="2">
        <f>EOMONTH(Table1[[#This Row],[Order_Date]],0)</f>
        <v>45504</v>
      </c>
      <c r="Q94" s="3">
        <f>WEEKNUM(Table1[[#This Row],[Order_Date]])</f>
        <v>27</v>
      </c>
      <c r="R94">
        <f>YEAR(Table1[[#This Row],[Order_Date]])</f>
        <v>2024</v>
      </c>
      <c r="S94" t="str">
        <f>IF(Table1[[#This Row],[Quantity]]&gt;=3,"Promo","Regular")</f>
        <v>Promo</v>
      </c>
    </row>
    <row r="95" spans="1:19" x14ac:dyDescent="0.35">
      <c r="A95" t="s">
        <v>1779</v>
      </c>
      <c r="B95" t="s">
        <v>168</v>
      </c>
      <c r="C95" s="1">
        <v>45516</v>
      </c>
      <c r="D95" t="s">
        <v>48</v>
      </c>
      <c r="E95" t="s">
        <v>68</v>
      </c>
      <c r="F95" t="s">
        <v>24</v>
      </c>
      <c r="G95" t="s">
        <v>46</v>
      </c>
      <c r="H95" t="s">
        <v>53</v>
      </c>
      <c r="I95" t="s">
        <v>20</v>
      </c>
      <c r="J95">
        <v>1</v>
      </c>
      <c r="K95">
        <v>451</v>
      </c>
      <c r="L95">
        <v>451</v>
      </c>
      <c r="M95">
        <v>39</v>
      </c>
      <c r="N95" t="s">
        <v>33</v>
      </c>
      <c r="O95">
        <v>4.5</v>
      </c>
      <c r="P95" s="2">
        <f>EOMONTH(Table1[[#This Row],[Order_Date]],0)</f>
        <v>45535</v>
      </c>
      <c r="Q95" s="3">
        <f>WEEKNUM(Table1[[#This Row],[Order_Date]])</f>
        <v>33</v>
      </c>
      <c r="R95">
        <f>YEAR(Table1[[#This Row],[Order_Date]])</f>
        <v>2024</v>
      </c>
      <c r="S95" t="str">
        <f>IF(Table1[[#This Row],[Quantity]]&gt;=3,"Promo","Regular")</f>
        <v>Regular</v>
      </c>
    </row>
    <row r="96" spans="1:19" x14ac:dyDescent="0.35">
      <c r="A96" t="s">
        <v>1780</v>
      </c>
      <c r="B96" t="s">
        <v>169</v>
      </c>
      <c r="C96" s="1">
        <v>45491</v>
      </c>
      <c r="D96" t="s">
        <v>43</v>
      </c>
      <c r="E96" t="s">
        <v>110</v>
      </c>
      <c r="F96" t="s">
        <v>24</v>
      </c>
      <c r="G96" t="s">
        <v>36</v>
      </c>
      <c r="H96" t="s">
        <v>37</v>
      </c>
      <c r="I96" t="s">
        <v>20</v>
      </c>
      <c r="J96">
        <v>2</v>
      </c>
      <c r="K96">
        <v>327</v>
      </c>
      <c r="L96">
        <v>654</v>
      </c>
      <c r="M96">
        <v>58</v>
      </c>
      <c r="N96" t="s">
        <v>33</v>
      </c>
      <c r="O96">
        <v>4.9000000000000004</v>
      </c>
      <c r="P96" s="2">
        <f>EOMONTH(Table1[[#This Row],[Order_Date]],0)</f>
        <v>45504</v>
      </c>
      <c r="Q96" s="3">
        <f>WEEKNUM(Table1[[#This Row],[Order_Date]])</f>
        <v>29</v>
      </c>
      <c r="R96">
        <f>YEAR(Table1[[#This Row],[Order_Date]])</f>
        <v>2024</v>
      </c>
      <c r="S96" t="str">
        <f>IF(Table1[[#This Row],[Quantity]]&gt;=3,"Promo","Regular")</f>
        <v>Regular</v>
      </c>
    </row>
    <row r="97" spans="1:19" x14ac:dyDescent="0.35">
      <c r="A97" t="s">
        <v>1781</v>
      </c>
      <c r="B97" t="s">
        <v>170</v>
      </c>
      <c r="C97" s="1">
        <v>45435</v>
      </c>
      <c r="D97" t="s">
        <v>28</v>
      </c>
      <c r="E97" t="s">
        <v>77</v>
      </c>
      <c r="F97" t="s">
        <v>69</v>
      </c>
      <c r="G97" t="s">
        <v>36</v>
      </c>
      <c r="H97" t="s">
        <v>50</v>
      </c>
      <c r="I97" t="s">
        <v>20</v>
      </c>
      <c r="J97">
        <v>5</v>
      </c>
      <c r="K97">
        <v>133</v>
      </c>
      <c r="L97">
        <v>665</v>
      </c>
      <c r="M97">
        <v>39</v>
      </c>
      <c r="N97" t="s">
        <v>21</v>
      </c>
      <c r="O97">
        <v>4.0999999999999996</v>
      </c>
      <c r="P97" s="2">
        <f>EOMONTH(Table1[[#This Row],[Order_Date]],0)</f>
        <v>45443</v>
      </c>
      <c r="Q97" s="3">
        <f>WEEKNUM(Table1[[#This Row],[Order_Date]])</f>
        <v>21</v>
      </c>
      <c r="R97">
        <f>YEAR(Table1[[#This Row],[Order_Date]])</f>
        <v>2024</v>
      </c>
      <c r="S97" t="str">
        <f>IF(Table1[[#This Row],[Quantity]]&gt;=3,"Promo","Regular")</f>
        <v>Promo</v>
      </c>
    </row>
    <row r="98" spans="1:19" x14ac:dyDescent="0.35">
      <c r="A98" t="s">
        <v>1782</v>
      </c>
      <c r="B98" t="s">
        <v>171</v>
      </c>
      <c r="C98" s="1">
        <v>45561</v>
      </c>
      <c r="D98" t="s">
        <v>28</v>
      </c>
      <c r="E98" t="s">
        <v>71</v>
      </c>
      <c r="F98" t="s">
        <v>41</v>
      </c>
      <c r="G98" t="s">
        <v>73</v>
      </c>
      <c r="H98" t="s">
        <v>59</v>
      </c>
      <c r="I98" t="s">
        <v>60</v>
      </c>
      <c r="J98">
        <v>3</v>
      </c>
      <c r="K98">
        <v>457</v>
      </c>
      <c r="L98">
        <v>1371</v>
      </c>
      <c r="M98">
        <v>35</v>
      </c>
      <c r="N98" t="s">
        <v>21</v>
      </c>
      <c r="O98">
        <v>3.3</v>
      </c>
      <c r="P98" s="2">
        <f>EOMONTH(Table1[[#This Row],[Order_Date]],0)</f>
        <v>45565</v>
      </c>
      <c r="Q98" s="3">
        <f>WEEKNUM(Table1[[#This Row],[Order_Date]])</f>
        <v>39</v>
      </c>
      <c r="R98">
        <f>YEAR(Table1[[#This Row],[Order_Date]])</f>
        <v>2024</v>
      </c>
      <c r="S98" t="str">
        <f>IF(Table1[[#This Row],[Quantity]]&gt;=3,"Promo","Regular")</f>
        <v>Promo</v>
      </c>
    </row>
    <row r="99" spans="1:19" x14ac:dyDescent="0.35">
      <c r="A99" t="s">
        <v>1783</v>
      </c>
      <c r="B99" t="s">
        <v>172</v>
      </c>
      <c r="C99" s="1">
        <v>45379</v>
      </c>
      <c r="D99" t="s">
        <v>43</v>
      </c>
      <c r="E99" t="s">
        <v>52</v>
      </c>
      <c r="F99" t="s">
        <v>30</v>
      </c>
      <c r="G99" t="s">
        <v>46</v>
      </c>
      <c r="H99" t="s">
        <v>66</v>
      </c>
      <c r="I99" t="s">
        <v>20</v>
      </c>
      <c r="J99">
        <v>3</v>
      </c>
      <c r="K99">
        <v>199</v>
      </c>
      <c r="L99">
        <v>597</v>
      </c>
      <c r="M99">
        <v>22</v>
      </c>
      <c r="N99" t="s">
        <v>38</v>
      </c>
      <c r="O99">
        <v>4.5</v>
      </c>
      <c r="P99" s="2">
        <f>EOMONTH(Table1[[#This Row],[Order_Date]],0)</f>
        <v>45382</v>
      </c>
      <c r="Q99" s="3">
        <f>WEEKNUM(Table1[[#This Row],[Order_Date]])</f>
        <v>13</v>
      </c>
      <c r="R99">
        <f>YEAR(Table1[[#This Row],[Order_Date]])</f>
        <v>2024</v>
      </c>
      <c r="S99" t="str">
        <f>IF(Table1[[#This Row],[Quantity]]&gt;=3,"Promo","Regular")</f>
        <v>Promo</v>
      </c>
    </row>
    <row r="100" spans="1:19" x14ac:dyDescent="0.35">
      <c r="A100" t="s">
        <v>1784</v>
      </c>
      <c r="B100" t="s">
        <v>173</v>
      </c>
      <c r="C100" s="1">
        <v>45455</v>
      </c>
      <c r="D100" t="s">
        <v>43</v>
      </c>
      <c r="E100" t="s">
        <v>52</v>
      </c>
      <c r="F100" t="s">
        <v>45</v>
      </c>
      <c r="G100" t="s">
        <v>46</v>
      </c>
      <c r="H100" t="s">
        <v>59</v>
      </c>
      <c r="I100" t="s">
        <v>60</v>
      </c>
      <c r="J100">
        <v>3</v>
      </c>
      <c r="K100">
        <v>322</v>
      </c>
      <c r="L100">
        <v>966</v>
      </c>
      <c r="M100">
        <v>33</v>
      </c>
      <c r="N100" t="s">
        <v>21</v>
      </c>
      <c r="O100">
        <v>4.2</v>
      </c>
      <c r="P100" s="2">
        <f>EOMONTH(Table1[[#This Row],[Order_Date]],0)</f>
        <v>45473</v>
      </c>
      <c r="Q100" s="3">
        <f>WEEKNUM(Table1[[#This Row],[Order_Date]])</f>
        <v>24</v>
      </c>
      <c r="R100">
        <f>YEAR(Table1[[#This Row],[Order_Date]])</f>
        <v>2024</v>
      </c>
      <c r="S100" t="str">
        <f>IF(Table1[[#This Row],[Quantity]]&gt;=3,"Promo","Regular")</f>
        <v>Promo</v>
      </c>
    </row>
    <row r="101" spans="1:19" x14ac:dyDescent="0.35">
      <c r="A101" t="s">
        <v>1785</v>
      </c>
      <c r="B101" t="s">
        <v>174</v>
      </c>
      <c r="C101" s="1">
        <v>45574</v>
      </c>
      <c r="D101" t="s">
        <v>48</v>
      </c>
      <c r="E101" t="s">
        <v>127</v>
      </c>
      <c r="F101" t="s">
        <v>24</v>
      </c>
      <c r="G101" t="s">
        <v>18</v>
      </c>
      <c r="H101" t="s">
        <v>66</v>
      </c>
      <c r="I101" t="s">
        <v>20</v>
      </c>
      <c r="J101">
        <v>4</v>
      </c>
      <c r="K101">
        <v>348</v>
      </c>
      <c r="L101">
        <v>1392</v>
      </c>
      <c r="M101">
        <v>32</v>
      </c>
      <c r="N101" t="s">
        <v>21</v>
      </c>
      <c r="O101">
        <v>3.7</v>
      </c>
      <c r="P101" s="2">
        <f>EOMONTH(Table1[[#This Row],[Order_Date]],0)</f>
        <v>45596</v>
      </c>
      <c r="Q101" s="3">
        <f>WEEKNUM(Table1[[#This Row],[Order_Date]])</f>
        <v>41</v>
      </c>
      <c r="R101">
        <f>YEAR(Table1[[#This Row],[Order_Date]])</f>
        <v>2024</v>
      </c>
      <c r="S101" t="str">
        <f>IF(Table1[[#This Row],[Quantity]]&gt;=3,"Promo","Regular")</f>
        <v>Promo</v>
      </c>
    </row>
    <row r="102" spans="1:19" x14ac:dyDescent="0.35">
      <c r="A102" t="s">
        <v>1786</v>
      </c>
      <c r="B102" t="s">
        <v>175</v>
      </c>
      <c r="C102" s="1">
        <v>45461</v>
      </c>
      <c r="D102" t="s">
        <v>15</v>
      </c>
      <c r="E102" t="s">
        <v>16</v>
      </c>
      <c r="F102" t="s">
        <v>69</v>
      </c>
      <c r="G102" t="s">
        <v>18</v>
      </c>
      <c r="H102" t="s">
        <v>26</v>
      </c>
      <c r="I102" t="s">
        <v>20</v>
      </c>
      <c r="J102">
        <v>3</v>
      </c>
      <c r="K102">
        <v>109</v>
      </c>
      <c r="L102">
        <v>327</v>
      </c>
      <c r="M102">
        <v>37</v>
      </c>
      <c r="N102" t="s">
        <v>21</v>
      </c>
      <c r="O102">
        <v>4.8</v>
      </c>
      <c r="P102" s="2">
        <f>EOMONTH(Table1[[#This Row],[Order_Date]],0)</f>
        <v>45473</v>
      </c>
      <c r="Q102" s="3">
        <f>WEEKNUM(Table1[[#This Row],[Order_Date]])</f>
        <v>25</v>
      </c>
      <c r="R102">
        <f>YEAR(Table1[[#This Row],[Order_Date]])</f>
        <v>2024</v>
      </c>
      <c r="S102" t="str">
        <f>IF(Table1[[#This Row],[Quantity]]&gt;=3,"Promo","Regular")</f>
        <v>Promo</v>
      </c>
    </row>
    <row r="103" spans="1:19" x14ac:dyDescent="0.35">
      <c r="A103" t="s">
        <v>1787</v>
      </c>
      <c r="B103" t="s">
        <v>176</v>
      </c>
      <c r="C103" s="1">
        <v>45484</v>
      </c>
      <c r="D103" t="s">
        <v>15</v>
      </c>
      <c r="E103" t="s">
        <v>112</v>
      </c>
      <c r="F103" t="s">
        <v>30</v>
      </c>
      <c r="G103" t="s">
        <v>25</v>
      </c>
      <c r="H103" t="s">
        <v>26</v>
      </c>
      <c r="I103" t="s">
        <v>20</v>
      </c>
      <c r="J103">
        <v>1</v>
      </c>
      <c r="K103">
        <v>108</v>
      </c>
      <c r="L103">
        <v>108</v>
      </c>
      <c r="M103">
        <v>27</v>
      </c>
      <c r="N103" t="s">
        <v>38</v>
      </c>
      <c r="O103">
        <v>3.6</v>
      </c>
      <c r="P103" s="2">
        <f>EOMONTH(Table1[[#This Row],[Order_Date]],0)</f>
        <v>45504</v>
      </c>
      <c r="Q103" s="3">
        <f>WEEKNUM(Table1[[#This Row],[Order_Date]])</f>
        <v>28</v>
      </c>
      <c r="R103">
        <f>YEAR(Table1[[#This Row],[Order_Date]])</f>
        <v>2024</v>
      </c>
      <c r="S103" t="str">
        <f>IF(Table1[[#This Row],[Quantity]]&gt;=3,"Promo","Regular")</f>
        <v>Regular</v>
      </c>
    </row>
    <row r="104" spans="1:19" x14ac:dyDescent="0.35">
      <c r="A104" t="s">
        <v>1788</v>
      </c>
      <c r="B104" t="s">
        <v>177</v>
      </c>
      <c r="C104" s="1">
        <v>45405</v>
      </c>
      <c r="D104" t="s">
        <v>57</v>
      </c>
      <c r="E104" t="s">
        <v>105</v>
      </c>
      <c r="F104" t="s">
        <v>72</v>
      </c>
      <c r="G104" t="s">
        <v>31</v>
      </c>
      <c r="H104" t="s">
        <v>26</v>
      </c>
      <c r="I104" t="s">
        <v>20</v>
      </c>
      <c r="J104">
        <v>3</v>
      </c>
      <c r="K104">
        <v>310</v>
      </c>
      <c r="L104">
        <v>930</v>
      </c>
      <c r="M104">
        <v>54</v>
      </c>
      <c r="N104" t="s">
        <v>38</v>
      </c>
      <c r="O104">
        <v>4.8</v>
      </c>
      <c r="P104" s="2">
        <f>EOMONTH(Table1[[#This Row],[Order_Date]],0)</f>
        <v>45412</v>
      </c>
      <c r="Q104" s="3">
        <f>WEEKNUM(Table1[[#This Row],[Order_Date]])</f>
        <v>17</v>
      </c>
      <c r="R104">
        <f>YEAR(Table1[[#This Row],[Order_Date]])</f>
        <v>2024</v>
      </c>
      <c r="S104" t="str">
        <f>IF(Table1[[#This Row],[Quantity]]&gt;=3,"Promo","Regular")</f>
        <v>Promo</v>
      </c>
    </row>
    <row r="105" spans="1:19" x14ac:dyDescent="0.35">
      <c r="A105" t="s">
        <v>1789</v>
      </c>
      <c r="B105" t="s">
        <v>178</v>
      </c>
      <c r="C105" s="1">
        <v>45422</v>
      </c>
      <c r="D105" t="s">
        <v>43</v>
      </c>
      <c r="E105" t="s">
        <v>82</v>
      </c>
      <c r="F105" t="s">
        <v>17</v>
      </c>
      <c r="G105" t="s">
        <v>46</v>
      </c>
      <c r="H105" t="s">
        <v>26</v>
      </c>
      <c r="I105" t="s">
        <v>20</v>
      </c>
      <c r="J105">
        <v>5</v>
      </c>
      <c r="K105">
        <v>228</v>
      </c>
      <c r="L105">
        <v>1140</v>
      </c>
      <c r="M105">
        <v>52</v>
      </c>
      <c r="N105" t="s">
        <v>38</v>
      </c>
      <c r="O105">
        <v>4.9000000000000004</v>
      </c>
      <c r="P105" s="2">
        <f>EOMONTH(Table1[[#This Row],[Order_Date]],0)</f>
        <v>45443</v>
      </c>
      <c r="Q105" s="3">
        <f>WEEKNUM(Table1[[#This Row],[Order_Date]])</f>
        <v>19</v>
      </c>
      <c r="R105">
        <f>YEAR(Table1[[#This Row],[Order_Date]])</f>
        <v>2024</v>
      </c>
      <c r="S105" t="str">
        <f>IF(Table1[[#This Row],[Quantity]]&gt;=3,"Promo","Regular")</f>
        <v>Promo</v>
      </c>
    </row>
    <row r="106" spans="1:19" x14ac:dyDescent="0.35">
      <c r="A106" t="s">
        <v>1790</v>
      </c>
      <c r="B106" t="s">
        <v>179</v>
      </c>
      <c r="C106" s="1">
        <v>45541</v>
      </c>
      <c r="D106" t="s">
        <v>28</v>
      </c>
      <c r="E106" t="s">
        <v>29</v>
      </c>
      <c r="F106" t="s">
        <v>65</v>
      </c>
      <c r="G106" t="s">
        <v>31</v>
      </c>
      <c r="H106" t="s">
        <v>59</v>
      </c>
      <c r="I106" t="s">
        <v>60</v>
      </c>
      <c r="J106">
        <v>4</v>
      </c>
      <c r="K106">
        <v>213</v>
      </c>
      <c r="L106">
        <v>852</v>
      </c>
      <c r="M106">
        <v>21</v>
      </c>
      <c r="N106" t="s">
        <v>33</v>
      </c>
      <c r="O106">
        <v>3.7</v>
      </c>
      <c r="P106" s="2">
        <f>EOMONTH(Table1[[#This Row],[Order_Date]],0)</f>
        <v>45565</v>
      </c>
      <c r="Q106" s="3">
        <f>WEEKNUM(Table1[[#This Row],[Order_Date]])</f>
        <v>36</v>
      </c>
      <c r="R106">
        <f>YEAR(Table1[[#This Row],[Order_Date]])</f>
        <v>2024</v>
      </c>
      <c r="S106" t="str">
        <f>IF(Table1[[#This Row],[Quantity]]&gt;=3,"Promo","Regular")</f>
        <v>Promo</v>
      </c>
    </row>
    <row r="107" spans="1:19" x14ac:dyDescent="0.35">
      <c r="A107" t="s">
        <v>1791</v>
      </c>
      <c r="B107" t="s">
        <v>180</v>
      </c>
      <c r="C107" s="1">
        <v>45586</v>
      </c>
      <c r="D107" t="s">
        <v>48</v>
      </c>
      <c r="E107" t="s">
        <v>132</v>
      </c>
      <c r="F107" t="s">
        <v>41</v>
      </c>
      <c r="G107" t="s">
        <v>36</v>
      </c>
      <c r="H107" t="s">
        <v>26</v>
      </c>
      <c r="I107" t="s">
        <v>20</v>
      </c>
      <c r="J107">
        <v>2</v>
      </c>
      <c r="K107">
        <v>240</v>
      </c>
      <c r="L107">
        <v>480</v>
      </c>
      <c r="M107">
        <v>55</v>
      </c>
      <c r="N107" t="s">
        <v>33</v>
      </c>
      <c r="O107">
        <v>4.4000000000000004</v>
      </c>
      <c r="P107" s="2">
        <f>EOMONTH(Table1[[#This Row],[Order_Date]],0)</f>
        <v>45596</v>
      </c>
      <c r="Q107" s="3">
        <f>WEEKNUM(Table1[[#This Row],[Order_Date]])</f>
        <v>43</v>
      </c>
      <c r="R107">
        <f>YEAR(Table1[[#This Row],[Order_Date]])</f>
        <v>2024</v>
      </c>
      <c r="S107" t="str">
        <f>IF(Table1[[#This Row],[Quantity]]&gt;=3,"Promo","Regular")</f>
        <v>Regular</v>
      </c>
    </row>
    <row r="108" spans="1:19" x14ac:dyDescent="0.35">
      <c r="A108" t="s">
        <v>1792</v>
      </c>
      <c r="B108" t="s">
        <v>181</v>
      </c>
      <c r="C108" s="1">
        <v>45526</v>
      </c>
      <c r="D108" t="s">
        <v>48</v>
      </c>
      <c r="E108" t="s">
        <v>68</v>
      </c>
      <c r="F108" t="s">
        <v>17</v>
      </c>
      <c r="G108" t="s">
        <v>46</v>
      </c>
      <c r="H108" t="s">
        <v>66</v>
      </c>
      <c r="I108" t="s">
        <v>20</v>
      </c>
      <c r="J108">
        <v>3</v>
      </c>
      <c r="K108">
        <v>444</v>
      </c>
      <c r="L108">
        <v>1332</v>
      </c>
      <c r="M108">
        <v>31</v>
      </c>
      <c r="N108" t="s">
        <v>33</v>
      </c>
      <c r="O108">
        <v>3.1</v>
      </c>
      <c r="P108" s="2">
        <f>EOMONTH(Table1[[#This Row],[Order_Date]],0)</f>
        <v>45535</v>
      </c>
      <c r="Q108" s="3">
        <f>WEEKNUM(Table1[[#This Row],[Order_Date]])</f>
        <v>34</v>
      </c>
      <c r="R108">
        <f>YEAR(Table1[[#This Row],[Order_Date]])</f>
        <v>2024</v>
      </c>
      <c r="S108" t="str">
        <f>IF(Table1[[#This Row],[Quantity]]&gt;=3,"Promo","Regular")</f>
        <v>Promo</v>
      </c>
    </row>
    <row r="109" spans="1:19" x14ac:dyDescent="0.35">
      <c r="A109" t="s">
        <v>1793</v>
      </c>
      <c r="B109" t="s">
        <v>182</v>
      </c>
      <c r="C109" s="1">
        <v>45504</v>
      </c>
      <c r="D109" t="s">
        <v>28</v>
      </c>
      <c r="E109" t="s">
        <v>98</v>
      </c>
      <c r="F109" t="s">
        <v>45</v>
      </c>
      <c r="G109" t="s">
        <v>73</v>
      </c>
      <c r="H109" t="s">
        <v>120</v>
      </c>
      <c r="I109" t="s">
        <v>60</v>
      </c>
      <c r="J109">
        <v>4</v>
      </c>
      <c r="K109">
        <v>361</v>
      </c>
      <c r="L109">
        <v>1444</v>
      </c>
      <c r="M109">
        <v>50</v>
      </c>
      <c r="N109" t="s">
        <v>38</v>
      </c>
      <c r="O109">
        <v>3.9</v>
      </c>
      <c r="P109" s="2">
        <f>EOMONTH(Table1[[#This Row],[Order_Date]],0)</f>
        <v>45504</v>
      </c>
      <c r="Q109" s="3">
        <f>WEEKNUM(Table1[[#This Row],[Order_Date]])</f>
        <v>31</v>
      </c>
      <c r="R109">
        <f>YEAR(Table1[[#This Row],[Order_Date]])</f>
        <v>2024</v>
      </c>
      <c r="S109" t="str">
        <f>IF(Table1[[#This Row],[Quantity]]&gt;=3,"Promo","Regular")</f>
        <v>Promo</v>
      </c>
    </row>
    <row r="110" spans="1:19" x14ac:dyDescent="0.35">
      <c r="A110" t="s">
        <v>1794</v>
      </c>
      <c r="B110" t="s">
        <v>183</v>
      </c>
      <c r="C110" s="1">
        <v>45565</v>
      </c>
      <c r="D110" t="s">
        <v>43</v>
      </c>
      <c r="E110" t="s">
        <v>52</v>
      </c>
      <c r="F110" t="s">
        <v>45</v>
      </c>
      <c r="G110" t="s">
        <v>46</v>
      </c>
      <c r="H110" t="s">
        <v>120</v>
      </c>
      <c r="I110" t="s">
        <v>60</v>
      </c>
      <c r="J110">
        <v>1</v>
      </c>
      <c r="K110">
        <v>158</v>
      </c>
      <c r="L110">
        <v>158</v>
      </c>
      <c r="M110">
        <v>30</v>
      </c>
      <c r="N110" t="s">
        <v>33</v>
      </c>
      <c r="O110">
        <v>4.4000000000000004</v>
      </c>
      <c r="P110" s="2">
        <f>EOMONTH(Table1[[#This Row],[Order_Date]],0)</f>
        <v>45565</v>
      </c>
      <c r="Q110" s="3">
        <f>WEEKNUM(Table1[[#This Row],[Order_Date]])</f>
        <v>40</v>
      </c>
      <c r="R110">
        <f>YEAR(Table1[[#This Row],[Order_Date]])</f>
        <v>2024</v>
      </c>
      <c r="S110" t="str">
        <f>IF(Table1[[#This Row],[Quantity]]&gt;=3,"Promo","Regular")</f>
        <v>Regular</v>
      </c>
    </row>
    <row r="111" spans="1:19" x14ac:dyDescent="0.35">
      <c r="A111" t="s">
        <v>1795</v>
      </c>
      <c r="B111" t="s">
        <v>184</v>
      </c>
      <c r="C111" s="1">
        <v>45474</v>
      </c>
      <c r="D111" t="s">
        <v>15</v>
      </c>
      <c r="E111" t="s">
        <v>16</v>
      </c>
      <c r="F111" t="s">
        <v>24</v>
      </c>
      <c r="G111" t="s">
        <v>31</v>
      </c>
      <c r="H111" t="s">
        <v>53</v>
      </c>
      <c r="I111" t="s">
        <v>20</v>
      </c>
      <c r="J111">
        <v>1</v>
      </c>
      <c r="K111">
        <v>232</v>
      </c>
      <c r="L111">
        <v>232</v>
      </c>
      <c r="M111">
        <v>49</v>
      </c>
      <c r="N111" t="s">
        <v>33</v>
      </c>
      <c r="O111">
        <v>3.1</v>
      </c>
      <c r="P111" s="2">
        <f>EOMONTH(Table1[[#This Row],[Order_Date]],0)</f>
        <v>45504</v>
      </c>
      <c r="Q111" s="3">
        <f>WEEKNUM(Table1[[#This Row],[Order_Date]])</f>
        <v>27</v>
      </c>
      <c r="R111">
        <f>YEAR(Table1[[#This Row],[Order_Date]])</f>
        <v>2024</v>
      </c>
      <c r="S111" t="str">
        <f>IF(Table1[[#This Row],[Quantity]]&gt;=3,"Promo","Regular")</f>
        <v>Regular</v>
      </c>
    </row>
    <row r="112" spans="1:19" x14ac:dyDescent="0.35">
      <c r="A112" t="s">
        <v>1796</v>
      </c>
      <c r="B112" t="s">
        <v>185</v>
      </c>
      <c r="C112" s="1">
        <v>45429</v>
      </c>
      <c r="D112" t="s">
        <v>28</v>
      </c>
      <c r="E112" t="s">
        <v>71</v>
      </c>
      <c r="F112" t="s">
        <v>85</v>
      </c>
      <c r="G112" t="s">
        <v>25</v>
      </c>
      <c r="H112" t="s">
        <v>26</v>
      </c>
      <c r="I112" t="s">
        <v>20</v>
      </c>
      <c r="J112">
        <v>5</v>
      </c>
      <c r="K112">
        <v>198</v>
      </c>
      <c r="L112">
        <v>990</v>
      </c>
      <c r="M112">
        <v>59</v>
      </c>
      <c r="N112" t="s">
        <v>21</v>
      </c>
      <c r="O112">
        <v>4.3</v>
      </c>
      <c r="P112" s="2">
        <f>EOMONTH(Table1[[#This Row],[Order_Date]],0)</f>
        <v>45443</v>
      </c>
      <c r="Q112" s="3">
        <f>WEEKNUM(Table1[[#This Row],[Order_Date]])</f>
        <v>20</v>
      </c>
      <c r="R112">
        <f>YEAR(Table1[[#This Row],[Order_Date]])</f>
        <v>2024</v>
      </c>
      <c r="S112" t="str">
        <f>IF(Table1[[#This Row],[Quantity]]&gt;=3,"Promo","Regular")</f>
        <v>Promo</v>
      </c>
    </row>
    <row r="113" spans="1:19" x14ac:dyDescent="0.35">
      <c r="A113" t="s">
        <v>1797</v>
      </c>
      <c r="B113" t="s">
        <v>186</v>
      </c>
      <c r="C113" s="1">
        <v>45523</v>
      </c>
      <c r="D113" t="s">
        <v>28</v>
      </c>
      <c r="E113" t="s">
        <v>98</v>
      </c>
      <c r="F113" t="s">
        <v>17</v>
      </c>
      <c r="G113" t="s">
        <v>31</v>
      </c>
      <c r="H113" t="s">
        <v>66</v>
      </c>
      <c r="I113" t="s">
        <v>20</v>
      </c>
      <c r="J113">
        <v>3</v>
      </c>
      <c r="K113">
        <v>165</v>
      </c>
      <c r="L113">
        <v>495</v>
      </c>
      <c r="M113">
        <v>36</v>
      </c>
      <c r="N113" t="s">
        <v>33</v>
      </c>
      <c r="O113">
        <v>3.8</v>
      </c>
      <c r="P113" s="2">
        <f>EOMONTH(Table1[[#This Row],[Order_Date]],0)</f>
        <v>45535</v>
      </c>
      <c r="Q113" s="3">
        <f>WEEKNUM(Table1[[#This Row],[Order_Date]])</f>
        <v>34</v>
      </c>
      <c r="R113">
        <f>YEAR(Table1[[#This Row],[Order_Date]])</f>
        <v>2024</v>
      </c>
      <c r="S113" t="str">
        <f>IF(Table1[[#This Row],[Quantity]]&gt;=3,"Promo","Regular")</f>
        <v>Promo</v>
      </c>
    </row>
    <row r="114" spans="1:19" x14ac:dyDescent="0.35">
      <c r="A114" t="s">
        <v>1798</v>
      </c>
      <c r="B114" t="s">
        <v>187</v>
      </c>
      <c r="C114" s="1">
        <v>45587</v>
      </c>
      <c r="D114" t="s">
        <v>15</v>
      </c>
      <c r="E114" t="s">
        <v>95</v>
      </c>
      <c r="F114" t="s">
        <v>85</v>
      </c>
      <c r="G114" t="s">
        <v>73</v>
      </c>
      <c r="H114" t="s">
        <v>37</v>
      </c>
      <c r="I114" t="s">
        <v>20</v>
      </c>
      <c r="J114">
        <v>5</v>
      </c>
      <c r="K114">
        <v>369</v>
      </c>
      <c r="L114">
        <v>1845</v>
      </c>
      <c r="M114">
        <v>20</v>
      </c>
      <c r="N114" t="s">
        <v>38</v>
      </c>
      <c r="O114">
        <v>4.2</v>
      </c>
      <c r="P114" s="2">
        <f>EOMONTH(Table1[[#This Row],[Order_Date]],0)</f>
        <v>45596</v>
      </c>
      <c r="Q114" s="3">
        <f>WEEKNUM(Table1[[#This Row],[Order_Date]])</f>
        <v>43</v>
      </c>
      <c r="R114">
        <f>YEAR(Table1[[#This Row],[Order_Date]])</f>
        <v>2024</v>
      </c>
      <c r="S114" t="str">
        <f>IF(Table1[[#This Row],[Quantity]]&gt;=3,"Promo","Regular")</f>
        <v>Promo</v>
      </c>
    </row>
    <row r="115" spans="1:19" x14ac:dyDescent="0.35">
      <c r="A115" t="s">
        <v>1799</v>
      </c>
      <c r="B115" t="s">
        <v>188</v>
      </c>
      <c r="C115" s="1">
        <v>45552</v>
      </c>
      <c r="D115" t="s">
        <v>57</v>
      </c>
      <c r="E115" t="s">
        <v>62</v>
      </c>
      <c r="F115" t="s">
        <v>41</v>
      </c>
      <c r="G115" t="s">
        <v>25</v>
      </c>
      <c r="H115" t="s">
        <v>53</v>
      </c>
      <c r="I115" t="s">
        <v>20</v>
      </c>
      <c r="J115">
        <v>4</v>
      </c>
      <c r="K115">
        <v>178</v>
      </c>
      <c r="L115">
        <v>712</v>
      </c>
      <c r="M115">
        <v>45</v>
      </c>
      <c r="N115" t="s">
        <v>33</v>
      </c>
      <c r="O115">
        <v>4</v>
      </c>
      <c r="P115" s="2">
        <f>EOMONTH(Table1[[#This Row],[Order_Date]],0)</f>
        <v>45565</v>
      </c>
      <c r="Q115" s="3">
        <f>WEEKNUM(Table1[[#This Row],[Order_Date]])</f>
        <v>38</v>
      </c>
      <c r="R115">
        <f>YEAR(Table1[[#This Row],[Order_Date]])</f>
        <v>2024</v>
      </c>
      <c r="S115" t="str">
        <f>IF(Table1[[#This Row],[Quantity]]&gt;=3,"Promo","Regular")</f>
        <v>Promo</v>
      </c>
    </row>
    <row r="116" spans="1:19" x14ac:dyDescent="0.35">
      <c r="A116" t="s">
        <v>1800</v>
      </c>
      <c r="B116" t="s">
        <v>189</v>
      </c>
      <c r="C116" s="1">
        <v>45466</v>
      </c>
      <c r="D116" t="s">
        <v>43</v>
      </c>
      <c r="E116" t="s">
        <v>44</v>
      </c>
      <c r="F116" t="s">
        <v>72</v>
      </c>
      <c r="G116" t="s">
        <v>18</v>
      </c>
      <c r="H116" t="s">
        <v>55</v>
      </c>
      <c r="I116" t="s">
        <v>20</v>
      </c>
      <c r="J116">
        <v>3</v>
      </c>
      <c r="K116">
        <v>262</v>
      </c>
      <c r="L116">
        <v>786</v>
      </c>
      <c r="M116">
        <v>20</v>
      </c>
      <c r="N116" t="s">
        <v>38</v>
      </c>
      <c r="O116">
        <v>3.1</v>
      </c>
      <c r="P116" s="2">
        <f>EOMONTH(Table1[[#This Row],[Order_Date]],0)</f>
        <v>45473</v>
      </c>
      <c r="Q116" s="3">
        <f>WEEKNUM(Table1[[#This Row],[Order_Date]])</f>
        <v>26</v>
      </c>
      <c r="R116">
        <f>YEAR(Table1[[#This Row],[Order_Date]])</f>
        <v>2024</v>
      </c>
      <c r="S116" t="str">
        <f>IF(Table1[[#This Row],[Quantity]]&gt;=3,"Promo","Regular")</f>
        <v>Promo</v>
      </c>
    </row>
    <row r="117" spans="1:19" x14ac:dyDescent="0.35">
      <c r="A117" t="s">
        <v>1801</v>
      </c>
      <c r="B117" t="s">
        <v>190</v>
      </c>
      <c r="C117" s="1">
        <v>45554</v>
      </c>
      <c r="D117" t="s">
        <v>28</v>
      </c>
      <c r="E117" t="s">
        <v>40</v>
      </c>
      <c r="F117" t="s">
        <v>41</v>
      </c>
      <c r="G117" t="s">
        <v>18</v>
      </c>
      <c r="H117" t="s">
        <v>37</v>
      </c>
      <c r="I117" t="s">
        <v>20</v>
      </c>
      <c r="J117">
        <v>5</v>
      </c>
      <c r="K117">
        <v>386</v>
      </c>
      <c r="L117">
        <v>1930</v>
      </c>
      <c r="M117">
        <v>32</v>
      </c>
      <c r="N117" t="s">
        <v>33</v>
      </c>
      <c r="O117">
        <v>4</v>
      </c>
      <c r="P117" s="2">
        <f>EOMONTH(Table1[[#This Row],[Order_Date]],0)</f>
        <v>45565</v>
      </c>
      <c r="Q117" s="3">
        <f>WEEKNUM(Table1[[#This Row],[Order_Date]])</f>
        <v>38</v>
      </c>
      <c r="R117">
        <f>YEAR(Table1[[#This Row],[Order_Date]])</f>
        <v>2024</v>
      </c>
      <c r="S117" t="str">
        <f>IF(Table1[[#This Row],[Quantity]]&gt;=3,"Promo","Regular")</f>
        <v>Promo</v>
      </c>
    </row>
    <row r="118" spans="1:19" x14ac:dyDescent="0.35">
      <c r="A118" t="s">
        <v>1802</v>
      </c>
      <c r="B118" t="s">
        <v>191</v>
      </c>
      <c r="C118" s="1">
        <v>45298</v>
      </c>
      <c r="D118" t="s">
        <v>57</v>
      </c>
      <c r="E118" t="s">
        <v>105</v>
      </c>
      <c r="F118" t="s">
        <v>24</v>
      </c>
      <c r="G118" t="s">
        <v>36</v>
      </c>
      <c r="H118" t="s">
        <v>37</v>
      </c>
      <c r="I118" t="s">
        <v>20</v>
      </c>
      <c r="J118">
        <v>5</v>
      </c>
      <c r="K118">
        <v>319</v>
      </c>
      <c r="L118">
        <v>1595</v>
      </c>
      <c r="M118">
        <v>30</v>
      </c>
      <c r="N118" t="s">
        <v>38</v>
      </c>
      <c r="O118">
        <v>3</v>
      </c>
      <c r="P118" s="2">
        <f>EOMONTH(Table1[[#This Row],[Order_Date]],0)</f>
        <v>45322</v>
      </c>
      <c r="Q118" s="3">
        <f>WEEKNUM(Table1[[#This Row],[Order_Date]])</f>
        <v>2</v>
      </c>
      <c r="R118">
        <f>YEAR(Table1[[#This Row],[Order_Date]])</f>
        <v>2024</v>
      </c>
      <c r="S118" t="str">
        <f>IF(Table1[[#This Row],[Quantity]]&gt;=3,"Promo","Regular")</f>
        <v>Promo</v>
      </c>
    </row>
    <row r="119" spans="1:19" x14ac:dyDescent="0.35">
      <c r="A119" t="s">
        <v>1803</v>
      </c>
      <c r="B119" t="s">
        <v>192</v>
      </c>
      <c r="C119" s="1">
        <v>45550</v>
      </c>
      <c r="D119" t="s">
        <v>48</v>
      </c>
      <c r="E119" t="s">
        <v>49</v>
      </c>
      <c r="F119" t="s">
        <v>69</v>
      </c>
      <c r="G119" t="s">
        <v>36</v>
      </c>
      <c r="H119" t="s">
        <v>50</v>
      </c>
      <c r="I119" t="s">
        <v>20</v>
      </c>
      <c r="J119">
        <v>2</v>
      </c>
      <c r="K119">
        <v>413</v>
      </c>
      <c r="L119">
        <v>826</v>
      </c>
      <c r="M119">
        <v>27</v>
      </c>
      <c r="N119" t="s">
        <v>38</v>
      </c>
      <c r="O119">
        <v>3.4</v>
      </c>
      <c r="P119" s="2">
        <f>EOMONTH(Table1[[#This Row],[Order_Date]],0)</f>
        <v>45565</v>
      </c>
      <c r="Q119" s="3">
        <f>WEEKNUM(Table1[[#This Row],[Order_Date]])</f>
        <v>38</v>
      </c>
      <c r="R119">
        <f>YEAR(Table1[[#This Row],[Order_Date]])</f>
        <v>2024</v>
      </c>
      <c r="S119" t="str">
        <f>IF(Table1[[#This Row],[Quantity]]&gt;=3,"Promo","Regular")</f>
        <v>Regular</v>
      </c>
    </row>
    <row r="120" spans="1:19" x14ac:dyDescent="0.35">
      <c r="A120" t="s">
        <v>1804</v>
      </c>
      <c r="B120" t="s">
        <v>193</v>
      </c>
      <c r="C120" s="1">
        <v>45532</v>
      </c>
      <c r="D120" t="s">
        <v>48</v>
      </c>
      <c r="E120" t="s">
        <v>127</v>
      </c>
      <c r="F120" t="s">
        <v>85</v>
      </c>
      <c r="G120" t="s">
        <v>73</v>
      </c>
      <c r="H120" t="s">
        <v>66</v>
      </c>
      <c r="I120" t="s">
        <v>20</v>
      </c>
      <c r="J120">
        <v>3</v>
      </c>
      <c r="K120">
        <v>222</v>
      </c>
      <c r="L120">
        <v>666</v>
      </c>
      <c r="M120">
        <v>37</v>
      </c>
      <c r="N120" t="s">
        <v>38</v>
      </c>
      <c r="O120">
        <v>3.6</v>
      </c>
      <c r="P120" s="2">
        <f>EOMONTH(Table1[[#This Row],[Order_Date]],0)</f>
        <v>45535</v>
      </c>
      <c r="Q120" s="3">
        <f>WEEKNUM(Table1[[#This Row],[Order_Date]])</f>
        <v>35</v>
      </c>
      <c r="R120">
        <f>YEAR(Table1[[#This Row],[Order_Date]])</f>
        <v>2024</v>
      </c>
      <c r="S120" t="str">
        <f>IF(Table1[[#This Row],[Quantity]]&gt;=3,"Promo","Regular")</f>
        <v>Promo</v>
      </c>
    </row>
    <row r="121" spans="1:19" x14ac:dyDescent="0.35">
      <c r="A121" t="s">
        <v>1805</v>
      </c>
      <c r="B121" t="s">
        <v>194</v>
      </c>
      <c r="C121" s="1">
        <v>45397</v>
      </c>
      <c r="D121" t="s">
        <v>57</v>
      </c>
      <c r="E121" t="s">
        <v>75</v>
      </c>
      <c r="F121" t="s">
        <v>72</v>
      </c>
      <c r="G121" t="s">
        <v>18</v>
      </c>
      <c r="H121" t="s">
        <v>120</v>
      </c>
      <c r="I121" t="s">
        <v>60</v>
      </c>
      <c r="J121">
        <v>3</v>
      </c>
      <c r="K121">
        <v>491</v>
      </c>
      <c r="L121">
        <v>1473</v>
      </c>
      <c r="M121">
        <v>40</v>
      </c>
      <c r="N121" t="s">
        <v>33</v>
      </c>
      <c r="O121">
        <v>4.4000000000000004</v>
      </c>
      <c r="P121" s="2">
        <f>EOMONTH(Table1[[#This Row],[Order_Date]],0)</f>
        <v>45412</v>
      </c>
      <c r="Q121" s="3">
        <f>WEEKNUM(Table1[[#This Row],[Order_Date]])</f>
        <v>16</v>
      </c>
      <c r="R121">
        <f>YEAR(Table1[[#This Row],[Order_Date]])</f>
        <v>2024</v>
      </c>
      <c r="S121" t="str">
        <f>IF(Table1[[#This Row],[Quantity]]&gt;=3,"Promo","Regular")</f>
        <v>Promo</v>
      </c>
    </row>
    <row r="122" spans="1:19" x14ac:dyDescent="0.35">
      <c r="A122" t="s">
        <v>1806</v>
      </c>
      <c r="B122" t="s">
        <v>195</v>
      </c>
      <c r="C122" s="1">
        <v>45318</v>
      </c>
      <c r="D122" t="s">
        <v>57</v>
      </c>
      <c r="E122" t="s">
        <v>58</v>
      </c>
      <c r="F122" t="s">
        <v>41</v>
      </c>
      <c r="G122" t="s">
        <v>73</v>
      </c>
      <c r="H122" t="s">
        <v>55</v>
      </c>
      <c r="I122" t="s">
        <v>20</v>
      </c>
      <c r="J122">
        <v>1</v>
      </c>
      <c r="K122">
        <v>322</v>
      </c>
      <c r="L122">
        <v>322</v>
      </c>
      <c r="M122">
        <v>44</v>
      </c>
      <c r="N122" t="s">
        <v>38</v>
      </c>
      <c r="O122">
        <v>3.1</v>
      </c>
      <c r="P122" s="2">
        <f>EOMONTH(Table1[[#This Row],[Order_Date]],0)</f>
        <v>45322</v>
      </c>
      <c r="Q122" s="3">
        <f>WEEKNUM(Table1[[#This Row],[Order_Date]])</f>
        <v>4</v>
      </c>
      <c r="R122">
        <f>YEAR(Table1[[#This Row],[Order_Date]])</f>
        <v>2024</v>
      </c>
      <c r="S122" t="str">
        <f>IF(Table1[[#This Row],[Quantity]]&gt;=3,"Promo","Regular")</f>
        <v>Regular</v>
      </c>
    </row>
    <row r="123" spans="1:19" x14ac:dyDescent="0.35">
      <c r="A123" t="s">
        <v>1807</v>
      </c>
      <c r="B123" t="s">
        <v>196</v>
      </c>
      <c r="C123" s="1">
        <v>45322</v>
      </c>
      <c r="D123" t="s">
        <v>28</v>
      </c>
      <c r="E123" t="s">
        <v>77</v>
      </c>
      <c r="F123" t="s">
        <v>45</v>
      </c>
      <c r="G123" t="s">
        <v>31</v>
      </c>
      <c r="H123" t="s">
        <v>53</v>
      </c>
      <c r="I123" t="s">
        <v>20</v>
      </c>
      <c r="J123">
        <v>2</v>
      </c>
      <c r="K123">
        <v>350</v>
      </c>
      <c r="L123">
        <v>700</v>
      </c>
      <c r="M123">
        <v>31</v>
      </c>
      <c r="N123" t="s">
        <v>38</v>
      </c>
      <c r="O123">
        <v>4.8</v>
      </c>
      <c r="P123" s="2">
        <f>EOMONTH(Table1[[#This Row],[Order_Date]],0)</f>
        <v>45322</v>
      </c>
      <c r="Q123" s="3">
        <f>WEEKNUM(Table1[[#This Row],[Order_Date]])</f>
        <v>5</v>
      </c>
      <c r="R123">
        <f>YEAR(Table1[[#This Row],[Order_Date]])</f>
        <v>2024</v>
      </c>
      <c r="S123" t="str">
        <f>IF(Table1[[#This Row],[Quantity]]&gt;=3,"Promo","Regular")</f>
        <v>Regular</v>
      </c>
    </row>
    <row r="124" spans="1:19" x14ac:dyDescent="0.35">
      <c r="A124" t="s">
        <v>1808</v>
      </c>
      <c r="B124" t="s">
        <v>197</v>
      </c>
      <c r="C124" s="1">
        <v>45460</v>
      </c>
      <c r="D124" t="s">
        <v>43</v>
      </c>
      <c r="E124" t="s">
        <v>44</v>
      </c>
      <c r="F124" t="s">
        <v>24</v>
      </c>
      <c r="G124" t="s">
        <v>31</v>
      </c>
      <c r="H124" t="s">
        <v>66</v>
      </c>
      <c r="I124" t="s">
        <v>20</v>
      </c>
      <c r="J124">
        <v>4</v>
      </c>
      <c r="K124">
        <v>348</v>
      </c>
      <c r="L124">
        <v>1392</v>
      </c>
      <c r="M124">
        <v>31</v>
      </c>
      <c r="N124" t="s">
        <v>21</v>
      </c>
      <c r="O124">
        <v>3.4</v>
      </c>
      <c r="P124" s="2">
        <f>EOMONTH(Table1[[#This Row],[Order_Date]],0)</f>
        <v>45473</v>
      </c>
      <c r="Q124" s="3">
        <f>WEEKNUM(Table1[[#This Row],[Order_Date]])</f>
        <v>25</v>
      </c>
      <c r="R124">
        <f>YEAR(Table1[[#This Row],[Order_Date]])</f>
        <v>2024</v>
      </c>
      <c r="S124" t="str">
        <f>IF(Table1[[#This Row],[Quantity]]&gt;=3,"Promo","Regular")</f>
        <v>Promo</v>
      </c>
    </row>
    <row r="125" spans="1:19" x14ac:dyDescent="0.35">
      <c r="A125" t="s">
        <v>1809</v>
      </c>
      <c r="B125" t="s">
        <v>198</v>
      </c>
      <c r="C125" s="1">
        <v>45317</v>
      </c>
      <c r="D125" t="s">
        <v>57</v>
      </c>
      <c r="E125" t="s">
        <v>58</v>
      </c>
      <c r="F125" t="s">
        <v>41</v>
      </c>
      <c r="G125" t="s">
        <v>18</v>
      </c>
      <c r="H125" t="s">
        <v>120</v>
      </c>
      <c r="I125" t="s">
        <v>60</v>
      </c>
      <c r="J125">
        <v>4</v>
      </c>
      <c r="K125">
        <v>485</v>
      </c>
      <c r="L125">
        <v>1940</v>
      </c>
      <c r="M125">
        <v>42</v>
      </c>
      <c r="N125" t="s">
        <v>33</v>
      </c>
      <c r="O125">
        <v>3.8</v>
      </c>
      <c r="P125" s="2">
        <f>EOMONTH(Table1[[#This Row],[Order_Date]],0)</f>
        <v>45322</v>
      </c>
      <c r="Q125" s="3">
        <f>WEEKNUM(Table1[[#This Row],[Order_Date]])</f>
        <v>4</v>
      </c>
      <c r="R125">
        <f>YEAR(Table1[[#This Row],[Order_Date]])</f>
        <v>2024</v>
      </c>
      <c r="S125" t="str">
        <f>IF(Table1[[#This Row],[Quantity]]&gt;=3,"Promo","Regular")</f>
        <v>Promo</v>
      </c>
    </row>
    <row r="126" spans="1:19" x14ac:dyDescent="0.35">
      <c r="A126" t="s">
        <v>1810</v>
      </c>
      <c r="B126" t="s">
        <v>199</v>
      </c>
      <c r="C126" s="1">
        <v>45295</v>
      </c>
      <c r="D126" t="s">
        <v>15</v>
      </c>
      <c r="E126" t="s">
        <v>23</v>
      </c>
      <c r="F126" t="s">
        <v>85</v>
      </c>
      <c r="G126" t="s">
        <v>31</v>
      </c>
      <c r="H126" t="s">
        <v>120</v>
      </c>
      <c r="I126" t="s">
        <v>60</v>
      </c>
      <c r="J126">
        <v>3</v>
      </c>
      <c r="K126">
        <v>133</v>
      </c>
      <c r="L126">
        <v>399</v>
      </c>
      <c r="M126">
        <v>24</v>
      </c>
      <c r="N126" t="s">
        <v>38</v>
      </c>
      <c r="O126">
        <v>3.6</v>
      </c>
      <c r="P126" s="2">
        <f>EOMONTH(Table1[[#This Row],[Order_Date]],0)</f>
        <v>45322</v>
      </c>
      <c r="Q126" s="3">
        <f>WEEKNUM(Table1[[#This Row],[Order_Date]])</f>
        <v>1</v>
      </c>
      <c r="R126">
        <f>YEAR(Table1[[#This Row],[Order_Date]])</f>
        <v>2024</v>
      </c>
      <c r="S126" t="str">
        <f>IF(Table1[[#This Row],[Quantity]]&gt;=3,"Promo","Regular")</f>
        <v>Promo</v>
      </c>
    </row>
    <row r="127" spans="1:19" x14ac:dyDescent="0.35">
      <c r="A127" t="s">
        <v>1811</v>
      </c>
      <c r="B127" t="s">
        <v>200</v>
      </c>
      <c r="C127" s="1">
        <v>45386</v>
      </c>
      <c r="D127" t="s">
        <v>15</v>
      </c>
      <c r="E127" t="s">
        <v>16</v>
      </c>
      <c r="F127" t="s">
        <v>41</v>
      </c>
      <c r="G127" t="s">
        <v>25</v>
      </c>
      <c r="H127" t="s">
        <v>19</v>
      </c>
      <c r="I127" t="s">
        <v>20</v>
      </c>
      <c r="J127">
        <v>3</v>
      </c>
      <c r="K127">
        <v>486</v>
      </c>
      <c r="L127">
        <v>1458</v>
      </c>
      <c r="M127">
        <v>33</v>
      </c>
      <c r="N127" t="s">
        <v>33</v>
      </c>
      <c r="O127">
        <v>3.3</v>
      </c>
      <c r="P127" s="2">
        <f>EOMONTH(Table1[[#This Row],[Order_Date]],0)</f>
        <v>45412</v>
      </c>
      <c r="Q127" s="3">
        <f>WEEKNUM(Table1[[#This Row],[Order_Date]])</f>
        <v>14</v>
      </c>
      <c r="R127">
        <f>YEAR(Table1[[#This Row],[Order_Date]])</f>
        <v>2024</v>
      </c>
      <c r="S127" t="str">
        <f>IF(Table1[[#This Row],[Quantity]]&gt;=3,"Promo","Regular")</f>
        <v>Promo</v>
      </c>
    </row>
    <row r="128" spans="1:19" x14ac:dyDescent="0.35">
      <c r="A128" t="s">
        <v>1812</v>
      </c>
      <c r="B128" t="s">
        <v>201</v>
      </c>
      <c r="C128" s="1">
        <v>45564</v>
      </c>
      <c r="D128" t="s">
        <v>43</v>
      </c>
      <c r="E128" t="s">
        <v>52</v>
      </c>
      <c r="F128" t="s">
        <v>72</v>
      </c>
      <c r="G128" t="s">
        <v>18</v>
      </c>
      <c r="H128" t="s">
        <v>37</v>
      </c>
      <c r="I128" t="s">
        <v>20</v>
      </c>
      <c r="J128">
        <v>3</v>
      </c>
      <c r="K128">
        <v>220</v>
      </c>
      <c r="L128">
        <v>660</v>
      </c>
      <c r="M128">
        <v>47</v>
      </c>
      <c r="N128" t="s">
        <v>38</v>
      </c>
      <c r="O128">
        <v>3.5</v>
      </c>
      <c r="P128" s="2">
        <f>EOMONTH(Table1[[#This Row],[Order_Date]],0)</f>
        <v>45565</v>
      </c>
      <c r="Q128" s="3">
        <f>WEEKNUM(Table1[[#This Row],[Order_Date]])</f>
        <v>40</v>
      </c>
      <c r="R128">
        <f>YEAR(Table1[[#This Row],[Order_Date]])</f>
        <v>2024</v>
      </c>
      <c r="S128" t="str">
        <f>IF(Table1[[#This Row],[Quantity]]&gt;=3,"Promo","Regular")</f>
        <v>Promo</v>
      </c>
    </row>
    <row r="129" spans="1:19" x14ac:dyDescent="0.35">
      <c r="A129" t="s">
        <v>1813</v>
      </c>
      <c r="B129" t="s">
        <v>202</v>
      </c>
      <c r="C129" s="1">
        <v>45385</v>
      </c>
      <c r="D129" t="s">
        <v>57</v>
      </c>
      <c r="E129" t="s">
        <v>105</v>
      </c>
      <c r="F129" t="s">
        <v>45</v>
      </c>
      <c r="G129" t="s">
        <v>18</v>
      </c>
      <c r="H129" t="s">
        <v>19</v>
      </c>
      <c r="I129" t="s">
        <v>20</v>
      </c>
      <c r="J129">
        <v>4</v>
      </c>
      <c r="K129">
        <v>454</v>
      </c>
      <c r="L129">
        <v>1816</v>
      </c>
      <c r="M129">
        <v>33</v>
      </c>
      <c r="N129" t="s">
        <v>38</v>
      </c>
      <c r="O129">
        <v>4.0999999999999996</v>
      </c>
      <c r="P129" s="2">
        <f>EOMONTH(Table1[[#This Row],[Order_Date]],0)</f>
        <v>45412</v>
      </c>
      <c r="Q129" s="3">
        <f>WEEKNUM(Table1[[#This Row],[Order_Date]])</f>
        <v>14</v>
      </c>
      <c r="R129">
        <f>YEAR(Table1[[#This Row],[Order_Date]])</f>
        <v>2024</v>
      </c>
      <c r="S129" t="str">
        <f>IF(Table1[[#This Row],[Quantity]]&gt;=3,"Promo","Regular")</f>
        <v>Promo</v>
      </c>
    </row>
    <row r="130" spans="1:19" x14ac:dyDescent="0.35">
      <c r="A130" t="s">
        <v>1814</v>
      </c>
      <c r="B130" t="s">
        <v>203</v>
      </c>
      <c r="C130" s="1">
        <v>45492</v>
      </c>
      <c r="D130" t="s">
        <v>57</v>
      </c>
      <c r="E130" t="s">
        <v>62</v>
      </c>
      <c r="F130" t="s">
        <v>41</v>
      </c>
      <c r="G130" t="s">
        <v>46</v>
      </c>
      <c r="H130" t="s">
        <v>32</v>
      </c>
      <c r="I130" t="s">
        <v>20</v>
      </c>
      <c r="J130">
        <v>2</v>
      </c>
      <c r="K130">
        <v>261</v>
      </c>
      <c r="L130">
        <v>522</v>
      </c>
      <c r="M130">
        <v>23</v>
      </c>
      <c r="N130" t="s">
        <v>38</v>
      </c>
      <c r="O130">
        <v>4.5999999999999996</v>
      </c>
      <c r="P130" s="2">
        <f>EOMONTH(Table1[[#This Row],[Order_Date]],0)</f>
        <v>45504</v>
      </c>
      <c r="Q130" s="3">
        <f>WEEKNUM(Table1[[#This Row],[Order_Date]])</f>
        <v>29</v>
      </c>
      <c r="R130">
        <f>YEAR(Table1[[#This Row],[Order_Date]])</f>
        <v>2024</v>
      </c>
      <c r="S130" t="str">
        <f>IF(Table1[[#This Row],[Quantity]]&gt;=3,"Promo","Regular")</f>
        <v>Regular</v>
      </c>
    </row>
    <row r="131" spans="1:19" x14ac:dyDescent="0.35">
      <c r="A131" t="s">
        <v>1815</v>
      </c>
      <c r="B131" t="s">
        <v>204</v>
      </c>
      <c r="C131" s="1">
        <v>45491</v>
      </c>
      <c r="D131" t="s">
        <v>48</v>
      </c>
      <c r="E131" t="s">
        <v>64</v>
      </c>
      <c r="F131" t="s">
        <v>30</v>
      </c>
      <c r="G131" t="s">
        <v>31</v>
      </c>
      <c r="H131" t="s">
        <v>50</v>
      </c>
      <c r="I131" t="s">
        <v>20</v>
      </c>
      <c r="J131">
        <v>4</v>
      </c>
      <c r="K131">
        <v>268</v>
      </c>
      <c r="L131">
        <v>1072</v>
      </c>
      <c r="M131">
        <v>38</v>
      </c>
      <c r="N131" t="s">
        <v>21</v>
      </c>
      <c r="O131">
        <v>3.7</v>
      </c>
      <c r="P131" s="2">
        <f>EOMONTH(Table1[[#This Row],[Order_Date]],0)</f>
        <v>45504</v>
      </c>
      <c r="Q131" s="3">
        <f>WEEKNUM(Table1[[#This Row],[Order_Date]])</f>
        <v>29</v>
      </c>
      <c r="R131">
        <f>YEAR(Table1[[#This Row],[Order_Date]])</f>
        <v>2024</v>
      </c>
      <c r="S131" t="str">
        <f>IF(Table1[[#This Row],[Quantity]]&gt;=3,"Promo","Regular")</f>
        <v>Promo</v>
      </c>
    </row>
    <row r="132" spans="1:19" x14ac:dyDescent="0.35">
      <c r="A132" t="s">
        <v>1816</v>
      </c>
      <c r="B132" t="s">
        <v>205</v>
      </c>
      <c r="C132" s="1">
        <v>45306</v>
      </c>
      <c r="D132" t="s">
        <v>48</v>
      </c>
      <c r="E132" t="s">
        <v>49</v>
      </c>
      <c r="F132" t="s">
        <v>30</v>
      </c>
      <c r="G132" t="s">
        <v>18</v>
      </c>
      <c r="H132" t="s">
        <v>37</v>
      </c>
      <c r="I132" t="s">
        <v>20</v>
      </c>
      <c r="J132">
        <v>5</v>
      </c>
      <c r="K132">
        <v>400</v>
      </c>
      <c r="L132">
        <v>2000</v>
      </c>
      <c r="M132">
        <v>55</v>
      </c>
      <c r="N132" t="s">
        <v>38</v>
      </c>
      <c r="O132">
        <v>4.5</v>
      </c>
      <c r="P132" s="2">
        <f>EOMONTH(Table1[[#This Row],[Order_Date]],0)</f>
        <v>45322</v>
      </c>
      <c r="Q132" s="3">
        <f>WEEKNUM(Table1[[#This Row],[Order_Date]])</f>
        <v>3</v>
      </c>
      <c r="R132">
        <f>YEAR(Table1[[#This Row],[Order_Date]])</f>
        <v>2024</v>
      </c>
      <c r="S132" t="str">
        <f>IF(Table1[[#This Row],[Quantity]]&gt;=3,"Promo","Regular")</f>
        <v>Promo</v>
      </c>
    </row>
    <row r="133" spans="1:19" x14ac:dyDescent="0.35">
      <c r="A133" t="s">
        <v>1817</v>
      </c>
      <c r="B133" t="s">
        <v>206</v>
      </c>
      <c r="C133" s="1">
        <v>45370</v>
      </c>
      <c r="D133" t="s">
        <v>15</v>
      </c>
      <c r="E133" t="s">
        <v>23</v>
      </c>
      <c r="F133" t="s">
        <v>69</v>
      </c>
      <c r="G133" t="s">
        <v>18</v>
      </c>
      <c r="H133" t="s">
        <v>37</v>
      </c>
      <c r="I133" t="s">
        <v>20</v>
      </c>
      <c r="J133">
        <v>1</v>
      </c>
      <c r="K133">
        <v>185</v>
      </c>
      <c r="L133">
        <v>185</v>
      </c>
      <c r="M133">
        <v>32</v>
      </c>
      <c r="N133" t="s">
        <v>38</v>
      </c>
      <c r="O133">
        <v>3.2</v>
      </c>
      <c r="P133" s="2">
        <f>EOMONTH(Table1[[#This Row],[Order_Date]],0)</f>
        <v>45382</v>
      </c>
      <c r="Q133" s="3">
        <f>WEEKNUM(Table1[[#This Row],[Order_Date]])</f>
        <v>12</v>
      </c>
      <c r="R133">
        <f>YEAR(Table1[[#This Row],[Order_Date]])</f>
        <v>2024</v>
      </c>
      <c r="S133" t="str">
        <f>IF(Table1[[#This Row],[Quantity]]&gt;=3,"Promo","Regular")</f>
        <v>Regular</v>
      </c>
    </row>
    <row r="134" spans="1:19" x14ac:dyDescent="0.35">
      <c r="A134" t="s">
        <v>1818</v>
      </c>
      <c r="B134" t="s">
        <v>207</v>
      </c>
      <c r="C134" s="1">
        <v>45426</v>
      </c>
      <c r="D134" t="s">
        <v>15</v>
      </c>
      <c r="E134" t="s">
        <v>23</v>
      </c>
      <c r="F134" t="s">
        <v>85</v>
      </c>
      <c r="G134" t="s">
        <v>73</v>
      </c>
      <c r="H134" t="s">
        <v>120</v>
      </c>
      <c r="I134" t="s">
        <v>60</v>
      </c>
      <c r="J134">
        <v>5</v>
      </c>
      <c r="K134">
        <v>320</v>
      </c>
      <c r="L134">
        <v>1600</v>
      </c>
      <c r="M134">
        <v>54</v>
      </c>
      <c r="N134" t="s">
        <v>38</v>
      </c>
      <c r="O134">
        <v>4.5</v>
      </c>
      <c r="P134" s="2">
        <f>EOMONTH(Table1[[#This Row],[Order_Date]],0)</f>
        <v>45443</v>
      </c>
      <c r="Q134" s="3">
        <f>WEEKNUM(Table1[[#This Row],[Order_Date]])</f>
        <v>20</v>
      </c>
      <c r="R134">
        <f>YEAR(Table1[[#This Row],[Order_Date]])</f>
        <v>2024</v>
      </c>
      <c r="S134" t="str">
        <f>IF(Table1[[#This Row],[Quantity]]&gt;=3,"Promo","Regular")</f>
        <v>Promo</v>
      </c>
    </row>
    <row r="135" spans="1:19" x14ac:dyDescent="0.35">
      <c r="A135" t="s">
        <v>1819</v>
      </c>
      <c r="B135" t="s">
        <v>208</v>
      </c>
      <c r="C135" s="1">
        <v>45511</v>
      </c>
      <c r="D135" t="s">
        <v>43</v>
      </c>
      <c r="E135" t="s">
        <v>44</v>
      </c>
      <c r="F135" t="s">
        <v>72</v>
      </c>
      <c r="G135" t="s">
        <v>31</v>
      </c>
      <c r="H135" t="s">
        <v>19</v>
      </c>
      <c r="I135" t="s">
        <v>20</v>
      </c>
      <c r="J135">
        <v>2</v>
      </c>
      <c r="K135">
        <v>233</v>
      </c>
      <c r="L135">
        <v>466</v>
      </c>
      <c r="M135">
        <v>48</v>
      </c>
      <c r="N135" t="s">
        <v>21</v>
      </c>
      <c r="O135">
        <v>3.8</v>
      </c>
      <c r="P135" s="2">
        <f>EOMONTH(Table1[[#This Row],[Order_Date]],0)</f>
        <v>45535</v>
      </c>
      <c r="Q135" s="3">
        <f>WEEKNUM(Table1[[#This Row],[Order_Date]])</f>
        <v>32</v>
      </c>
      <c r="R135">
        <f>YEAR(Table1[[#This Row],[Order_Date]])</f>
        <v>2024</v>
      </c>
      <c r="S135" t="str">
        <f>IF(Table1[[#This Row],[Quantity]]&gt;=3,"Promo","Regular")</f>
        <v>Regular</v>
      </c>
    </row>
    <row r="136" spans="1:19" x14ac:dyDescent="0.35">
      <c r="A136" t="s">
        <v>1820</v>
      </c>
      <c r="B136" t="s">
        <v>209</v>
      </c>
      <c r="C136" s="1">
        <v>45295</v>
      </c>
      <c r="D136" t="s">
        <v>15</v>
      </c>
      <c r="E136" t="s">
        <v>112</v>
      </c>
      <c r="F136" t="s">
        <v>30</v>
      </c>
      <c r="G136" t="s">
        <v>18</v>
      </c>
      <c r="H136" t="s">
        <v>66</v>
      </c>
      <c r="I136" t="s">
        <v>20</v>
      </c>
      <c r="J136">
        <v>3</v>
      </c>
      <c r="K136">
        <v>149</v>
      </c>
      <c r="L136">
        <v>447</v>
      </c>
      <c r="M136">
        <v>21</v>
      </c>
      <c r="N136" t="s">
        <v>21</v>
      </c>
      <c r="O136">
        <v>4</v>
      </c>
      <c r="P136" s="2">
        <f>EOMONTH(Table1[[#This Row],[Order_Date]],0)</f>
        <v>45322</v>
      </c>
      <c r="Q136" s="3">
        <f>WEEKNUM(Table1[[#This Row],[Order_Date]])</f>
        <v>1</v>
      </c>
      <c r="R136">
        <f>YEAR(Table1[[#This Row],[Order_Date]])</f>
        <v>2024</v>
      </c>
      <c r="S136" t="str">
        <f>IF(Table1[[#This Row],[Quantity]]&gt;=3,"Promo","Regular")</f>
        <v>Promo</v>
      </c>
    </row>
    <row r="137" spans="1:19" x14ac:dyDescent="0.35">
      <c r="A137" t="s">
        <v>1821</v>
      </c>
      <c r="B137" t="s">
        <v>210</v>
      </c>
      <c r="C137" s="1">
        <v>45590</v>
      </c>
      <c r="D137" t="s">
        <v>48</v>
      </c>
      <c r="E137" t="s">
        <v>64</v>
      </c>
      <c r="F137" t="s">
        <v>24</v>
      </c>
      <c r="G137" t="s">
        <v>18</v>
      </c>
      <c r="H137" t="s">
        <v>66</v>
      </c>
      <c r="I137" t="s">
        <v>20</v>
      </c>
      <c r="J137">
        <v>4</v>
      </c>
      <c r="K137">
        <v>234</v>
      </c>
      <c r="L137">
        <v>936</v>
      </c>
      <c r="M137">
        <v>41</v>
      </c>
      <c r="N137" t="s">
        <v>21</v>
      </c>
      <c r="O137">
        <v>4.4000000000000004</v>
      </c>
      <c r="P137" s="2">
        <f>EOMONTH(Table1[[#This Row],[Order_Date]],0)</f>
        <v>45596</v>
      </c>
      <c r="Q137" s="3">
        <f>WEEKNUM(Table1[[#This Row],[Order_Date]])</f>
        <v>43</v>
      </c>
      <c r="R137">
        <f>YEAR(Table1[[#This Row],[Order_Date]])</f>
        <v>2024</v>
      </c>
      <c r="S137" t="str">
        <f>IF(Table1[[#This Row],[Quantity]]&gt;=3,"Promo","Regular")</f>
        <v>Promo</v>
      </c>
    </row>
    <row r="138" spans="1:19" x14ac:dyDescent="0.35">
      <c r="A138" t="s">
        <v>1822</v>
      </c>
      <c r="B138" t="s">
        <v>211</v>
      </c>
      <c r="C138" s="1">
        <v>45556</v>
      </c>
      <c r="D138" t="s">
        <v>28</v>
      </c>
      <c r="E138" t="s">
        <v>98</v>
      </c>
      <c r="F138" t="s">
        <v>85</v>
      </c>
      <c r="G138" t="s">
        <v>73</v>
      </c>
      <c r="H138" t="s">
        <v>120</v>
      </c>
      <c r="I138" t="s">
        <v>60</v>
      </c>
      <c r="J138">
        <v>2</v>
      </c>
      <c r="K138">
        <v>319</v>
      </c>
      <c r="L138">
        <v>638</v>
      </c>
      <c r="M138">
        <v>32</v>
      </c>
      <c r="N138" t="s">
        <v>21</v>
      </c>
      <c r="O138">
        <v>3.1</v>
      </c>
      <c r="P138" s="2">
        <f>EOMONTH(Table1[[#This Row],[Order_Date]],0)</f>
        <v>45565</v>
      </c>
      <c r="Q138" s="3">
        <f>WEEKNUM(Table1[[#This Row],[Order_Date]])</f>
        <v>38</v>
      </c>
      <c r="R138">
        <f>YEAR(Table1[[#This Row],[Order_Date]])</f>
        <v>2024</v>
      </c>
      <c r="S138" t="str">
        <f>IF(Table1[[#This Row],[Quantity]]&gt;=3,"Promo","Regular")</f>
        <v>Regular</v>
      </c>
    </row>
    <row r="139" spans="1:19" x14ac:dyDescent="0.35">
      <c r="A139" t="s">
        <v>1823</v>
      </c>
      <c r="B139" t="s">
        <v>212</v>
      </c>
      <c r="C139" s="1">
        <v>45517</v>
      </c>
      <c r="D139" t="s">
        <v>28</v>
      </c>
      <c r="E139" t="s">
        <v>98</v>
      </c>
      <c r="F139" t="s">
        <v>72</v>
      </c>
      <c r="G139" t="s">
        <v>36</v>
      </c>
      <c r="H139" t="s">
        <v>55</v>
      </c>
      <c r="I139" t="s">
        <v>20</v>
      </c>
      <c r="J139">
        <v>3</v>
      </c>
      <c r="K139">
        <v>175</v>
      </c>
      <c r="L139">
        <v>525</v>
      </c>
      <c r="M139">
        <v>40</v>
      </c>
      <c r="N139" t="s">
        <v>38</v>
      </c>
      <c r="O139">
        <v>4</v>
      </c>
      <c r="P139" s="2">
        <f>EOMONTH(Table1[[#This Row],[Order_Date]],0)</f>
        <v>45535</v>
      </c>
      <c r="Q139" s="3">
        <f>WEEKNUM(Table1[[#This Row],[Order_Date]])</f>
        <v>33</v>
      </c>
      <c r="R139">
        <f>YEAR(Table1[[#This Row],[Order_Date]])</f>
        <v>2024</v>
      </c>
      <c r="S139" t="str">
        <f>IF(Table1[[#This Row],[Quantity]]&gt;=3,"Promo","Regular")</f>
        <v>Promo</v>
      </c>
    </row>
    <row r="140" spans="1:19" x14ac:dyDescent="0.35">
      <c r="A140" t="s">
        <v>1824</v>
      </c>
      <c r="B140" t="s">
        <v>213</v>
      </c>
      <c r="C140" s="1">
        <v>45490</v>
      </c>
      <c r="D140" t="s">
        <v>48</v>
      </c>
      <c r="E140" t="s">
        <v>64</v>
      </c>
      <c r="F140" t="s">
        <v>35</v>
      </c>
      <c r="G140" t="s">
        <v>36</v>
      </c>
      <c r="H140" t="s">
        <v>19</v>
      </c>
      <c r="I140" t="s">
        <v>20</v>
      </c>
      <c r="J140">
        <v>3</v>
      </c>
      <c r="K140">
        <v>401</v>
      </c>
      <c r="L140">
        <v>1203</v>
      </c>
      <c r="M140">
        <v>30</v>
      </c>
      <c r="N140" t="s">
        <v>33</v>
      </c>
      <c r="O140">
        <v>3.3</v>
      </c>
      <c r="P140" s="2">
        <f>EOMONTH(Table1[[#This Row],[Order_Date]],0)</f>
        <v>45504</v>
      </c>
      <c r="Q140" s="3">
        <f>WEEKNUM(Table1[[#This Row],[Order_Date]])</f>
        <v>29</v>
      </c>
      <c r="R140">
        <f>YEAR(Table1[[#This Row],[Order_Date]])</f>
        <v>2024</v>
      </c>
      <c r="S140" t="str">
        <f>IF(Table1[[#This Row],[Quantity]]&gt;=3,"Promo","Regular")</f>
        <v>Promo</v>
      </c>
    </row>
    <row r="141" spans="1:19" x14ac:dyDescent="0.35">
      <c r="A141" t="s">
        <v>1825</v>
      </c>
      <c r="B141" t="s">
        <v>214</v>
      </c>
      <c r="C141" s="1">
        <v>45464</v>
      </c>
      <c r="D141" t="s">
        <v>43</v>
      </c>
      <c r="E141" t="s">
        <v>52</v>
      </c>
      <c r="F141" t="s">
        <v>69</v>
      </c>
      <c r="G141" t="s">
        <v>73</v>
      </c>
      <c r="H141" t="s">
        <v>59</v>
      </c>
      <c r="I141" t="s">
        <v>60</v>
      </c>
      <c r="J141">
        <v>2</v>
      </c>
      <c r="K141">
        <v>104</v>
      </c>
      <c r="L141">
        <v>208</v>
      </c>
      <c r="M141">
        <v>49</v>
      </c>
      <c r="N141" t="s">
        <v>21</v>
      </c>
      <c r="O141">
        <v>4.3</v>
      </c>
      <c r="P141" s="2">
        <f>EOMONTH(Table1[[#This Row],[Order_Date]],0)</f>
        <v>45473</v>
      </c>
      <c r="Q141" s="3">
        <f>WEEKNUM(Table1[[#This Row],[Order_Date]])</f>
        <v>25</v>
      </c>
      <c r="R141">
        <f>YEAR(Table1[[#This Row],[Order_Date]])</f>
        <v>2024</v>
      </c>
      <c r="S141" t="str">
        <f>IF(Table1[[#This Row],[Quantity]]&gt;=3,"Promo","Regular")</f>
        <v>Regular</v>
      </c>
    </row>
    <row r="142" spans="1:19" x14ac:dyDescent="0.35">
      <c r="A142" t="s">
        <v>1826</v>
      </c>
      <c r="B142" t="s">
        <v>215</v>
      </c>
      <c r="C142" s="1">
        <v>45353</v>
      </c>
      <c r="D142" t="s">
        <v>57</v>
      </c>
      <c r="E142" t="s">
        <v>105</v>
      </c>
      <c r="F142" t="s">
        <v>30</v>
      </c>
      <c r="G142" t="s">
        <v>46</v>
      </c>
      <c r="H142" t="s">
        <v>53</v>
      </c>
      <c r="I142" t="s">
        <v>20</v>
      </c>
      <c r="J142">
        <v>1</v>
      </c>
      <c r="K142">
        <v>147</v>
      </c>
      <c r="L142">
        <v>147</v>
      </c>
      <c r="M142">
        <v>53</v>
      </c>
      <c r="N142" t="s">
        <v>33</v>
      </c>
      <c r="O142">
        <v>3.1</v>
      </c>
      <c r="P142" s="2">
        <f>EOMONTH(Table1[[#This Row],[Order_Date]],0)</f>
        <v>45382</v>
      </c>
      <c r="Q142" s="3">
        <f>WEEKNUM(Table1[[#This Row],[Order_Date]])</f>
        <v>9</v>
      </c>
      <c r="R142">
        <f>YEAR(Table1[[#This Row],[Order_Date]])</f>
        <v>2024</v>
      </c>
      <c r="S142" t="str">
        <f>IF(Table1[[#This Row],[Quantity]]&gt;=3,"Promo","Regular")</f>
        <v>Regular</v>
      </c>
    </row>
    <row r="143" spans="1:19" x14ac:dyDescent="0.35">
      <c r="A143" t="s">
        <v>1827</v>
      </c>
      <c r="B143" t="s">
        <v>216</v>
      </c>
      <c r="C143" s="1">
        <v>45441</v>
      </c>
      <c r="D143" t="s">
        <v>28</v>
      </c>
      <c r="E143" t="s">
        <v>40</v>
      </c>
      <c r="F143" t="s">
        <v>35</v>
      </c>
      <c r="G143" t="s">
        <v>25</v>
      </c>
      <c r="H143" t="s">
        <v>26</v>
      </c>
      <c r="I143" t="s">
        <v>20</v>
      </c>
      <c r="J143">
        <v>2</v>
      </c>
      <c r="K143">
        <v>227</v>
      </c>
      <c r="L143">
        <v>454</v>
      </c>
      <c r="M143">
        <v>33</v>
      </c>
      <c r="N143" t="s">
        <v>21</v>
      </c>
      <c r="O143">
        <v>3.6</v>
      </c>
      <c r="P143" s="2">
        <f>EOMONTH(Table1[[#This Row],[Order_Date]],0)</f>
        <v>45443</v>
      </c>
      <c r="Q143" s="3">
        <f>WEEKNUM(Table1[[#This Row],[Order_Date]])</f>
        <v>22</v>
      </c>
      <c r="R143">
        <f>YEAR(Table1[[#This Row],[Order_Date]])</f>
        <v>2024</v>
      </c>
      <c r="S143" t="str">
        <f>IF(Table1[[#This Row],[Quantity]]&gt;=3,"Promo","Regular")</f>
        <v>Regular</v>
      </c>
    </row>
    <row r="144" spans="1:19" x14ac:dyDescent="0.35">
      <c r="A144" t="s">
        <v>1828</v>
      </c>
      <c r="B144" t="s">
        <v>217</v>
      </c>
      <c r="C144" s="1">
        <v>45553</v>
      </c>
      <c r="D144" t="s">
        <v>57</v>
      </c>
      <c r="E144" t="s">
        <v>136</v>
      </c>
      <c r="F144" t="s">
        <v>41</v>
      </c>
      <c r="G144" t="s">
        <v>46</v>
      </c>
      <c r="H144" t="s">
        <v>32</v>
      </c>
      <c r="I144" t="s">
        <v>20</v>
      </c>
      <c r="J144">
        <v>3</v>
      </c>
      <c r="K144">
        <v>450</v>
      </c>
      <c r="L144">
        <v>1350</v>
      </c>
      <c r="M144">
        <v>33</v>
      </c>
      <c r="N144" t="s">
        <v>21</v>
      </c>
      <c r="O144">
        <v>4.4000000000000004</v>
      </c>
      <c r="P144" s="2">
        <f>EOMONTH(Table1[[#This Row],[Order_Date]],0)</f>
        <v>45565</v>
      </c>
      <c r="Q144" s="3">
        <f>WEEKNUM(Table1[[#This Row],[Order_Date]])</f>
        <v>38</v>
      </c>
      <c r="R144">
        <f>YEAR(Table1[[#This Row],[Order_Date]])</f>
        <v>2024</v>
      </c>
      <c r="S144" t="str">
        <f>IF(Table1[[#This Row],[Quantity]]&gt;=3,"Promo","Regular")</f>
        <v>Promo</v>
      </c>
    </row>
    <row r="145" spans="1:19" x14ac:dyDescent="0.35">
      <c r="A145" t="s">
        <v>1829</v>
      </c>
      <c r="B145" t="s">
        <v>218</v>
      </c>
      <c r="C145" s="1">
        <v>45392</v>
      </c>
      <c r="D145" t="s">
        <v>48</v>
      </c>
      <c r="E145" t="s">
        <v>127</v>
      </c>
      <c r="F145" t="s">
        <v>35</v>
      </c>
      <c r="G145" t="s">
        <v>46</v>
      </c>
      <c r="H145" t="s">
        <v>66</v>
      </c>
      <c r="I145" t="s">
        <v>20</v>
      </c>
      <c r="J145">
        <v>2</v>
      </c>
      <c r="K145">
        <v>117</v>
      </c>
      <c r="L145">
        <v>234</v>
      </c>
      <c r="M145">
        <v>26</v>
      </c>
      <c r="N145" t="s">
        <v>21</v>
      </c>
      <c r="O145">
        <v>4</v>
      </c>
      <c r="P145" s="2">
        <f>EOMONTH(Table1[[#This Row],[Order_Date]],0)</f>
        <v>45412</v>
      </c>
      <c r="Q145" s="3">
        <f>WEEKNUM(Table1[[#This Row],[Order_Date]])</f>
        <v>15</v>
      </c>
      <c r="R145">
        <f>YEAR(Table1[[#This Row],[Order_Date]])</f>
        <v>2024</v>
      </c>
      <c r="S145" t="str">
        <f>IF(Table1[[#This Row],[Quantity]]&gt;=3,"Promo","Regular")</f>
        <v>Regular</v>
      </c>
    </row>
    <row r="146" spans="1:19" x14ac:dyDescent="0.35">
      <c r="A146" t="s">
        <v>1830</v>
      </c>
      <c r="B146" t="s">
        <v>219</v>
      </c>
      <c r="C146" s="1">
        <v>45537</v>
      </c>
      <c r="D146" t="s">
        <v>57</v>
      </c>
      <c r="E146" t="s">
        <v>75</v>
      </c>
      <c r="F146" t="s">
        <v>35</v>
      </c>
      <c r="G146" t="s">
        <v>36</v>
      </c>
      <c r="H146" t="s">
        <v>59</v>
      </c>
      <c r="I146" t="s">
        <v>60</v>
      </c>
      <c r="J146">
        <v>4</v>
      </c>
      <c r="K146">
        <v>381</v>
      </c>
      <c r="L146">
        <v>1524</v>
      </c>
      <c r="M146">
        <v>21</v>
      </c>
      <c r="N146" t="s">
        <v>33</v>
      </c>
      <c r="O146">
        <v>3.3</v>
      </c>
      <c r="P146" s="2">
        <f>EOMONTH(Table1[[#This Row],[Order_Date]],0)</f>
        <v>45565</v>
      </c>
      <c r="Q146" s="3">
        <f>WEEKNUM(Table1[[#This Row],[Order_Date]])</f>
        <v>36</v>
      </c>
      <c r="R146">
        <f>YEAR(Table1[[#This Row],[Order_Date]])</f>
        <v>2024</v>
      </c>
      <c r="S146" t="str">
        <f>IF(Table1[[#This Row],[Quantity]]&gt;=3,"Promo","Regular")</f>
        <v>Promo</v>
      </c>
    </row>
    <row r="147" spans="1:19" x14ac:dyDescent="0.35">
      <c r="A147" t="s">
        <v>1831</v>
      </c>
      <c r="B147" t="s">
        <v>220</v>
      </c>
      <c r="C147" s="1">
        <v>45363</v>
      </c>
      <c r="D147" t="s">
        <v>15</v>
      </c>
      <c r="E147" t="s">
        <v>23</v>
      </c>
      <c r="F147" t="s">
        <v>69</v>
      </c>
      <c r="G147" t="s">
        <v>31</v>
      </c>
      <c r="H147" t="s">
        <v>59</v>
      </c>
      <c r="I147" t="s">
        <v>60</v>
      </c>
      <c r="J147">
        <v>4</v>
      </c>
      <c r="K147">
        <v>460</v>
      </c>
      <c r="L147">
        <v>1840</v>
      </c>
      <c r="M147">
        <v>31</v>
      </c>
      <c r="N147" t="s">
        <v>33</v>
      </c>
      <c r="O147">
        <v>4.7</v>
      </c>
      <c r="P147" s="2">
        <f>EOMONTH(Table1[[#This Row],[Order_Date]],0)</f>
        <v>45382</v>
      </c>
      <c r="Q147" s="3">
        <f>WEEKNUM(Table1[[#This Row],[Order_Date]])</f>
        <v>11</v>
      </c>
      <c r="R147">
        <f>YEAR(Table1[[#This Row],[Order_Date]])</f>
        <v>2024</v>
      </c>
      <c r="S147" t="str">
        <f>IF(Table1[[#This Row],[Quantity]]&gt;=3,"Promo","Regular")</f>
        <v>Promo</v>
      </c>
    </row>
    <row r="148" spans="1:19" x14ac:dyDescent="0.35">
      <c r="A148" t="s">
        <v>1832</v>
      </c>
      <c r="B148" t="s">
        <v>221</v>
      </c>
      <c r="C148" s="1">
        <v>45536</v>
      </c>
      <c r="D148" t="s">
        <v>28</v>
      </c>
      <c r="E148" t="s">
        <v>98</v>
      </c>
      <c r="F148" t="s">
        <v>72</v>
      </c>
      <c r="G148" t="s">
        <v>31</v>
      </c>
      <c r="H148" t="s">
        <v>26</v>
      </c>
      <c r="I148" t="s">
        <v>20</v>
      </c>
      <c r="J148">
        <v>2</v>
      </c>
      <c r="K148">
        <v>133</v>
      </c>
      <c r="L148">
        <v>266</v>
      </c>
      <c r="M148">
        <v>60</v>
      </c>
      <c r="N148" t="s">
        <v>33</v>
      </c>
      <c r="O148">
        <v>4.0999999999999996</v>
      </c>
      <c r="P148" s="2">
        <f>EOMONTH(Table1[[#This Row],[Order_Date]],0)</f>
        <v>45565</v>
      </c>
      <c r="Q148" s="3">
        <f>WEEKNUM(Table1[[#This Row],[Order_Date]])</f>
        <v>36</v>
      </c>
      <c r="R148">
        <f>YEAR(Table1[[#This Row],[Order_Date]])</f>
        <v>2024</v>
      </c>
      <c r="S148" t="str">
        <f>IF(Table1[[#This Row],[Quantity]]&gt;=3,"Promo","Regular")</f>
        <v>Regular</v>
      </c>
    </row>
    <row r="149" spans="1:19" x14ac:dyDescent="0.35">
      <c r="A149" t="s">
        <v>1833</v>
      </c>
      <c r="B149" t="s">
        <v>222</v>
      </c>
      <c r="C149" s="1">
        <v>45490</v>
      </c>
      <c r="D149" t="s">
        <v>57</v>
      </c>
      <c r="E149" t="s">
        <v>62</v>
      </c>
      <c r="F149" t="s">
        <v>45</v>
      </c>
      <c r="G149" t="s">
        <v>31</v>
      </c>
      <c r="H149" t="s">
        <v>59</v>
      </c>
      <c r="I149" t="s">
        <v>60</v>
      </c>
      <c r="J149">
        <v>1</v>
      </c>
      <c r="K149">
        <v>497</v>
      </c>
      <c r="L149">
        <v>497</v>
      </c>
      <c r="M149">
        <v>33</v>
      </c>
      <c r="N149" t="s">
        <v>21</v>
      </c>
      <c r="O149">
        <v>4.8</v>
      </c>
      <c r="P149" s="2">
        <f>EOMONTH(Table1[[#This Row],[Order_Date]],0)</f>
        <v>45504</v>
      </c>
      <c r="Q149" s="3">
        <f>WEEKNUM(Table1[[#This Row],[Order_Date]])</f>
        <v>29</v>
      </c>
      <c r="R149">
        <f>YEAR(Table1[[#This Row],[Order_Date]])</f>
        <v>2024</v>
      </c>
      <c r="S149" t="str">
        <f>IF(Table1[[#This Row],[Quantity]]&gt;=3,"Promo","Regular")</f>
        <v>Regular</v>
      </c>
    </row>
    <row r="150" spans="1:19" x14ac:dyDescent="0.35">
      <c r="A150" t="s">
        <v>1834</v>
      </c>
      <c r="B150" t="s">
        <v>223</v>
      </c>
      <c r="C150" s="1">
        <v>45502</v>
      </c>
      <c r="D150" t="s">
        <v>15</v>
      </c>
      <c r="E150" t="s">
        <v>103</v>
      </c>
      <c r="F150" t="s">
        <v>65</v>
      </c>
      <c r="G150" t="s">
        <v>25</v>
      </c>
      <c r="H150" t="s">
        <v>66</v>
      </c>
      <c r="I150" t="s">
        <v>20</v>
      </c>
      <c r="J150">
        <v>2</v>
      </c>
      <c r="K150">
        <v>119</v>
      </c>
      <c r="L150">
        <v>238</v>
      </c>
      <c r="M150">
        <v>58</v>
      </c>
      <c r="N150" t="s">
        <v>21</v>
      </c>
      <c r="O150">
        <v>4.8</v>
      </c>
      <c r="P150" s="2">
        <f>EOMONTH(Table1[[#This Row],[Order_Date]],0)</f>
        <v>45504</v>
      </c>
      <c r="Q150" s="3">
        <f>WEEKNUM(Table1[[#This Row],[Order_Date]])</f>
        <v>31</v>
      </c>
      <c r="R150">
        <f>YEAR(Table1[[#This Row],[Order_Date]])</f>
        <v>2024</v>
      </c>
      <c r="S150" t="str">
        <f>IF(Table1[[#This Row],[Quantity]]&gt;=3,"Promo","Regular")</f>
        <v>Regular</v>
      </c>
    </row>
    <row r="151" spans="1:19" x14ac:dyDescent="0.35">
      <c r="A151" t="s">
        <v>1835</v>
      </c>
      <c r="B151" t="s">
        <v>224</v>
      </c>
      <c r="C151" s="1">
        <v>45466</v>
      </c>
      <c r="D151" t="s">
        <v>28</v>
      </c>
      <c r="E151" t="s">
        <v>29</v>
      </c>
      <c r="F151" t="s">
        <v>17</v>
      </c>
      <c r="G151" t="s">
        <v>73</v>
      </c>
      <c r="H151" t="s">
        <v>120</v>
      </c>
      <c r="I151" t="s">
        <v>60</v>
      </c>
      <c r="J151">
        <v>3</v>
      </c>
      <c r="K151">
        <v>264</v>
      </c>
      <c r="L151">
        <v>792</v>
      </c>
      <c r="M151">
        <v>39</v>
      </c>
      <c r="N151" t="s">
        <v>38</v>
      </c>
      <c r="O151">
        <v>4.5</v>
      </c>
      <c r="P151" s="2">
        <f>EOMONTH(Table1[[#This Row],[Order_Date]],0)</f>
        <v>45473</v>
      </c>
      <c r="Q151" s="3">
        <f>WEEKNUM(Table1[[#This Row],[Order_Date]])</f>
        <v>26</v>
      </c>
      <c r="R151">
        <f>YEAR(Table1[[#This Row],[Order_Date]])</f>
        <v>2024</v>
      </c>
      <c r="S151" t="str">
        <f>IF(Table1[[#This Row],[Quantity]]&gt;=3,"Promo","Regular")</f>
        <v>Promo</v>
      </c>
    </row>
    <row r="152" spans="1:19" x14ac:dyDescent="0.35">
      <c r="A152" t="s">
        <v>1836</v>
      </c>
      <c r="B152" t="s">
        <v>225</v>
      </c>
      <c r="C152" s="1">
        <v>45519</v>
      </c>
      <c r="D152" t="s">
        <v>57</v>
      </c>
      <c r="E152" t="s">
        <v>136</v>
      </c>
      <c r="F152" t="s">
        <v>41</v>
      </c>
      <c r="G152" t="s">
        <v>25</v>
      </c>
      <c r="H152" t="s">
        <v>37</v>
      </c>
      <c r="I152" t="s">
        <v>20</v>
      </c>
      <c r="J152">
        <v>1</v>
      </c>
      <c r="K152">
        <v>495</v>
      </c>
      <c r="L152">
        <v>495</v>
      </c>
      <c r="M152">
        <v>59</v>
      </c>
      <c r="N152" t="s">
        <v>38</v>
      </c>
      <c r="O152">
        <v>3.7</v>
      </c>
      <c r="P152" s="2">
        <f>EOMONTH(Table1[[#This Row],[Order_Date]],0)</f>
        <v>45535</v>
      </c>
      <c r="Q152" s="3">
        <f>WEEKNUM(Table1[[#This Row],[Order_Date]])</f>
        <v>33</v>
      </c>
      <c r="R152">
        <f>YEAR(Table1[[#This Row],[Order_Date]])</f>
        <v>2024</v>
      </c>
      <c r="S152" t="str">
        <f>IF(Table1[[#This Row],[Quantity]]&gt;=3,"Promo","Regular")</f>
        <v>Regular</v>
      </c>
    </row>
    <row r="153" spans="1:19" x14ac:dyDescent="0.35">
      <c r="A153" t="s">
        <v>1837</v>
      </c>
      <c r="B153" t="s">
        <v>226</v>
      </c>
      <c r="C153" s="1">
        <v>45549</v>
      </c>
      <c r="D153" t="s">
        <v>57</v>
      </c>
      <c r="E153" t="s">
        <v>62</v>
      </c>
      <c r="F153" t="s">
        <v>35</v>
      </c>
      <c r="G153" t="s">
        <v>46</v>
      </c>
      <c r="H153" t="s">
        <v>37</v>
      </c>
      <c r="I153" t="s">
        <v>20</v>
      </c>
      <c r="J153">
        <v>2</v>
      </c>
      <c r="K153">
        <v>438</v>
      </c>
      <c r="L153">
        <v>876</v>
      </c>
      <c r="M153">
        <v>25</v>
      </c>
      <c r="N153" t="s">
        <v>21</v>
      </c>
      <c r="O153">
        <v>3.8</v>
      </c>
      <c r="P153" s="2">
        <f>EOMONTH(Table1[[#This Row],[Order_Date]],0)</f>
        <v>45565</v>
      </c>
      <c r="Q153" s="3">
        <f>WEEKNUM(Table1[[#This Row],[Order_Date]])</f>
        <v>37</v>
      </c>
      <c r="R153">
        <f>YEAR(Table1[[#This Row],[Order_Date]])</f>
        <v>2024</v>
      </c>
      <c r="S153" t="str">
        <f>IF(Table1[[#This Row],[Quantity]]&gt;=3,"Promo","Regular")</f>
        <v>Regular</v>
      </c>
    </row>
    <row r="154" spans="1:19" x14ac:dyDescent="0.35">
      <c r="A154" t="s">
        <v>1838</v>
      </c>
      <c r="B154" t="s">
        <v>227</v>
      </c>
      <c r="C154" s="1">
        <v>45438</v>
      </c>
      <c r="D154" t="s">
        <v>57</v>
      </c>
      <c r="E154" t="s">
        <v>62</v>
      </c>
      <c r="F154" t="s">
        <v>69</v>
      </c>
      <c r="G154" t="s">
        <v>31</v>
      </c>
      <c r="H154" t="s">
        <v>66</v>
      </c>
      <c r="I154" t="s">
        <v>20</v>
      </c>
      <c r="J154">
        <v>4</v>
      </c>
      <c r="K154">
        <v>121</v>
      </c>
      <c r="L154">
        <v>484</v>
      </c>
      <c r="M154">
        <v>27</v>
      </c>
      <c r="N154" t="s">
        <v>21</v>
      </c>
      <c r="O154">
        <v>4.5999999999999996</v>
      </c>
      <c r="P154" s="2">
        <f>EOMONTH(Table1[[#This Row],[Order_Date]],0)</f>
        <v>45443</v>
      </c>
      <c r="Q154" s="3">
        <f>WEEKNUM(Table1[[#This Row],[Order_Date]])</f>
        <v>22</v>
      </c>
      <c r="R154">
        <f>YEAR(Table1[[#This Row],[Order_Date]])</f>
        <v>2024</v>
      </c>
      <c r="S154" t="str">
        <f>IF(Table1[[#This Row],[Quantity]]&gt;=3,"Promo","Regular")</f>
        <v>Promo</v>
      </c>
    </row>
    <row r="155" spans="1:19" x14ac:dyDescent="0.35">
      <c r="A155" t="s">
        <v>1839</v>
      </c>
      <c r="B155" t="s">
        <v>228</v>
      </c>
      <c r="C155" s="1">
        <v>45343</v>
      </c>
      <c r="D155" t="s">
        <v>57</v>
      </c>
      <c r="E155" t="s">
        <v>136</v>
      </c>
      <c r="F155" t="s">
        <v>69</v>
      </c>
      <c r="G155" t="s">
        <v>46</v>
      </c>
      <c r="H155" t="s">
        <v>19</v>
      </c>
      <c r="I155" t="s">
        <v>20</v>
      </c>
      <c r="J155">
        <v>1</v>
      </c>
      <c r="K155">
        <v>260</v>
      </c>
      <c r="L155">
        <v>260</v>
      </c>
      <c r="M155">
        <v>21</v>
      </c>
      <c r="N155" t="s">
        <v>21</v>
      </c>
      <c r="O155">
        <v>3</v>
      </c>
      <c r="P155" s="2">
        <f>EOMONTH(Table1[[#This Row],[Order_Date]],0)</f>
        <v>45351</v>
      </c>
      <c r="Q155" s="3">
        <f>WEEKNUM(Table1[[#This Row],[Order_Date]])</f>
        <v>8</v>
      </c>
      <c r="R155">
        <f>YEAR(Table1[[#This Row],[Order_Date]])</f>
        <v>2024</v>
      </c>
      <c r="S155" t="str">
        <f>IF(Table1[[#This Row],[Quantity]]&gt;=3,"Promo","Regular")</f>
        <v>Regular</v>
      </c>
    </row>
    <row r="156" spans="1:19" x14ac:dyDescent="0.35">
      <c r="A156" t="s">
        <v>1840</v>
      </c>
      <c r="B156" t="s">
        <v>229</v>
      </c>
      <c r="C156" s="1">
        <v>45388</v>
      </c>
      <c r="D156" t="s">
        <v>57</v>
      </c>
      <c r="E156" t="s">
        <v>105</v>
      </c>
      <c r="F156" t="s">
        <v>24</v>
      </c>
      <c r="G156" t="s">
        <v>25</v>
      </c>
      <c r="H156" t="s">
        <v>50</v>
      </c>
      <c r="I156" t="s">
        <v>20</v>
      </c>
      <c r="J156">
        <v>2</v>
      </c>
      <c r="K156">
        <v>109</v>
      </c>
      <c r="L156">
        <v>218</v>
      </c>
      <c r="M156">
        <v>51</v>
      </c>
      <c r="N156" t="s">
        <v>38</v>
      </c>
      <c r="O156">
        <v>5</v>
      </c>
      <c r="P156" s="2">
        <f>EOMONTH(Table1[[#This Row],[Order_Date]],0)</f>
        <v>45412</v>
      </c>
      <c r="Q156" s="3">
        <f>WEEKNUM(Table1[[#This Row],[Order_Date]])</f>
        <v>14</v>
      </c>
      <c r="R156">
        <f>YEAR(Table1[[#This Row],[Order_Date]])</f>
        <v>2024</v>
      </c>
      <c r="S156" t="str">
        <f>IF(Table1[[#This Row],[Quantity]]&gt;=3,"Promo","Regular")</f>
        <v>Regular</v>
      </c>
    </row>
    <row r="157" spans="1:19" x14ac:dyDescent="0.35">
      <c r="A157" t="s">
        <v>1841</v>
      </c>
      <c r="B157" t="s">
        <v>230</v>
      </c>
      <c r="C157" s="1">
        <v>45476</v>
      </c>
      <c r="D157" t="s">
        <v>57</v>
      </c>
      <c r="E157" t="s">
        <v>136</v>
      </c>
      <c r="F157" t="s">
        <v>85</v>
      </c>
      <c r="G157" t="s">
        <v>25</v>
      </c>
      <c r="H157" t="s">
        <v>32</v>
      </c>
      <c r="I157" t="s">
        <v>20</v>
      </c>
      <c r="J157">
        <v>4</v>
      </c>
      <c r="K157">
        <v>143</v>
      </c>
      <c r="L157">
        <v>572</v>
      </c>
      <c r="M157">
        <v>47</v>
      </c>
      <c r="N157" t="s">
        <v>21</v>
      </c>
      <c r="O157">
        <v>3.5</v>
      </c>
      <c r="P157" s="2">
        <f>EOMONTH(Table1[[#This Row],[Order_Date]],0)</f>
        <v>45504</v>
      </c>
      <c r="Q157" s="3">
        <f>WEEKNUM(Table1[[#This Row],[Order_Date]])</f>
        <v>27</v>
      </c>
      <c r="R157">
        <f>YEAR(Table1[[#This Row],[Order_Date]])</f>
        <v>2024</v>
      </c>
      <c r="S157" t="str">
        <f>IF(Table1[[#This Row],[Quantity]]&gt;=3,"Promo","Regular")</f>
        <v>Promo</v>
      </c>
    </row>
    <row r="158" spans="1:19" x14ac:dyDescent="0.35">
      <c r="A158" t="s">
        <v>1842</v>
      </c>
      <c r="B158" t="s">
        <v>231</v>
      </c>
      <c r="C158" s="1">
        <v>45551</v>
      </c>
      <c r="D158" t="s">
        <v>28</v>
      </c>
      <c r="E158" t="s">
        <v>98</v>
      </c>
      <c r="F158" t="s">
        <v>30</v>
      </c>
      <c r="G158" t="s">
        <v>36</v>
      </c>
      <c r="H158" t="s">
        <v>26</v>
      </c>
      <c r="I158" t="s">
        <v>20</v>
      </c>
      <c r="J158">
        <v>5</v>
      </c>
      <c r="K158">
        <v>311</v>
      </c>
      <c r="L158">
        <v>1555</v>
      </c>
      <c r="M158">
        <v>56</v>
      </c>
      <c r="N158" t="s">
        <v>38</v>
      </c>
      <c r="O158">
        <v>3.7</v>
      </c>
      <c r="P158" s="2">
        <f>EOMONTH(Table1[[#This Row],[Order_Date]],0)</f>
        <v>45565</v>
      </c>
      <c r="Q158" s="3">
        <f>WEEKNUM(Table1[[#This Row],[Order_Date]])</f>
        <v>38</v>
      </c>
      <c r="R158">
        <f>YEAR(Table1[[#This Row],[Order_Date]])</f>
        <v>2024</v>
      </c>
      <c r="S158" t="str">
        <f>IF(Table1[[#This Row],[Quantity]]&gt;=3,"Promo","Regular")</f>
        <v>Promo</v>
      </c>
    </row>
    <row r="159" spans="1:19" x14ac:dyDescent="0.35">
      <c r="A159" t="s">
        <v>1843</v>
      </c>
      <c r="B159" t="s">
        <v>232</v>
      </c>
      <c r="C159" s="1">
        <v>45549</v>
      </c>
      <c r="D159" t="s">
        <v>28</v>
      </c>
      <c r="E159" t="s">
        <v>40</v>
      </c>
      <c r="F159" t="s">
        <v>24</v>
      </c>
      <c r="G159" t="s">
        <v>25</v>
      </c>
      <c r="H159" t="s">
        <v>66</v>
      </c>
      <c r="I159" t="s">
        <v>20</v>
      </c>
      <c r="J159">
        <v>4</v>
      </c>
      <c r="K159">
        <v>117</v>
      </c>
      <c r="L159">
        <v>468</v>
      </c>
      <c r="M159">
        <v>38</v>
      </c>
      <c r="N159" t="s">
        <v>21</v>
      </c>
      <c r="O159">
        <v>4.2</v>
      </c>
      <c r="P159" s="2">
        <f>EOMONTH(Table1[[#This Row],[Order_Date]],0)</f>
        <v>45565</v>
      </c>
      <c r="Q159" s="3">
        <f>WEEKNUM(Table1[[#This Row],[Order_Date]])</f>
        <v>37</v>
      </c>
      <c r="R159">
        <f>YEAR(Table1[[#This Row],[Order_Date]])</f>
        <v>2024</v>
      </c>
      <c r="S159" t="str">
        <f>IF(Table1[[#This Row],[Quantity]]&gt;=3,"Promo","Regular")</f>
        <v>Promo</v>
      </c>
    </row>
    <row r="160" spans="1:19" x14ac:dyDescent="0.35">
      <c r="A160" t="s">
        <v>1844</v>
      </c>
      <c r="B160" t="s">
        <v>233</v>
      </c>
      <c r="C160" s="1">
        <v>45376</v>
      </c>
      <c r="D160" t="s">
        <v>15</v>
      </c>
      <c r="E160" t="s">
        <v>103</v>
      </c>
      <c r="F160" t="s">
        <v>85</v>
      </c>
      <c r="G160" t="s">
        <v>25</v>
      </c>
      <c r="H160" t="s">
        <v>53</v>
      </c>
      <c r="I160" t="s">
        <v>20</v>
      </c>
      <c r="J160">
        <v>3</v>
      </c>
      <c r="K160">
        <v>336</v>
      </c>
      <c r="L160">
        <v>1008</v>
      </c>
      <c r="M160">
        <v>46</v>
      </c>
      <c r="N160" t="s">
        <v>21</v>
      </c>
      <c r="O160">
        <v>3.7</v>
      </c>
      <c r="P160" s="2">
        <f>EOMONTH(Table1[[#This Row],[Order_Date]],0)</f>
        <v>45382</v>
      </c>
      <c r="Q160" s="3">
        <f>WEEKNUM(Table1[[#This Row],[Order_Date]])</f>
        <v>13</v>
      </c>
      <c r="R160">
        <f>YEAR(Table1[[#This Row],[Order_Date]])</f>
        <v>2024</v>
      </c>
      <c r="S160" t="str">
        <f>IF(Table1[[#This Row],[Quantity]]&gt;=3,"Promo","Regular")</f>
        <v>Promo</v>
      </c>
    </row>
    <row r="161" spans="1:19" x14ac:dyDescent="0.35">
      <c r="A161" t="s">
        <v>1845</v>
      </c>
      <c r="B161" t="s">
        <v>234</v>
      </c>
      <c r="C161" s="1">
        <v>45394</v>
      </c>
      <c r="D161" t="s">
        <v>15</v>
      </c>
      <c r="E161" t="s">
        <v>95</v>
      </c>
      <c r="F161" t="s">
        <v>24</v>
      </c>
      <c r="G161" t="s">
        <v>25</v>
      </c>
      <c r="H161" t="s">
        <v>26</v>
      </c>
      <c r="I161" t="s">
        <v>20</v>
      </c>
      <c r="J161">
        <v>3</v>
      </c>
      <c r="K161">
        <v>170</v>
      </c>
      <c r="L161">
        <v>510</v>
      </c>
      <c r="M161">
        <v>57</v>
      </c>
      <c r="N161" t="s">
        <v>21</v>
      </c>
      <c r="O161">
        <v>3.2</v>
      </c>
      <c r="P161" s="2">
        <f>EOMONTH(Table1[[#This Row],[Order_Date]],0)</f>
        <v>45412</v>
      </c>
      <c r="Q161" s="3">
        <f>WEEKNUM(Table1[[#This Row],[Order_Date]])</f>
        <v>15</v>
      </c>
      <c r="R161">
        <f>YEAR(Table1[[#This Row],[Order_Date]])</f>
        <v>2024</v>
      </c>
      <c r="S161" t="str">
        <f>IF(Table1[[#This Row],[Quantity]]&gt;=3,"Promo","Regular")</f>
        <v>Promo</v>
      </c>
    </row>
    <row r="162" spans="1:19" x14ac:dyDescent="0.35">
      <c r="A162" t="s">
        <v>1846</v>
      </c>
      <c r="B162" t="s">
        <v>235</v>
      </c>
      <c r="C162" s="1">
        <v>45381</v>
      </c>
      <c r="D162" t="s">
        <v>28</v>
      </c>
      <c r="E162" t="s">
        <v>40</v>
      </c>
      <c r="F162" t="s">
        <v>17</v>
      </c>
      <c r="G162" t="s">
        <v>25</v>
      </c>
      <c r="H162" t="s">
        <v>120</v>
      </c>
      <c r="I162" t="s">
        <v>60</v>
      </c>
      <c r="J162">
        <v>2</v>
      </c>
      <c r="K162">
        <v>246</v>
      </c>
      <c r="L162">
        <v>492</v>
      </c>
      <c r="M162">
        <v>49</v>
      </c>
      <c r="N162" t="s">
        <v>33</v>
      </c>
      <c r="O162">
        <v>3.8</v>
      </c>
      <c r="P162" s="2">
        <f>EOMONTH(Table1[[#This Row],[Order_Date]],0)</f>
        <v>45382</v>
      </c>
      <c r="Q162" s="3">
        <f>WEEKNUM(Table1[[#This Row],[Order_Date]])</f>
        <v>13</v>
      </c>
      <c r="R162">
        <f>YEAR(Table1[[#This Row],[Order_Date]])</f>
        <v>2024</v>
      </c>
      <c r="S162" t="str">
        <f>IF(Table1[[#This Row],[Quantity]]&gt;=3,"Promo","Regular")</f>
        <v>Regular</v>
      </c>
    </row>
    <row r="163" spans="1:19" x14ac:dyDescent="0.35">
      <c r="A163" t="s">
        <v>1847</v>
      </c>
      <c r="B163" t="s">
        <v>236</v>
      </c>
      <c r="C163" s="1">
        <v>45337</v>
      </c>
      <c r="D163" t="s">
        <v>48</v>
      </c>
      <c r="E163" t="s">
        <v>127</v>
      </c>
      <c r="F163" t="s">
        <v>72</v>
      </c>
      <c r="G163" t="s">
        <v>31</v>
      </c>
      <c r="H163" t="s">
        <v>26</v>
      </c>
      <c r="I163" t="s">
        <v>20</v>
      </c>
      <c r="J163">
        <v>3</v>
      </c>
      <c r="K163">
        <v>461</v>
      </c>
      <c r="L163">
        <v>1383</v>
      </c>
      <c r="M163">
        <v>57</v>
      </c>
      <c r="N163" t="s">
        <v>33</v>
      </c>
      <c r="O163">
        <v>4.4000000000000004</v>
      </c>
      <c r="P163" s="2">
        <f>EOMONTH(Table1[[#This Row],[Order_Date]],0)</f>
        <v>45351</v>
      </c>
      <c r="Q163" s="3">
        <f>WEEKNUM(Table1[[#This Row],[Order_Date]])</f>
        <v>7</v>
      </c>
      <c r="R163">
        <f>YEAR(Table1[[#This Row],[Order_Date]])</f>
        <v>2024</v>
      </c>
      <c r="S163" t="str">
        <f>IF(Table1[[#This Row],[Quantity]]&gt;=3,"Promo","Regular")</f>
        <v>Promo</v>
      </c>
    </row>
    <row r="164" spans="1:19" x14ac:dyDescent="0.35">
      <c r="A164" t="s">
        <v>1848</v>
      </c>
      <c r="B164" t="s">
        <v>237</v>
      </c>
      <c r="C164" s="1">
        <v>45404</v>
      </c>
      <c r="D164" t="s">
        <v>57</v>
      </c>
      <c r="E164" t="s">
        <v>136</v>
      </c>
      <c r="F164" t="s">
        <v>69</v>
      </c>
      <c r="G164" t="s">
        <v>46</v>
      </c>
      <c r="H164" t="s">
        <v>120</v>
      </c>
      <c r="I164" t="s">
        <v>60</v>
      </c>
      <c r="J164">
        <v>3</v>
      </c>
      <c r="K164">
        <v>296</v>
      </c>
      <c r="L164">
        <v>888</v>
      </c>
      <c r="M164">
        <v>52</v>
      </c>
      <c r="N164" t="s">
        <v>21</v>
      </c>
      <c r="O164">
        <v>3.8</v>
      </c>
      <c r="P164" s="2">
        <f>EOMONTH(Table1[[#This Row],[Order_Date]],0)</f>
        <v>45412</v>
      </c>
      <c r="Q164" s="3">
        <f>WEEKNUM(Table1[[#This Row],[Order_Date]])</f>
        <v>17</v>
      </c>
      <c r="R164">
        <f>YEAR(Table1[[#This Row],[Order_Date]])</f>
        <v>2024</v>
      </c>
      <c r="S164" t="str">
        <f>IF(Table1[[#This Row],[Quantity]]&gt;=3,"Promo","Regular")</f>
        <v>Promo</v>
      </c>
    </row>
    <row r="165" spans="1:19" x14ac:dyDescent="0.35">
      <c r="A165" t="s">
        <v>1849</v>
      </c>
      <c r="B165" t="s">
        <v>238</v>
      </c>
      <c r="C165" s="1">
        <v>45404</v>
      </c>
      <c r="D165" t="s">
        <v>43</v>
      </c>
      <c r="E165" t="s">
        <v>82</v>
      </c>
      <c r="F165" t="s">
        <v>30</v>
      </c>
      <c r="G165" t="s">
        <v>46</v>
      </c>
      <c r="H165" t="s">
        <v>50</v>
      </c>
      <c r="I165" t="s">
        <v>20</v>
      </c>
      <c r="J165">
        <v>2</v>
      </c>
      <c r="K165">
        <v>499</v>
      </c>
      <c r="L165">
        <v>998</v>
      </c>
      <c r="M165">
        <v>44</v>
      </c>
      <c r="N165" t="s">
        <v>38</v>
      </c>
      <c r="O165">
        <v>4.3</v>
      </c>
      <c r="P165" s="2">
        <f>EOMONTH(Table1[[#This Row],[Order_Date]],0)</f>
        <v>45412</v>
      </c>
      <c r="Q165" s="3">
        <f>WEEKNUM(Table1[[#This Row],[Order_Date]])</f>
        <v>17</v>
      </c>
      <c r="R165">
        <f>YEAR(Table1[[#This Row],[Order_Date]])</f>
        <v>2024</v>
      </c>
      <c r="S165" t="str">
        <f>IF(Table1[[#This Row],[Quantity]]&gt;=3,"Promo","Regular")</f>
        <v>Regular</v>
      </c>
    </row>
    <row r="166" spans="1:19" x14ac:dyDescent="0.35">
      <c r="A166" t="s">
        <v>1850</v>
      </c>
      <c r="B166" t="s">
        <v>239</v>
      </c>
      <c r="C166" s="1">
        <v>45587</v>
      </c>
      <c r="D166" t="s">
        <v>57</v>
      </c>
      <c r="E166" t="s">
        <v>105</v>
      </c>
      <c r="F166" t="s">
        <v>41</v>
      </c>
      <c r="G166" t="s">
        <v>46</v>
      </c>
      <c r="H166" t="s">
        <v>66</v>
      </c>
      <c r="I166" t="s">
        <v>20</v>
      </c>
      <c r="J166">
        <v>2</v>
      </c>
      <c r="K166">
        <v>151</v>
      </c>
      <c r="L166">
        <v>302</v>
      </c>
      <c r="M166">
        <v>39</v>
      </c>
      <c r="N166" t="s">
        <v>21</v>
      </c>
      <c r="O166">
        <v>3.7</v>
      </c>
      <c r="P166" s="2">
        <f>EOMONTH(Table1[[#This Row],[Order_Date]],0)</f>
        <v>45596</v>
      </c>
      <c r="Q166" s="3">
        <f>WEEKNUM(Table1[[#This Row],[Order_Date]])</f>
        <v>43</v>
      </c>
      <c r="R166">
        <f>YEAR(Table1[[#This Row],[Order_Date]])</f>
        <v>2024</v>
      </c>
      <c r="S166" t="str">
        <f>IF(Table1[[#This Row],[Quantity]]&gt;=3,"Promo","Regular")</f>
        <v>Regular</v>
      </c>
    </row>
    <row r="167" spans="1:19" x14ac:dyDescent="0.35">
      <c r="A167" t="s">
        <v>1851</v>
      </c>
      <c r="B167" t="s">
        <v>240</v>
      </c>
      <c r="C167" s="1">
        <v>45536</v>
      </c>
      <c r="D167" t="s">
        <v>57</v>
      </c>
      <c r="E167" t="s">
        <v>62</v>
      </c>
      <c r="F167" t="s">
        <v>72</v>
      </c>
      <c r="G167" t="s">
        <v>25</v>
      </c>
      <c r="H167" t="s">
        <v>59</v>
      </c>
      <c r="I167" t="s">
        <v>60</v>
      </c>
      <c r="J167">
        <v>1</v>
      </c>
      <c r="K167">
        <v>124</v>
      </c>
      <c r="L167">
        <v>124</v>
      </c>
      <c r="M167">
        <v>37</v>
      </c>
      <c r="N167" t="s">
        <v>33</v>
      </c>
      <c r="O167">
        <v>3.4</v>
      </c>
      <c r="P167" s="2">
        <f>EOMONTH(Table1[[#This Row],[Order_Date]],0)</f>
        <v>45565</v>
      </c>
      <c r="Q167" s="3">
        <f>WEEKNUM(Table1[[#This Row],[Order_Date]])</f>
        <v>36</v>
      </c>
      <c r="R167">
        <f>YEAR(Table1[[#This Row],[Order_Date]])</f>
        <v>2024</v>
      </c>
      <c r="S167" t="str">
        <f>IF(Table1[[#This Row],[Quantity]]&gt;=3,"Promo","Regular")</f>
        <v>Regular</v>
      </c>
    </row>
    <row r="168" spans="1:19" x14ac:dyDescent="0.35">
      <c r="A168" t="s">
        <v>1852</v>
      </c>
      <c r="B168" t="s">
        <v>241</v>
      </c>
      <c r="C168" s="1">
        <v>45509</v>
      </c>
      <c r="D168" t="s">
        <v>15</v>
      </c>
      <c r="E168" t="s">
        <v>95</v>
      </c>
      <c r="F168" t="s">
        <v>69</v>
      </c>
      <c r="G168" t="s">
        <v>25</v>
      </c>
      <c r="H168" t="s">
        <v>53</v>
      </c>
      <c r="I168" t="s">
        <v>20</v>
      </c>
      <c r="J168">
        <v>5</v>
      </c>
      <c r="K168">
        <v>482</v>
      </c>
      <c r="L168">
        <v>2410</v>
      </c>
      <c r="M168">
        <v>49</v>
      </c>
      <c r="N168" t="s">
        <v>33</v>
      </c>
      <c r="O168">
        <v>3.1</v>
      </c>
      <c r="P168" s="2">
        <f>EOMONTH(Table1[[#This Row],[Order_Date]],0)</f>
        <v>45535</v>
      </c>
      <c r="Q168" s="3">
        <f>WEEKNUM(Table1[[#This Row],[Order_Date]])</f>
        <v>32</v>
      </c>
      <c r="R168">
        <f>YEAR(Table1[[#This Row],[Order_Date]])</f>
        <v>2024</v>
      </c>
      <c r="S168" t="str">
        <f>IF(Table1[[#This Row],[Quantity]]&gt;=3,"Promo","Regular")</f>
        <v>Promo</v>
      </c>
    </row>
    <row r="169" spans="1:19" x14ac:dyDescent="0.35">
      <c r="A169" t="s">
        <v>1853</v>
      </c>
      <c r="B169" t="s">
        <v>242</v>
      </c>
      <c r="C169" s="1">
        <v>45560</v>
      </c>
      <c r="D169" t="s">
        <v>28</v>
      </c>
      <c r="E169" t="s">
        <v>29</v>
      </c>
      <c r="F169" t="s">
        <v>72</v>
      </c>
      <c r="G169" t="s">
        <v>18</v>
      </c>
      <c r="H169" t="s">
        <v>32</v>
      </c>
      <c r="I169" t="s">
        <v>20</v>
      </c>
      <c r="J169">
        <v>1</v>
      </c>
      <c r="K169">
        <v>203</v>
      </c>
      <c r="L169">
        <v>203</v>
      </c>
      <c r="M169">
        <v>55</v>
      </c>
      <c r="N169" t="s">
        <v>21</v>
      </c>
      <c r="O169">
        <v>4.5</v>
      </c>
      <c r="P169" s="2">
        <f>EOMONTH(Table1[[#This Row],[Order_Date]],0)</f>
        <v>45565</v>
      </c>
      <c r="Q169" s="3">
        <f>WEEKNUM(Table1[[#This Row],[Order_Date]])</f>
        <v>39</v>
      </c>
      <c r="R169">
        <f>YEAR(Table1[[#This Row],[Order_Date]])</f>
        <v>2024</v>
      </c>
      <c r="S169" t="str">
        <f>IF(Table1[[#This Row],[Quantity]]&gt;=3,"Promo","Regular")</f>
        <v>Regular</v>
      </c>
    </row>
    <row r="170" spans="1:19" x14ac:dyDescent="0.35">
      <c r="A170" t="s">
        <v>1854</v>
      </c>
      <c r="B170" t="s">
        <v>243</v>
      </c>
      <c r="C170" s="1">
        <v>45373</v>
      </c>
      <c r="D170" t="s">
        <v>57</v>
      </c>
      <c r="E170" t="s">
        <v>105</v>
      </c>
      <c r="F170" t="s">
        <v>35</v>
      </c>
      <c r="G170" t="s">
        <v>36</v>
      </c>
      <c r="H170" t="s">
        <v>50</v>
      </c>
      <c r="I170" t="s">
        <v>20</v>
      </c>
      <c r="J170">
        <v>3</v>
      </c>
      <c r="K170">
        <v>455</v>
      </c>
      <c r="L170">
        <v>1365</v>
      </c>
      <c r="M170">
        <v>29</v>
      </c>
      <c r="N170" t="s">
        <v>21</v>
      </c>
      <c r="O170">
        <v>4.7</v>
      </c>
      <c r="P170" s="2">
        <f>EOMONTH(Table1[[#This Row],[Order_Date]],0)</f>
        <v>45382</v>
      </c>
      <c r="Q170" s="3">
        <f>WEEKNUM(Table1[[#This Row],[Order_Date]])</f>
        <v>12</v>
      </c>
      <c r="R170">
        <f>YEAR(Table1[[#This Row],[Order_Date]])</f>
        <v>2024</v>
      </c>
      <c r="S170" t="str">
        <f>IF(Table1[[#This Row],[Quantity]]&gt;=3,"Promo","Regular")</f>
        <v>Promo</v>
      </c>
    </row>
    <row r="171" spans="1:19" x14ac:dyDescent="0.35">
      <c r="A171" t="s">
        <v>1855</v>
      </c>
      <c r="B171" t="s">
        <v>244</v>
      </c>
      <c r="C171" s="1">
        <v>45551</v>
      </c>
      <c r="D171" t="s">
        <v>15</v>
      </c>
      <c r="E171" t="s">
        <v>23</v>
      </c>
      <c r="F171" t="s">
        <v>35</v>
      </c>
      <c r="G171" t="s">
        <v>31</v>
      </c>
      <c r="H171" t="s">
        <v>26</v>
      </c>
      <c r="I171" t="s">
        <v>20</v>
      </c>
      <c r="J171">
        <v>2</v>
      </c>
      <c r="K171">
        <v>253</v>
      </c>
      <c r="L171">
        <v>506</v>
      </c>
      <c r="M171">
        <v>29</v>
      </c>
      <c r="N171" t="s">
        <v>38</v>
      </c>
      <c r="O171">
        <v>3.5</v>
      </c>
      <c r="P171" s="2">
        <f>EOMONTH(Table1[[#This Row],[Order_Date]],0)</f>
        <v>45565</v>
      </c>
      <c r="Q171" s="3">
        <f>WEEKNUM(Table1[[#This Row],[Order_Date]])</f>
        <v>38</v>
      </c>
      <c r="R171">
        <f>YEAR(Table1[[#This Row],[Order_Date]])</f>
        <v>2024</v>
      </c>
      <c r="S171" t="str">
        <f>IF(Table1[[#This Row],[Quantity]]&gt;=3,"Promo","Regular")</f>
        <v>Regular</v>
      </c>
    </row>
    <row r="172" spans="1:19" x14ac:dyDescent="0.35">
      <c r="A172" t="s">
        <v>1856</v>
      </c>
      <c r="B172" t="s">
        <v>245</v>
      </c>
      <c r="C172" s="1">
        <v>45433</v>
      </c>
      <c r="D172" t="s">
        <v>15</v>
      </c>
      <c r="E172" t="s">
        <v>23</v>
      </c>
      <c r="F172" t="s">
        <v>85</v>
      </c>
      <c r="G172" t="s">
        <v>73</v>
      </c>
      <c r="H172" t="s">
        <v>59</v>
      </c>
      <c r="I172" t="s">
        <v>60</v>
      </c>
      <c r="J172">
        <v>5</v>
      </c>
      <c r="K172">
        <v>356</v>
      </c>
      <c r="L172">
        <v>1780</v>
      </c>
      <c r="M172">
        <v>45</v>
      </c>
      <c r="N172" t="s">
        <v>33</v>
      </c>
      <c r="O172">
        <v>3.7</v>
      </c>
      <c r="P172" s="2">
        <f>EOMONTH(Table1[[#This Row],[Order_Date]],0)</f>
        <v>45443</v>
      </c>
      <c r="Q172" s="3">
        <f>WEEKNUM(Table1[[#This Row],[Order_Date]])</f>
        <v>21</v>
      </c>
      <c r="R172">
        <f>YEAR(Table1[[#This Row],[Order_Date]])</f>
        <v>2024</v>
      </c>
      <c r="S172" t="str">
        <f>IF(Table1[[#This Row],[Quantity]]&gt;=3,"Promo","Regular")</f>
        <v>Promo</v>
      </c>
    </row>
    <row r="173" spans="1:19" x14ac:dyDescent="0.35">
      <c r="A173" t="s">
        <v>1857</v>
      </c>
      <c r="B173" t="s">
        <v>246</v>
      </c>
      <c r="C173" s="1">
        <v>45365</v>
      </c>
      <c r="D173" t="s">
        <v>48</v>
      </c>
      <c r="E173" t="s">
        <v>49</v>
      </c>
      <c r="F173" t="s">
        <v>30</v>
      </c>
      <c r="G173" t="s">
        <v>36</v>
      </c>
      <c r="H173" t="s">
        <v>32</v>
      </c>
      <c r="I173" t="s">
        <v>20</v>
      </c>
      <c r="J173">
        <v>2</v>
      </c>
      <c r="K173">
        <v>209</v>
      </c>
      <c r="L173">
        <v>418</v>
      </c>
      <c r="M173">
        <v>53</v>
      </c>
      <c r="N173" t="s">
        <v>38</v>
      </c>
      <c r="O173">
        <v>3.8</v>
      </c>
      <c r="P173" s="2">
        <f>EOMONTH(Table1[[#This Row],[Order_Date]],0)</f>
        <v>45382</v>
      </c>
      <c r="Q173" s="3">
        <f>WEEKNUM(Table1[[#This Row],[Order_Date]])</f>
        <v>11</v>
      </c>
      <c r="R173">
        <f>YEAR(Table1[[#This Row],[Order_Date]])</f>
        <v>2024</v>
      </c>
      <c r="S173" t="str">
        <f>IF(Table1[[#This Row],[Quantity]]&gt;=3,"Promo","Regular")</f>
        <v>Regular</v>
      </c>
    </row>
    <row r="174" spans="1:19" x14ac:dyDescent="0.35">
      <c r="A174" t="s">
        <v>1858</v>
      </c>
      <c r="B174" t="s">
        <v>247</v>
      </c>
      <c r="C174" s="1">
        <v>45549</v>
      </c>
      <c r="D174" t="s">
        <v>15</v>
      </c>
      <c r="E174" t="s">
        <v>16</v>
      </c>
      <c r="F174" t="s">
        <v>72</v>
      </c>
      <c r="G174" t="s">
        <v>36</v>
      </c>
      <c r="H174" t="s">
        <v>55</v>
      </c>
      <c r="I174" t="s">
        <v>20</v>
      </c>
      <c r="J174">
        <v>2</v>
      </c>
      <c r="K174">
        <v>408</v>
      </c>
      <c r="L174">
        <v>816</v>
      </c>
      <c r="M174">
        <v>43</v>
      </c>
      <c r="N174" t="s">
        <v>33</v>
      </c>
      <c r="O174">
        <v>3</v>
      </c>
      <c r="P174" s="2">
        <f>EOMONTH(Table1[[#This Row],[Order_Date]],0)</f>
        <v>45565</v>
      </c>
      <c r="Q174" s="3">
        <f>WEEKNUM(Table1[[#This Row],[Order_Date]])</f>
        <v>37</v>
      </c>
      <c r="R174">
        <f>YEAR(Table1[[#This Row],[Order_Date]])</f>
        <v>2024</v>
      </c>
      <c r="S174" t="str">
        <f>IF(Table1[[#This Row],[Quantity]]&gt;=3,"Promo","Regular")</f>
        <v>Regular</v>
      </c>
    </row>
    <row r="175" spans="1:19" x14ac:dyDescent="0.35">
      <c r="A175" t="s">
        <v>1859</v>
      </c>
      <c r="B175" t="s">
        <v>248</v>
      </c>
      <c r="C175" s="1">
        <v>45476</v>
      </c>
      <c r="D175" t="s">
        <v>57</v>
      </c>
      <c r="E175" t="s">
        <v>136</v>
      </c>
      <c r="F175" t="s">
        <v>17</v>
      </c>
      <c r="G175" t="s">
        <v>18</v>
      </c>
      <c r="H175" t="s">
        <v>26</v>
      </c>
      <c r="I175" t="s">
        <v>20</v>
      </c>
      <c r="J175">
        <v>4</v>
      </c>
      <c r="K175">
        <v>375</v>
      </c>
      <c r="L175">
        <v>1500</v>
      </c>
      <c r="M175">
        <v>22</v>
      </c>
      <c r="N175" t="s">
        <v>21</v>
      </c>
      <c r="O175">
        <v>4.8</v>
      </c>
      <c r="P175" s="2">
        <f>EOMONTH(Table1[[#This Row],[Order_Date]],0)</f>
        <v>45504</v>
      </c>
      <c r="Q175" s="3">
        <f>WEEKNUM(Table1[[#This Row],[Order_Date]])</f>
        <v>27</v>
      </c>
      <c r="R175">
        <f>YEAR(Table1[[#This Row],[Order_Date]])</f>
        <v>2024</v>
      </c>
      <c r="S175" t="str">
        <f>IF(Table1[[#This Row],[Quantity]]&gt;=3,"Promo","Regular")</f>
        <v>Promo</v>
      </c>
    </row>
    <row r="176" spans="1:19" x14ac:dyDescent="0.35">
      <c r="A176" t="s">
        <v>1860</v>
      </c>
      <c r="B176" t="s">
        <v>249</v>
      </c>
      <c r="C176" s="1">
        <v>45586</v>
      </c>
      <c r="D176" t="s">
        <v>57</v>
      </c>
      <c r="E176" t="s">
        <v>105</v>
      </c>
      <c r="F176" t="s">
        <v>85</v>
      </c>
      <c r="G176" t="s">
        <v>73</v>
      </c>
      <c r="H176" t="s">
        <v>50</v>
      </c>
      <c r="I176" t="s">
        <v>20</v>
      </c>
      <c r="J176">
        <v>4</v>
      </c>
      <c r="K176">
        <v>117</v>
      </c>
      <c r="L176">
        <v>468</v>
      </c>
      <c r="M176">
        <v>34</v>
      </c>
      <c r="N176" t="s">
        <v>38</v>
      </c>
      <c r="O176">
        <v>3.4</v>
      </c>
      <c r="P176" s="2">
        <f>EOMONTH(Table1[[#This Row],[Order_Date]],0)</f>
        <v>45596</v>
      </c>
      <c r="Q176" s="3">
        <f>WEEKNUM(Table1[[#This Row],[Order_Date]])</f>
        <v>43</v>
      </c>
      <c r="R176">
        <f>YEAR(Table1[[#This Row],[Order_Date]])</f>
        <v>2024</v>
      </c>
      <c r="S176" t="str">
        <f>IF(Table1[[#This Row],[Quantity]]&gt;=3,"Promo","Regular")</f>
        <v>Promo</v>
      </c>
    </row>
    <row r="177" spans="1:19" x14ac:dyDescent="0.35">
      <c r="A177" t="s">
        <v>1861</v>
      </c>
      <c r="B177" t="s">
        <v>250</v>
      </c>
      <c r="C177" s="1">
        <v>45564</v>
      </c>
      <c r="D177" t="s">
        <v>48</v>
      </c>
      <c r="E177" t="s">
        <v>68</v>
      </c>
      <c r="F177" t="s">
        <v>65</v>
      </c>
      <c r="G177" t="s">
        <v>73</v>
      </c>
      <c r="H177" t="s">
        <v>59</v>
      </c>
      <c r="I177" t="s">
        <v>60</v>
      </c>
      <c r="J177">
        <v>3</v>
      </c>
      <c r="K177">
        <v>407</v>
      </c>
      <c r="L177">
        <v>1221</v>
      </c>
      <c r="M177">
        <v>32</v>
      </c>
      <c r="N177" t="s">
        <v>21</v>
      </c>
      <c r="O177">
        <v>3.8</v>
      </c>
      <c r="P177" s="2">
        <f>EOMONTH(Table1[[#This Row],[Order_Date]],0)</f>
        <v>45565</v>
      </c>
      <c r="Q177" s="3">
        <f>WEEKNUM(Table1[[#This Row],[Order_Date]])</f>
        <v>40</v>
      </c>
      <c r="R177">
        <f>YEAR(Table1[[#This Row],[Order_Date]])</f>
        <v>2024</v>
      </c>
      <c r="S177" t="str">
        <f>IF(Table1[[#This Row],[Quantity]]&gt;=3,"Promo","Regular")</f>
        <v>Promo</v>
      </c>
    </row>
    <row r="178" spans="1:19" x14ac:dyDescent="0.35">
      <c r="A178" t="s">
        <v>1862</v>
      </c>
      <c r="B178" t="s">
        <v>251</v>
      </c>
      <c r="C178" s="1">
        <v>45521</v>
      </c>
      <c r="D178" t="s">
        <v>43</v>
      </c>
      <c r="E178" t="s">
        <v>52</v>
      </c>
      <c r="F178" t="s">
        <v>35</v>
      </c>
      <c r="G178" t="s">
        <v>73</v>
      </c>
      <c r="H178" t="s">
        <v>37</v>
      </c>
      <c r="I178" t="s">
        <v>20</v>
      </c>
      <c r="J178">
        <v>3</v>
      </c>
      <c r="K178">
        <v>292</v>
      </c>
      <c r="L178">
        <v>876</v>
      </c>
      <c r="M178">
        <v>22</v>
      </c>
      <c r="N178" t="s">
        <v>21</v>
      </c>
      <c r="O178">
        <v>4.9000000000000004</v>
      </c>
      <c r="P178" s="2">
        <f>EOMONTH(Table1[[#This Row],[Order_Date]],0)</f>
        <v>45535</v>
      </c>
      <c r="Q178" s="3">
        <f>WEEKNUM(Table1[[#This Row],[Order_Date]])</f>
        <v>33</v>
      </c>
      <c r="R178">
        <f>YEAR(Table1[[#This Row],[Order_Date]])</f>
        <v>2024</v>
      </c>
      <c r="S178" t="str">
        <f>IF(Table1[[#This Row],[Quantity]]&gt;=3,"Promo","Regular")</f>
        <v>Promo</v>
      </c>
    </row>
    <row r="179" spans="1:19" x14ac:dyDescent="0.35">
      <c r="A179" t="s">
        <v>1863</v>
      </c>
      <c r="B179" t="s">
        <v>252</v>
      </c>
      <c r="C179" s="1">
        <v>45546</v>
      </c>
      <c r="D179" t="s">
        <v>15</v>
      </c>
      <c r="E179" t="s">
        <v>16</v>
      </c>
      <c r="F179" t="s">
        <v>69</v>
      </c>
      <c r="G179" t="s">
        <v>31</v>
      </c>
      <c r="H179" t="s">
        <v>59</v>
      </c>
      <c r="I179" t="s">
        <v>60</v>
      </c>
      <c r="J179">
        <v>5</v>
      </c>
      <c r="K179">
        <v>165</v>
      </c>
      <c r="L179">
        <v>825</v>
      </c>
      <c r="M179">
        <v>29</v>
      </c>
      <c r="N179" t="s">
        <v>33</v>
      </c>
      <c r="O179">
        <v>4.7</v>
      </c>
      <c r="P179" s="2">
        <f>EOMONTH(Table1[[#This Row],[Order_Date]],0)</f>
        <v>45565</v>
      </c>
      <c r="Q179" s="3">
        <f>WEEKNUM(Table1[[#This Row],[Order_Date]])</f>
        <v>37</v>
      </c>
      <c r="R179">
        <f>YEAR(Table1[[#This Row],[Order_Date]])</f>
        <v>2024</v>
      </c>
      <c r="S179" t="str">
        <f>IF(Table1[[#This Row],[Quantity]]&gt;=3,"Promo","Regular")</f>
        <v>Promo</v>
      </c>
    </row>
    <row r="180" spans="1:19" x14ac:dyDescent="0.35">
      <c r="A180" t="s">
        <v>1864</v>
      </c>
      <c r="B180" t="s">
        <v>253</v>
      </c>
      <c r="C180" s="1">
        <v>45513</v>
      </c>
      <c r="D180" t="s">
        <v>15</v>
      </c>
      <c r="E180" t="s">
        <v>95</v>
      </c>
      <c r="F180" t="s">
        <v>45</v>
      </c>
      <c r="G180" t="s">
        <v>46</v>
      </c>
      <c r="H180" t="s">
        <v>19</v>
      </c>
      <c r="I180" t="s">
        <v>20</v>
      </c>
      <c r="J180">
        <v>2</v>
      </c>
      <c r="K180">
        <v>268</v>
      </c>
      <c r="L180">
        <v>536</v>
      </c>
      <c r="M180">
        <v>60</v>
      </c>
      <c r="N180" t="s">
        <v>33</v>
      </c>
      <c r="O180">
        <v>4.9000000000000004</v>
      </c>
      <c r="P180" s="2">
        <f>EOMONTH(Table1[[#This Row],[Order_Date]],0)</f>
        <v>45535</v>
      </c>
      <c r="Q180" s="3">
        <f>WEEKNUM(Table1[[#This Row],[Order_Date]])</f>
        <v>32</v>
      </c>
      <c r="R180">
        <f>YEAR(Table1[[#This Row],[Order_Date]])</f>
        <v>2024</v>
      </c>
      <c r="S180" t="str">
        <f>IF(Table1[[#This Row],[Quantity]]&gt;=3,"Promo","Regular")</f>
        <v>Regular</v>
      </c>
    </row>
    <row r="181" spans="1:19" x14ac:dyDescent="0.35">
      <c r="A181" t="s">
        <v>1865</v>
      </c>
      <c r="B181" t="s">
        <v>254</v>
      </c>
      <c r="C181" s="1">
        <v>45511</v>
      </c>
      <c r="D181" t="s">
        <v>28</v>
      </c>
      <c r="E181" t="s">
        <v>77</v>
      </c>
      <c r="F181" t="s">
        <v>24</v>
      </c>
      <c r="G181" t="s">
        <v>25</v>
      </c>
      <c r="H181" t="s">
        <v>53</v>
      </c>
      <c r="I181" t="s">
        <v>20</v>
      </c>
      <c r="J181">
        <v>3</v>
      </c>
      <c r="K181">
        <v>355</v>
      </c>
      <c r="L181">
        <v>1065</v>
      </c>
      <c r="M181">
        <v>28</v>
      </c>
      <c r="N181" t="s">
        <v>21</v>
      </c>
      <c r="O181">
        <v>5</v>
      </c>
      <c r="P181" s="2">
        <f>EOMONTH(Table1[[#This Row],[Order_Date]],0)</f>
        <v>45535</v>
      </c>
      <c r="Q181" s="3">
        <f>WEEKNUM(Table1[[#This Row],[Order_Date]])</f>
        <v>32</v>
      </c>
      <c r="R181">
        <f>YEAR(Table1[[#This Row],[Order_Date]])</f>
        <v>2024</v>
      </c>
      <c r="S181" t="str">
        <f>IF(Table1[[#This Row],[Quantity]]&gt;=3,"Promo","Regular")</f>
        <v>Promo</v>
      </c>
    </row>
    <row r="182" spans="1:19" x14ac:dyDescent="0.35">
      <c r="A182" t="s">
        <v>1866</v>
      </c>
      <c r="B182" t="s">
        <v>255</v>
      </c>
      <c r="C182" s="1">
        <v>45417</v>
      </c>
      <c r="D182" t="s">
        <v>43</v>
      </c>
      <c r="E182" t="s">
        <v>93</v>
      </c>
      <c r="F182" t="s">
        <v>35</v>
      </c>
      <c r="G182" t="s">
        <v>31</v>
      </c>
      <c r="H182" t="s">
        <v>66</v>
      </c>
      <c r="I182" t="s">
        <v>20</v>
      </c>
      <c r="J182">
        <v>5</v>
      </c>
      <c r="K182">
        <v>118</v>
      </c>
      <c r="L182">
        <v>590</v>
      </c>
      <c r="M182">
        <v>43</v>
      </c>
      <c r="N182" t="s">
        <v>33</v>
      </c>
      <c r="O182">
        <v>4.2</v>
      </c>
      <c r="P182" s="2">
        <f>EOMONTH(Table1[[#This Row],[Order_Date]],0)</f>
        <v>45443</v>
      </c>
      <c r="Q182" s="3">
        <f>WEEKNUM(Table1[[#This Row],[Order_Date]])</f>
        <v>19</v>
      </c>
      <c r="R182">
        <f>YEAR(Table1[[#This Row],[Order_Date]])</f>
        <v>2024</v>
      </c>
      <c r="S182" t="str">
        <f>IF(Table1[[#This Row],[Quantity]]&gt;=3,"Promo","Regular")</f>
        <v>Promo</v>
      </c>
    </row>
    <row r="183" spans="1:19" x14ac:dyDescent="0.35">
      <c r="A183" t="s">
        <v>1866</v>
      </c>
      <c r="B183" t="s">
        <v>256</v>
      </c>
      <c r="C183" s="1">
        <v>45470</v>
      </c>
      <c r="D183" t="s">
        <v>57</v>
      </c>
      <c r="E183" t="s">
        <v>75</v>
      </c>
      <c r="F183" t="s">
        <v>65</v>
      </c>
      <c r="G183" t="s">
        <v>36</v>
      </c>
      <c r="H183" t="s">
        <v>37</v>
      </c>
      <c r="I183" t="s">
        <v>20</v>
      </c>
      <c r="J183">
        <v>2</v>
      </c>
      <c r="K183">
        <v>412</v>
      </c>
      <c r="L183">
        <v>824</v>
      </c>
      <c r="M183">
        <v>32</v>
      </c>
      <c r="N183" t="s">
        <v>21</v>
      </c>
      <c r="O183">
        <v>4.0999999999999996</v>
      </c>
      <c r="P183" s="2">
        <f>EOMONTH(Table1[[#This Row],[Order_Date]],0)</f>
        <v>45473</v>
      </c>
      <c r="Q183" s="3">
        <f>WEEKNUM(Table1[[#This Row],[Order_Date]])</f>
        <v>26</v>
      </c>
      <c r="R183">
        <f>YEAR(Table1[[#This Row],[Order_Date]])</f>
        <v>2024</v>
      </c>
      <c r="S183" t="str">
        <f>IF(Table1[[#This Row],[Quantity]]&gt;=3,"Promo","Regular")</f>
        <v>Regular</v>
      </c>
    </row>
    <row r="184" spans="1:19" x14ac:dyDescent="0.35">
      <c r="A184" t="s">
        <v>1866</v>
      </c>
      <c r="B184" t="s">
        <v>257</v>
      </c>
      <c r="C184" s="1">
        <v>45401</v>
      </c>
      <c r="D184" t="s">
        <v>48</v>
      </c>
      <c r="E184" t="s">
        <v>49</v>
      </c>
      <c r="F184" t="s">
        <v>17</v>
      </c>
      <c r="G184" t="s">
        <v>36</v>
      </c>
      <c r="H184" t="s">
        <v>19</v>
      </c>
      <c r="I184" t="s">
        <v>20</v>
      </c>
      <c r="J184">
        <v>3</v>
      </c>
      <c r="K184">
        <v>317</v>
      </c>
      <c r="L184">
        <v>951</v>
      </c>
      <c r="M184">
        <v>58</v>
      </c>
      <c r="N184" t="s">
        <v>38</v>
      </c>
      <c r="O184">
        <v>3.7</v>
      </c>
      <c r="P184" s="2">
        <f>EOMONTH(Table1[[#This Row],[Order_Date]],0)</f>
        <v>45412</v>
      </c>
      <c r="Q184" s="3">
        <f>WEEKNUM(Table1[[#This Row],[Order_Date]])</f>
        <v>16</v>
      </c>
      <c r="R184">
        <f>YEAR(Table1[[#This Row],[Order_Date]])</f>
        <v>2024</v>
      </c>
      <c r="S184" t="str">
        <f>IF(Table1[[#This Row],[Quantity]]&gt;=3,"Promo","Regular")</f>
        <v>Promo</v>
      </c>
    </row>
    <row r="185" spans="1:19" x14ac:dyDescent="0.35">
      <c r="A185" t="s">
        <v>1867</v>
      </c>
      <c r="B185" t="s">
        <v>258</v>
      </c>
      <c r="C185" s="1">
        <v>45432</v>
      </c>
      <c r="D185" t="s">
        <v>57</v>
      </c>
      <c r="E185" t="s">
        <v>105</v>
      </c>
      <c r="F185" t="s">
        <v>17</v>
      </c>
      <c r="G185" t="s">
        <v>25</v>
      </c>
      <c r="H185" t="s">
        <v>55</v>
      </c>
      <c r="I185" t="s">
        <v>20</v>
      </c>
      <c r="J185">
        <v>5</v>
      </c>
      <c r="K185">
        <v>339</v>
      </c>
      <c r="L185">
        <v>1695</v>
      </c>
      <c r="M185">
        <v>59</v>
      </c>
      <c r="N185" t="s">
        <v>21</v>
      </c>
      <c r="O185">
        <v>4.0999999999999996</v>
      </c>
      <c r="P185" s="2">
        <f>EOMONTH(Table1[[#This Row],[Order_Date]],0)</f>
        <v>45443</v>
      </c>
      <c r="Q185" s="3">
        <f>WEEKNUM(Table1[[#This Row],[Order_Date]])</f>
        <v>21</v>
      </c>
      <c r="R185">
        <f>YEAR(Table1[[#This Row],[Order_Date]])</f>
        <v>2024</v>
      </c>
      <c r="S185" t="str">
        <f>IF(Table1[[#This Row],[Quantity]]&gt;=3,"Promo","Regular")</f>
        <v>Promo</v>
      </c>
    </row>
    <row r="186" spans="1:19" x14ac:dyDescent="0.35">
      <c r="A186" t="s">
        <v>1867</v>
      </c>
      <c r="B186" t="s">
        <v>259</v>
      </c>
      <c r="C186" s="1">
        <v>45570</v>
      </c>
      <c r="D186" t="s">
        <v>57</v>
      </c>
      <c r="E186" t="s">
        <v>58</v>
      </c>
      <c r="F186" t="s">
        <v>72</v>
      </c>
      <c r="G186" t="s">
        <v>25</v>
      </c>
      <c r="H186" t="s">
        <v>53</v>
      </c>
      <c r="I186" t="s">
        <v>20</v>
      </c>
      <c r="J186">
        <v>4</v>
      </c>
      <c r="K186">
        <v>480</v>
      </c>
      <c r="L186">
        <v>1920</v>
      </c>
      <c r="M186">
        <v>44</v>
      </c>
      <c r="N186" t="s">
        <v>38</v>
      </c>
      <c r="O186">
        <v>3.8</v>
      </c>
      <c r="P186" s="2">
        <f>EOMONTH(Table1[[#This Row],[Order_Date]],0)</f>
        <v>45596</v>
      </c>
      <c r="Q186" s="3">
        <f>WEEKNUM(Table1[[#This Row],[Order_Date]])</f>
        <v>40</v>
      </c>
      <c r="R186">
        <f>YEAR(Table1[[#This Row],[Order_Date]])</f>
        <v>2024</v>
      </c>
      <c r="S186" t="str">
        <f>IF(Table1[[#This Row],[Quantity]]&gt;=3,"Promo","Regular")</f>
        <v>Promo</v>
      </c>
    </row>
    <row r="187" spans="1:19" x14ac:dyDescent="0.35">
      <c r="A187" t="s">
        <v>1868</v>
      </c>
      <c r="B187" t="s">
        <v>260</v>
      </c>
      <c r="C187" s="1">
        <v>45453</v>
      </c>
      <c r="D187" t="s">
        <v>48</v>
      </c>
      <c r="E187" t="s">
        <v>132</v>
      </c>
      <c r="F187" t="s">
        <v>17</v>
      </c>
      <c r="G187" t="s">
        <v>18</v>
      </c>
      <c r="H187" t="s">
        <v>37</v>
      </c>
      <c r="I187" t="s">
        <v>20</v>
      </c>
      <c r="J187">
        <v>4</v>
      </c>
      <c r="K187">
        <v>410</v>
      </c>
      <c r="L187">
        <v>1640</v>
      </c>
      <c r="M187">
        <v>59</v>
      </c>
      <c r="N187" t="s">
        <v>21</v>
      </c>
      <c r="O187">
        <v>4.9000000000000004</v>
      </c>
      <c r="P187" s="2">
        <f>EOMONTH(Table1[[#This Row],[Order_Date]],0)</f>
        <v>45473</v>
      </c>
      <c r="Q187" s="3">
        <f>WEEKNUM(Table1[[#This Row],[Order_Date]])</f>
        <v>24</v>
      </c>
      <c r="R187">
        <f>YEAR(Table1[[#This Row],[Order_Date]])</f>
        <v>2024</v>
      </c>
      <c r="S187" t="str">
        <f>IF(Table1[[#This Row],[Quantity]]&gt;=3,"Promo","Regular")</f>
        <v>Promo</v>
      </c>
    </row>
    <row r="188" spans="1:19" x14ac:dyDescent="0.35">
      <c r="A188" t="s">
        <v>1868</v>
      </c>
      <c r="B188" t="s">
        <v>261</v>
      </c>
      <c r="C188" s="1">
        <v>45543</v>
      </c>
      <c r="D188" t="s">
        <v>43</v>
      </c>
      <c r="E188" t="s">
        <v>44</v>
      </c>
      <c r="F188" t="s">
        <v>17</v>
      </c>
      <c r="G188" t="s">
        <v>73</v>
      </c>
      <c r="H188" t="s">
        <v>32</v>
      </c>
      <c r="I188" t="s">
        <v>20</v>
      </c>
      <c r="J188">
        <v>2</v>
      </c>
      <c r="K188">
        <v>349</v>
      </c>
      <c r="L188">
        <v>698</v>
      </c>
      <c r="M188">
        <v>28</v>
      </c>
      <c r="N188" t="s">
        <v>38</v>
      </c>
      <c r="O188">
        <v>4.3</v>
      </c>
      <c r="P188" s="2">
        <f>EOMONTH(Table1[[#This Row],[Order_Date]],0)</f>
        <v>45565</v>
      </c>
      <c r="Q188" s="3">
        <f>WEEKNUM(Table1[[#This Row],[Order_Date]])</f>
        <v>37</v>
      </c>
      <c r="R188">
        <f>YEAR(Table1[[#This Row],[Order_Date]])</f>
        <v>2024</v>
      </c>
      <c r="S188" t="str">
        <f>IF(Table1[[#This Row],[Quantity]]&gt;=3,"Promo","Regular")</f>
        <v>Regular</v>
      </c>
    </row>
    <row r="189" spans="1:19" x14ac:dyDescent="0.35">
      <c r="A189" t="s">
        <v>1869</v>
      </c>
      <c r="B189" t="s">
        <v>262</v>
      </c>
      <c r="C189" s="1">
        <v>45477</v>
      </c>
      <c r="D189" t="s">
        <v>48</v>
      </c>
      <c r="E189" t="s">
        <v>127</v>
      </c>
      <c r="F189" t="s">
        <v>24</v>
      </c>
      <c r="G189" t="s">
        <v>46</v>
      </c>
      <c r="H189" t="s">
        <v>59</v>
      </c>
      <c r="I189" t="s">
        <v>60</v>
      </c>
      <c r="J189">
        <v>2</v>
      </c>
      <c r="K189">
        <v>341</v>
      </c>
      <c r="L189">
        <v>682</v>
      </c>
      <c r="M189">
        <v>50</v>
      </c>
      <c r="N189" t="s">
        <v>33</v>
      </c>
      <c r="O189">
        <v>3.1</v>
      </c>
      <c r="P189" s="2">
        <f>EOMONTH(Table1[[#This Row],[Order_Date]],0)</f>
        <v>45504</v>
      </c>
      <c r="Q189" s="3">
        <f>WEEKNUM(Table1[[#This Row],[Order_Date]])</f>
        <v>27</v>
      </c>
      <c r="R189">
        <f>YEAR(Table1[[#This Row],[Order_Date]])</f>
        <v>2024</v>
      </c>
      <c r="S189" t="str">
        <f>IF(Table1[[#This Row],[Quantity]]&gt;=3,"Promo","Regular")</f>
        <v>Regular</v>
      </c>
    </row>
    <row r="190" spans="1:19" x14ac:dyDescent="0.35">
      <c r="A190" t="s">
        <v>1869</v>
      </c>
      <c r="B190" t="s">
        <v>263</v>
      </c>
      <c r="C190" s="1">
        <v>45369</v>
      </c>
      <c r="D190" t="s">
        <v>28</v>
      </c>
      <c r="E190" t="s">
        <v>77</v>
      </c>
      <c r="F190" t="s">
        <v>35</v>
      </c>
      <c r="G190" t="s">
        <v>31</v>
      </c>
      <c r="H190" t="s">
        <v>59</v>
      </c>
      <c r="I190" t="s">
        <v>60</v>
      </c>
      <c r="J190">
        <v>4</v>
      </c>
      <c r="K190">
        <v>468</v>
      </c>
      <c r="L190">
        <v>1872</v>
      </c>
      <c r="M190">
        <v>33</v>
      </c>
      <c r="N190" t="s">
        <v>21</v>
      </c>
      <c r="O190">
        <v>3.4</v>
      </c>
      <c r="P190" s="2">
        <f>EOMONTH(Table1[[#This Row],[Order_Date]],0)</f>
        <v>45382</v>
      </c>
      <c r="Q190" s="3">
        <f>WEEKNUM(Table1[[#This Row],[Order_Date]])</f>
        <v>12</v>
      </c>
      <c r="R190">
        <f>YEAR(Table1[[#This Row],[Order_Date]])</f>
        <v>2024</v>
      </c>
      <c r="S190" t="str">
        <f>IF(Table1[[#This Row],[Quantity]]&gt;=3,"Promo","Regular")</f>
        <v>Promo</v>
      </c>
    </row>
    <row r="191" spans="1:19" x14ac:dyDescent="0.35">
      <c r="A191" t="s">
        <v>1869</v>
      </c>
      <c r="B191" t="s">
        <v>264</v>
      </c>
      <c r="C191" s="1">
        <v>45507</v>
      </c>
      <c r="D191" t="s">
        <v>48</v>
      </c>
      <c r="E191" t="s">
        <v>68</v>
      </c>
      <c r="F191" t="s">
        <v>30</v>
      </c>
      <c r="G191" t="s">
        <v>46</v>
      </c>
      <c r="H191" t="s">
        <v>50</v>
      </c>
      <c r="I191" t="s">
        <v>20</v>
      </c>
      <c r="J191">
        <v>1</v>
      </c>
      <c r="K191">
        <v>260</v>
      </c>
      <c r="L191">
        <v>260</v>
      </c>
      <c r="M191">
        <v>59</v>
      </c>
      <c r="N191" t="s">
        <v>33</v>
      </c>
      <c r="O191">
        <v>4</v>
      </c>
      <c r="P191" s="2">
        <f>EOMONTH(Table1[[#This Row],[Order_Date]],0)</f>
        <v>45535</v>
      </c>
      <c r="Q191" s="3">
        <f>WEEKNUM(Table1[[#This Row],[Order_Date]])</f>
        <v>31</v>
      </c>
      <c r="R191">
        <f>YEAR(Table1[[#This Row],[Order_Date]])</f>
        <v>2024</v>
      </c>
      <c r="S191" t="str">
        <f>IF(Table1[[#This Row],[Quantity]]&gt;=3,"Promo","Regular")</f>
        <v>Regular</v>
      </c>
    </row>
    <row r="192" spans="1:19" x14ac:dyDescent="0.35">
      <c r="A192" t="s">
        <v>1869</v>
      </c>
      <c r="B192" t="s">
        <v>265</v>
      </c>
      <c r="C192" s="1">
        <v>45539</v>
      </c>
      <c r="D192" t="s">
        <v>28</v>
      </c>
      <c r="E192" t="s">
        <v>71</v>
      </c>
      <c r="F192" t="s">
        <v>41</v>
      </c>
      <c r="G192" t="s">
        <v>31</v>
      </c>
      <c r="H192" t="s">
        <v>50</v>
      </c>
      <c r="I192" t="s">
        <v>20</v>
      </c>
      <c r="J192">
        <v>4</v>
      </c>
      <c r="K192">
        <v>374</v>
      </c>
      <c r="L192">
        <v>1496</v>
      </c>
      <c r="M192">
        <v>47</v>
      </c>
      <c r="N192" t="s">
        <v>21</v>
      </c>
      <c r="O192">
        <v>4.2</v>
      </c>
      <c r="P192" s="2">
        <f>EOMONTH(Table1[[#This Row],[Order_Date]],0)</f>
        <v>45565</v>
      </c>
      <c r="Q192" s="3">
        <f>WEEKNUM(Table1[[#This Row],[Order_Date]])</f>
        <v>36</v>
      </c>
      <c r="R192">
        <f>YEAR(Table1[[#This Row],[Order_Date]])</f>
        <v>2024</v>
      </c>
      <c r="S192" t="str">
        <f>IF(Table1[[#This Row],[Quantity]]&gt;=3,"Promo","Regular")</f>
        <v>Promo</v>
      </c>
    </row>
    <row r="193" spans="1:19" x14ac:dyDescent="0.35">
      <c r="A193" t="s">
        <v>1869</v>
      </c>
      <c r="B193" t="s">
        <v>266</v>
      </c>
      <c r="C193" s="1">
        <v>45304</v>
      </c>
      <c r="D193" t="s">
        <v>28</v>
      </c>
      <c r="E193" t="s">
        <v>98</v>
      </c>
      <c r="F193" t="s">
        <v>69</v>
      </c>
      <c r="G193" t="s">
        <v>73</v>
      </c>
      <c r="H193" t="s">
        <v>59</v>
      </c>
      <c r="I193" t="s">
        <v>60</v>
      </c>
      <c r="J193">
        <v>3</v>
      </c>
      <c r="K193">
        <v>266</v>
      </c>
      <c r="L193">
        <v>798</v>
      </c>
      <c r="M193">
        <v>60</v>
      </c>
      <c r="N193" t="s">
        <v>21</v>
      </c>
      <c r="O193">
        <v>4.0999999999999996</v>
      </c>
      <c r="P193" s="2">
        <f>EOMONTH(Table1[[#This Row],[Order_Date]],0)</f>
        <v>45322</v>
      </c>
      <c r="Q193" s="3">
        <f>WEEKNUM(Table1[[#This Row],[Order_Date]])</f>
        <v>2</v>
      </c>
      <c r="R193">
        <f>YEAR(Table1[[#This Row],[Order_Date]])</f>
        <v>2024</v>
      </c>
      <c r="S193" t="str">
        <f>IF(Table1[[#This Row],[Quantity]]&gt;=3,"Promo","Regular")</f>
        <v>Promo</v>
      </c>
    </row>
    <row r="194" spans="1:19" x14ac:dyDescent="0.35">
      <c r="A194" t="s">
        <v>1870</v>
      </c>
      <c r="B194" t="s">
        <v>267</v>
      </c>
      <c r="C194" s="1">
        <v>45430</v>
      </c>
      <c r="D194" t="s">
        <v>43</v>
      </c>
      <c r="E194" t="s">
        <v>52</v>
      </c>
      <c r="F194" t="s">
        <v>17</v>
      </c>
      <c r="G194" t="s">
        <v>36</v>
      </c>
      <c r="H194" t="s">
        <v>120</v>
      </c>
      <c r="I194" t="s">
        <v>60</v>
      </c>
      <c r="J194">
        <v>2</v>
      </c>
      <c r="K194">
        <v>368</v>
      </c>
      <c r="L194">
        <v>736</v>
      </c>
      <c r="M194">
        <v>47</v>
      </c>
      <c r="N194" t="s">
        <v>38</v>
      </c>
      <c r="O194">
        <v>3.7</v>
      </c>
      <c r="P194" s="2">
        <f>EOMONTH(Table1[[#This Row],[Order_Date]],0)</f>
        <v>45443</v>
      </c>
      <c r="Q194" s="3">
        <f>WEEKNUM(Table1[[#This Row],[Order_Date]])</f>
        <v>20</v>
      </c>
      <c r="R194">
        <f>YEAR(Table1[[#This Row],[Order_Date]])</f>
        <v>2024</v>
      </c>
      <c r="S194" t="str">
        <f>IF(Table1[[#This Row],[Quantity]]&gt;=3,"Promo","Regular")</f>
        <v>Regular</v>
      </c>
    </row>
    <row r="195" spans="1:19" x14ac:dyDescent="0.35">
      <c r="A195" t="s">
        <v>1870</v>
      </c>
      <c r="B195" t="s">
        <v>268</v>
      </c>
      <c r="C195" s="1">
        <v>45484</v>
      </c>
      <c r="D195" t="s">
        <v>28</v>
      </c>
      <c r="E195" t="s">
        <v>71</v>
      </c>
      <c r="F195" t="s">
        <v>69</v>
      </c>
      <c r="G195" t="s">
        <v>31</v>
      </c>
      <c r="H195" t="s">
        <v>120</v>
      </c>
      <c r="I195" t="s">
        <v>60</v>
      </c>
      <c r="J195">
        <v>1</v>
      </c>
      <c r="K195">
        <v>131</v>
      </c>
      <c r="L195">
        <v>131</v>
      </c>
      <c r="M195">
        <v>45</v>
      </c>
      <c r="N195" t="s">
        <v>33</v>
      </c>
      <c r="O195">
        <v>3.8</v>
      </c>
      <c r="P195" s="2">
        <f>EOMONTH(Table1[[#This Row],[Order_Date]],0)</f>
        <v>45504</v>
      </c>
      <c r="Q195" s="3">
        <f>WEEKNUM(Table1[[#This Row],[Order_Date]])</f>
        <v>28</v>
      </c>
      <c r="R195">
        <f>YEAR(Table1[[#This Row],[Order_Date]])</f>
        <v>2024</v>
      </c>
      <c r="S195" t="str">
        <f>IF(Table1[[#This Row],[Quantity]]&gt;=3,"Promo","Regular")</f>
        <v>Regular</v>
      </c>
    </row>
    <row r="196" spans="1:19" x14ac:dyDescent="0.35">
      <c r="A196" t="s">
        <v>1870</v>
      </c>
      <c r="B196" t="s">
        <v>269</v>
      </c>
      <c r="C196" s="1">
        <v>45582</v>
      </c>
      <c r="D196" t="s">
        <v>28</v>
      </c>
      <c r="E196" t="s">
        <v>71</v>
      </c>
      <c r="F196" t="s">
        <v>30</v>
      </c>
      <c r="G196" t="s">
        <v>36</v>
      </c>
      <c r="H196" t="s">
        <v>120</v>
      </c>
      <c r="I196" t="s">
        <v>60</v>
      </c>
      <c r="J196">
        <v>1</v>
      </c>
      <c r="K196">
        <v>489</v>
      </c>
      <c r="L196">
        <v>489</v>
      </c>
      <c r="M196">
        <v>32</v>
      </c>
      <c r="N196" t="s">
        <v>21</v>
      </c>
      <c r="O196">
        <v>3.1</v>
      </c>
      <c r="P196" s="2">
        <f>EOMONTH(Table1[[#This Row],[Order_Date]],0)</f>
        <v>45596</v>
      </c>
      <c r="Q196" s="3">
        <f>WEEKNUM(Table1[[#This Row],[Order_Date]])</f>
        <v>42</v>
      </c>
      <c r="R196">
        <f>YEAR(Table1[[#This Row],[Order_Date]])</f>
        <v>2024</v>
      </c>
      <c r="S196" t="str">
        <f>IF(Table1[[#This Row],[Quantity]]&gt;=3,"Promo","Regular")</f>
        <v>Regular</v>
      </c>
    </row>
    <row r="197" spans="1:19" x14ac:dyDescent="0.35">
      <c r="A197" t="s">
        <v>1871</v>
      </c>
      <c r="B197" t="s">
        <v>270</v>
      </c>
      <c r="C197" s="1">
        <v>45540</v>
      </c>
      <c r="D197" t="s">
        <v>48</v>
      </c>
      <c r="E197" t="s">
        <v>68</v>
      </c>
      <c r="F197" t="s">
        <v>72</v>
      </c>
      <c r="G197" t="s">
        <v>73</v>
      </c>
      <c r="H197" t="s">
        <v>32</v>
      </c>
      <c r="I197" t="s">
        <v>20</v>
      </c>
      <c r="J197">
        <v>1</v>
      </c>
      <c r="K197">
        <v>451</v>
      </c>
      <c r="L197">
        <v>451</v>
      </c>
      <c r="M197">
        <v>21</v>
      </c>
      <c r="N197" t="s">
        <v>38</v>
      </c>
      <c r="O197">
        <v>4.3</v>
      </c>
      <c r="P197" s="2">
        <f>EOMONTH(Table1[[#This Row],[Order_Date]],0)</f>
        <v>45565</v>
      </c>
      <c r="Q197" s="3">
        <f>WEEKNUM(Table1[[#This Row],[Order_Date]])</f>
        <v>36</v>
      </c>
      <c r="R197">
        <f>YEAR(Table1[[#This Row],[Order_Date]])</f>
        <v>2024</v>
      </c>
      <c r="S197" t="str">
        <f>IF(Table1[[#This Row],[Quantity]]&gt;=3,"Promo","Regular")</f>
        <v>Regular</v>
      </c>
    </row>
    <row r="198" spans="1:19" x14ac:dyDescent="0.35">
      <c r="A198" t="s">
        <v>1871</v>
      </c>
      <c r="B198" t="s">
        <v>271</v>
      </c>
      <c r="C198" s="1">
        <v>45592</v>
      </c>
      <c r="D198" t="s">
        <v>15</v>
      </c>
      <c r="E198" t="s">
        <v>23</v>
      </c>
      <c r="F198" t="s">
        <v>17</v>
      </c>
      <c r="G198" t="s">
        <v>73</v>
      </c>
      <c r="H198" t="s">
        <v>59</v>
      </c>
      <c r="I198" t="s">
        <v>60</v>
      </c>
      <c r="J198">
        <v>3</v>
      </c>
      <c r="K198">
        <v>212</v>
      </c>
      <c r="L198">
        <v>636</v>
      </c>
      <c r="M198">
        <v>32</v>
      </c>
      <c r="N198" t="s">
        <v>21</v>
      </c>
      <c r="O198">
        <v>3</v>
      </c>
      <c r="P198" s="2">
        <f>EOMONTH(Table1[[#This Row],[Order_Date]],0)</f>
        <v>45596</v>
      </c>
      <c r="Q198" s="3">
        <f>WEEKNUM(Table1[[#This Row],[Order_Date]])</f>
        <v>44</v>
      </c>
      <c r="R198">
        <f>YEAR(Table1[[#This Row],[Order_Date]])</f>
        <v>2024</v>
      </c>
      <c r="S198" t="str">
        <f>IF(Table1[[#This Row],[Quantity]]&gt;=3,"Promo","Regular")</f>
        <v>Promo</v>
      </c>
    </row>
    <row r="199" spans="1:19" x14ac:dyDescent="0.35">
      <c r="A199" t="s">
        <v>1871</v>
      </c>
      <c r="B199" t="s">
        <v>272</v>
      </c>
      <c r="C199" s="1">
        <v>45504</v>
      </c>
      <c r="D199" t="s">
        <v>43</v>
      </c>
      <c r="E199" t="s">
        <v>93</v>
      </c>
      <c r="F199" t="s">
        <v>69</v>
      </c>
      <c r="G199" t="s">
        <v>31</v>
      </c>
      <c r="H199" t="s">
        <v>37</v>
      </c>
      <c r="I199" t="s">
        <v>20</v>
      </c>
      <c r="J199">
        <v>2</v>
      </c>
      <c r="K199">
        <v>104</v>
      </c>
      <c r="L199">
        <v>208</v>
      </c>
      <c r="M199">
        <v>29</v>
      </c>
      <c r="N199" t="s">
        <v>21</v>
      </c>
      <c r="O199">
        <v>3.4</v>
      </c>
      <c r="P199" s="2">
        <f>EOMONTH(Table1[[#This Row],[Order_Date]],0)</f>
        <v>45504</v>
      </c>
      <c r="Q199" s="3">
        <f>WEEKNUM(Table1[[#This Row],[Order_Date]])</f>
        <v>31</v>
      </c>
      <c r="R199">
        <f>YEAR(Table1[[#This Row],[Order_Date]])</f>
        <v>2024</v>
      </c>
      <c r="S199" t="str">
        <f>IF(Table1[[#This Row],[Quantity]]&gt;=3,"Promo","Regular")</f>
        <v>Regular</v>
      </c>
    </row>
    <row r="200" spans="1:19" x14ac:dyDescent="0.35">
      <c r="A200" t="s">
        <v>1871</v>
      </c>
      <c r="B200" t="s">
        <v>273</v>
      </c>
      <c r="C200" s="1">
        <v>45455</v>
      </c>
      <c r="D200" t="s">
        <v>43</v>
      </c>
      <c r="E200" t="s">
        <v>110</v>
      </c>
      <c r="F200" t="s">
        <v>72</v>
      </c>
      <c r="G200" t="s">
        <v>46</v>
      </c>
      <c r="H200" t="s">
        <v>32</v>
      </c>
      <c r="I200" t="s">
        <v>20</v>
      </c>
      <c r="J200">
        <v>2</v>
      </c>
      <c r="K200">
        <v>421</v>
      </c>
      <c r="L200">
        <v>842</v>
      </c>
      <c r="M200">
        <v>45</v>
      </c>
      <c r="N200" t="s">
        <v>33</v>
      </c>
      <c r="O200">
        <v>3.4</v>
      </c>
      <c r="P200" s="2">
        <f>EOMONTH(Table1[[#This Row],[Order_Date]],0)</f>
        <v>45473</v>
      </c>
      <c r="Q200" s="3">
        <f>WEEKNUM(Table1[[#This Row],[Order_Date]])</f>
        <v>24</v>
      </c>
      <c r="R200">
        <f>YEAR(Table1[[#This Row],[Order_Date]])</f>
        <v>2024</v>
      </c>
      <c r="S200" t="str">
        <f>IF(Table1[[#This Row],[Quantity]]&gt;=3,"Promo","Regular")</f>
        <v>Regular</v>
      </c>
    </row>
    <row r="201" spans="1:19" x14ac:dyDescent="0.35">
      <c r="A201" t="s">
        <v>1871</v>
      </c>
      <c r="B201" t="s">
        <v>274</v>
      </c>
      <c r="C201" s="1">
        <v>45343</v>
      </c>
      <c r="D201" t="s">
        <v>57</v>
      </c>
      <c r="E201" t="s">
        <v>58</v>
      </c>
      <c r="F201" t="s">
        <v>65</v>
      </c>
      <c r="G201" t="s">
        <v>25</v>
      </c>
      <c r="H201" t="s">
        <v>59</v>
      </c>
      <c r="I201" t="s">
        <v>60</v>
      </c>
      <c r="J201">
        <v>2</v>
      </c>
      <c r="K201">
        <v>190</v>
      </c>
      <c r="L201">
        <v>380</v>
      </c>
      <c r="M201">
        <v>55</v>
      </c>
      <c r="N201" t="s">
        <v>21</v>
      </c>
      <c r="O201">
        <v>3.1</v>
      </c>
      <c r="P201" s="2">
        <f>EOMONTH(Table1[[#This Row],[Order_Date]],0)</f>
        <v>45351</v>
      </c>
      <c r="Q201" s="3">
        <f>WEEKNUM(Table1[[#This Row],[Order_Date]])</f>
        <v>8</v>
      </c>
      <c r="R201">
        <f>YEAR(Table1[[#This Row],[Order_Date]])</f>
        <v>2024</v>
      </c>
      <c r="S201" t="str">
        <f>IF(Table1[[#This Row],[Quantity]]&gt;=3,"Promo","Regular")</f>
        <v>Regular</v>
      </c>
    </row>
    <row r="202" spans="1:19" x14ac:dyDescent="0.35">
      <c r="A202" t="s">
        <v>1872</v>
      </c>
      <c r="B202" t="s">
        <v>275</v>
      </c>
      <c r="C202" s="1">
        <v>45308</v>
      </c>
      <c r="D202" t="s">
        <v>57</v>
      </c>
      <c r="E202" t="s">
        <v>75</v>
      </c>
      <c r="F202" t="s">
        <v>24</v>
      </c>
      <c r="G202" t="s">
        <v>31</v>
      </c>
      <c r="H202" t="s">
        <v>66</v>
      </c>
      <c r="I202" t="s">
        <v>20</v>
      </c>
      <c r="J202">
        <v>3</v>
      </c>
      <c r="K202">
        <v>190</v>
      </c>
      <c r="L202">
        <v>570</v>
      </c>
      <c r="M202">
        <v>60</v>
      </c>
      <c r="N202" t="s">
        <v>33</v>
      </c>
      <c r="O202">
        <v>3.8</v>
      </c>
      <c r="P202" s="2">
        <f>EOMONTH(Table1[[#This Row],[Order_Date]],0)</f>
        <v>45322</v>
      </c>
      <c r="Q202" s="3">
        <f>WEEKNUM(Table1[[#This Row],[Order_Date]])</f>
        <v>3</v>
      </c>
      <c r="R202">
        <f>YEAR(Table1[[#This Row],[Order_Date]])</f>
        <v>2024</v>
      </c>
      <c r="S202" t="str">
        <f>IF(Table1[[#This Row],[Quantity]]&gt;=3,"Promo","Regular")</f>
        <v>Promo</v>
      </c>
    </row>
    <row r="203" spans="1:19" x14ac:dyDescent="0.35">
      <c r="A203" t="s">
        <v>1872</v>
      </c>
      <c r="B203" t="s">
        <v>276</v>
      </c>
      <c r="C203" s="1">
        <v>45381</v>
      </c>
      <c r="D203" t="s">
        <v>28</v>
      </c>
      <c r="E203" t="s">
        <v>98</v>
      </c>
      <c r="F203" t="s">
        <v>69</v>
      </c>
      <c r="G203" t="s">
        <v>25</v>
      </c>
      <c r="H203" t="s">
        <v>37</v>
      </c>
      <c r="I203" t="s">
        <v>20</v>
      </c>
      <c r="J203">
        <v>1</v>
      </c>
      <c r="K203">
        <v>150</v>
      </c>
      <c r="L203">
        <v>150</v>
      </c>
      <c r="M203">
        <v>47</v>
      </c>
      <c r="N203" t="s">
        <v>38</v>
      </c>
      <c r="O203">
        <v>4.9000000000000004</v>
      </c>
      <c r="P203" s="2">
        <f>EOMONTH(Table1[[#This Row],[Order_Date]],0)</f>
        <v>45382</v>
      </c>
      <c r="Q203" s="3">
        <f>WEEKNUM(Table1[[#This Row],[Order_Date]])</f>
        <v>13</v>
      </c>
      <c r="R203">
        <f>YEAR(Table1[[#This Row],[Order_Date]])</f>
        <v>2024</v>
      </c>
      <c r="S203" t="str">
        <f>IF(Table1[[#This Row],[Quantity]]&gt;=3,"Promo","Regular")</f>
        <v>Regular</v>
      </c>
    </row>
    <row r="204" spans="1:19" x14ac:dyDescent="0.35">
      <c r="A204" t="s">
        <v>1872</v>
      </c>
      <c r="B204" t="s">
        <v>277</v>
      </c>
      <c r="C204" s="1">
        <v>45550</v>
      </c>
      <c r="D204" t="s">
        <v>28</v>
      </c>
      <c r="E204" t="s">
        <v>98</v>
      </c>
      <c r="F204" t="s">
        <v>35</v>
      </c>
      <c r="G204" t="s">
        <v>46</v>
      </c>
      <c r="H204" t="s">
        <v>50</v>
      </c>
      <c r="I204" t="s">
        <v>20</v>
      </c>
      <c r="J204">
        <v>2</v>
      </c>
      <c r="K204">
        <v>337</v>
      </c>
      <c r="L204">
        <v>674</v>
      </c>
      <c r="M204">
        <v>32</v>
      </c>
      <c r="N204" t="s">
        <v>38</v>
      </c>
      <c r="O204">
        <v>4.8</v>
      </c>
      <c r="P204" s="2">
        <f>EOMONTH(Table1[[#This Row],[Order_Date]],0)</f>
        <v>45565</v>
      </c>
      <c r="Q204" s="3">
        <f>WEEKNUM(Table1[[#This Row],[Order_Date]])</f>
        <v>38</v>
      </c>
      <c r="R204">
        <f>YEAR(Table1[[#This Row],[Order_Date]])</f>
        <v>2024</v>
      </c>
      <c r="S204" t="str">
        <f>IF(Table1[[#This Row],[Quantity]]&gt;=3,"Promo","Regular")</f>
        <v>Regular</v>
      </c>
    </row>
    <row r="205" spans="1:19" x14ac:dyDescent="0.35">
      <c r="A205" t="s">
        <v>1873</v>
      </c>
      <c r="B205" t="s">
        <v>278</v>
      </c>
      <c r="C205" s="1">
        <v>45475</v>
      </c>
      <c r="D205" t="s">
        <v>28</v>
      </c>
      <c r="E205" t="s">
        <v>71</v>
      </c>
      <c r="F205" t="s">
        <v>35</v>
      </c>
      <c r="G205" t="s">
        <v>25</v>
      </c>
      <c r="H205" t="s">
        <v>19</v>
      </c>
      <c r="I205" t="s">
        <v>20</v>
      </c>
      <c r="J205">
        <v>2</v>
      </c>
      <c r="K205">
        <v>408</v>
      </c>
      <c r="L205">
        <v>816</v>
      </c>
      <c r="M205">
        <v>38</v>
      </c>
      <c r="N205" t="s">
        <v>21</v>
      </c>
      <c r="O205">
        <v>3.4</v>
      </c>
      <c r="P205" s="2">
        <f>EOMONTH(Table1[[#This Row],[Order_Date]],0)</f>
        <v>45504</v>
      </c>
      <c r="Q205" s="3">
        <f>WEEKNUM(Table1[[#This Row],[Order_Date]])</f>
        <v>27</v>
      </c>
      <c r="R205">
        <f>YEAR(Table1[[#This Row],[Order_Date]])</f>
        <v>2024</v>
      </c>
      <c r="S205" t="str">
        <f>IF(Table1[[#This Row],[Quantity]]&gt;=3,"Promo","Regular")</f>
        <v>Regular</v>
      </c>
    </row>
    <row r="206" spans="1:19" x14ac:dyDescent="0.35">
      <c r="A206" t="s">
        <v>1873</v>
      </c>
      <c r="B206" t="s">
        <v>279</v>
      </c>
      <c r="C206" s="1">
        <v>45315</v>
      </c>
      <c r="D206" t="s">
        <v>48</v>
      </c>
      <c r="E206" t="s">
        <v>49</v>
      </c>
      <c r="F206" t="s">
        <v>45</v>
      </c>
      <c r="G206" t="s">
        <v>73</v>
      </c>
      <c r="H206" t="s">
        <v>120</v>
      </c>
      <c r="I206" t="s">
        <v>60</v>
      </c>
      <c r="J206">
        <v>3</v>
      </c>
      <c r="K206">
        <v>412</v>
      </c>
      <c r="L206">
        <v>1236</v>
      </c>
      <c r="M206">
        <v>38</v>
      </c>
      <c r="N206" t="s">
        <v>33</v>
      </c>
      <c r="O206">
        <v>3.2</v>
      </c>
      <c r="P206" s="2">
        <f>EOMONTH(Table1[[#This Row],[Order_Date]],0)</f>
        <v>45322</v>
      </c>
      <c r="Q206" s="3">
        <f>WEEKNUM(Table1[[#This Row],[Order_Date]])</f>
        <v>4</v>
      </c>
      <c r="R206">
        <f>YEAR(Table1[[#This Row],[Order_Date]])</f>
        <v>2024</v>
      </c>
      <c r="S206" t="str">
        <f>IF(Table1[[#This Row],[Quantity]]&gt;=3,"Promo","Regular")</f>
        <v>Promo</v>
      </c>
    </row>
    <row r="207" spans="1:19" x14ac:dyDescent="0.35">
      <c r="A207" t="s">
        <v>1873</v>
      </c>
      <c r="B207" t="s">
        <v>280</v>
      </c>
      <c r="C207" s="1">
        <v>45427</v>
      </c>
      <c r="D207" t="s">
        <v>48</v>
      </c>
      <c r="E207" t="s">
        <v>49</v>
      </c>
      <c r="F207" t="s">
        <v>45</v>
      </c>
      <c r="G207" t="s">
        <v>25</v>
      </c>
      <c r="H207" t="s">
        <v>53</v>
      </c>
      <c r="I207" t="s">
        <v>20</v>
      </c>
      <c r="J207">
        <v>3</v>
      </c>
      <c r="K207">
        <v>117</v>
      </c>
      <c r="L207">
        <v>351</v>
      </c>
      <c r="M207">
        <v>25</v>
      </c>
      <c r="N207" t="s">
        <v>38</v>
      </c>
      <c r="O207">
        <v>3.8</v>
      </c>
      <c r="P207" s="2">
        <f>EOMONTH(Table1[[#This Row],[Order_Date]],0)</f>
        <v>45443</v>
      </c>
      <c r="Q207" s="3">
        <f>WEEKNUM(Table1[[#This Row],[Order_Date]])</f>
        <v>20</v>
      </c>
      <c r="R207">
        <f>YEAR(Table1[[#This Row],[Order_Date]])</f>
        <v>2024</v>
      </c>
      <c r="S207" t="str">
        <f>IF(Table1[[#This Row],[Quantity]]&gt;=3,"Promo","Regular")</f>
        <v>Promo</v>
      </c>
    </row>
    <row r="208" spans="1:19" x14ac:dyDescent="0.35">
      <c r="A208" t="s">
        <v>1873</v>
      </c>
      <c r="B208" t="s">
        <v>281</v>
      </c>
      <c r="C208" s="1">
        <v>45447</v>
      </c>
      <c r="D208" t="s">
        <v>48</v>
      </c>
      <c r="E208" t="s">
        <v>127</v>
      </c>
      <c r="F208" t="s">
        <v>85</v>
      </c>
      <c r="G208" t="s">
        <v>46</v>
      </c>
      <c r="H208" t="s">
        <v>53</v>
      </c>
      <c r="I208" t="s">
        <v>20</v>
      </c>
      <c r="J208">
        <v>4</v>
      </c>
      <c r="K208">
        <v>389</v>
      </c>
      <c r="L208">
        <v>1556</v>
      </c>
      <c r="M208">
        <v>33</v>
      </c>
      <c r="N208" t="s">
        <v>21</v>
      </c>
      <c r="O208">
        <v>4.4000000000000004</v>
      </c>
      <c r="P208" s="2">
        <f>EOMONTH(Table1[[#This Row],[Order_Date]],0)</f>
        <v>45473</v>
      </c>
      <c r="Q208" s="3">
        <f>WEEKNUM(Table1[[#This Row],[Order_Date]])</f>
        <v>23</v>
      </c>
      <c r="R208">
        <f>YEAR(Table1[[#This Row],[Order_Date]])</f>
        <v>2024</v>
      </c>
      <c r="S208" t="str">
        <f>IF(Table1[[#This Row],[Quantity]]&gt;=3,"Promo","Regular")</f>
        <v>Promo</v>
      </c>
    </row>
    <row r="209" spans="1:19" x14ac:dyDescent="0.35">
      <c r="A209" t="s">
        <v>1874</v>
      </c>
      <c r="B209" t="s">
        <v>282</v>
      </c>
      <c r="C209" s="1">
        <v>45511</v>
      </c>
      <c r="D209" t="s">
        <v>57</v>
      </c>
      <c r="E209" t="s">
        <v>62</v>
      </c>
      <c r="F209" t="s">
        <v>17</v>
      </c>
      <c r="G209" t="s">
        <v>31</v>
      </c>
      <c r="H209" t="s">
        <v>66</v>
      </c>
      <c r="I209" t="s">
        <v>20</v>
      </c>
      <c r="J209">
        <v>3</v>
      </c>
      <c r="K209">
        <v>395</v>
      </c>
      <c r="L209">
        <v>1185</v>
      </c>
      <c r="M209">
        <v>21</v>
      </c>
      <c r="N209" t="s">
        <v>33</v>
      </c>
      <c r="O209">
        <v>4.4000000000000004</v>
      </c>
      <c r="P209" s="2">
        <f>EOMONTH(Table1[[#This Row],[Order_Date]],0)</f>
        <v>45535</v>
      </c>
      <c r="Q209" s="3">
        <f>WEEKNUM(Table1[[#This Row],[Order_Date]])</f>
        <v>32</v>
      </c>
      <c r="R209">
        <f>YEAR(Table1[[#This Row],[Order_Date]])</f>
        <v>2024</v>
      </c>
      <c r="S209" t="str">
        <f>IF(Table1[[#This Row],[Quantity]]&gt;=3,"Promo","Regular")</f>
        <v>Promo</v>
      </c>
    </row>
    <row r="210" spans="1:19" x14ac:dyDescent="0.35">
      <c r="A210" t="s">
        <v>1874</v>
      </c>
      <c r="B210" t="s">
        <v>283</v>
      </c>
      <c r="C210" s="1">
        <v>45529</v>
      </c>
      <c r="D210" t="s">
        <v>15</v>
      </c>
      <c r="E210" t="s">
        <v>23</v>
      </c>
      <c r="F210" t="s">
        <v>30</v>
      </c>
      <c r="G210" t="s">
        <v>46</v>
      </c>
      <c r="H210" t="s">
        <v>50</v>
      </c>
      <c r="I210" t="s">
        <v>20</v>
      </c>
      <c r="J210">
        <v>2</v>
      </c>
      <c r="K210">
        <v>229</v>
      </c>
      <c r="L210">
        <v>458</v>
      </c>
      <c r="M210">
        <v>35</v>
      </c>
      <c r="N210" t="s">
        <v>21</v>
      </c>
      <c r="O210">
        <v>4.2</v>
      </c>
      <c r="P210" s="2">
        <f>EOMONTH(Table1[[#This Row],[Order_Date]],0)</f>
        <v>45535</v>
      </c>
      <c r="Q210" s="3">
        <f>WEEKNUM(Table1[[#This Row],[Order_Date]])</f>
        <v>35</v>
      </c>
      <c r="R210">
        <f>YEAR(Table1[[#This Row],[Order_Date]])</f>
        <v>2024</v>
      </c>
      <c r="S210" t="str">
        <f>IF(Table1[[#This Row],[Quantity]]&gt;=3,"Promo","Regular")</f>
        <v>Regular</v>
      </c>
    </row>
    <row r="211" spans="1:19" x14ac:dyDescent="0.35">
      <c r="A211" t="s">
        <v>1875</v>
      </c>
      <c r="B211" t="s">
        <v>284</v>
      </c>
      <c r="C211" s="1">
        <v>45547</v>
      </c>
      <c r="D211" t="s">
        <v>57</v>
      </c>
      <c r="E211" t="s">
        <v>136</v>
      </c>
      <c r="F211" t="s">
        <v>35</v>
      </c>
      <c r="G211" t="s">
        <v>25</v>
      </c>
      <c r="H211" t="s">
        <v>32</v>
      </c>
      <c r="I211" t="s">
        <v>20</v>
      </c>
      <c r="J211">
        <v>4</v>
      </c>
      <c r="K211">
        <v>397</v>
      </c>
      <c r="L211">
        <v>1588</v>
      </c>
      <c r="M211">
        <v>26</v>
      </c>
      <c r="N211" t="s">
        <v>21</v>
      </c>
      <c r="O211">
        <v>3.7</v>
      </c>
      <c r="P211" s="2">
        <f>EOMONTH(Table1[[#This Row],[Order_Date]],0)</f>
        <v>45565</v>
      </c>
      <c r="Q211" s="3">
        <f>WEEKNUM(Table1[[#This Row],[Order_Date]])</f>
        <v>37</v>
      </c>
      <c r="R211">
        <f>YEAR(Table1[[#This Row],[Order_Date]])</f>
        <v>2024</v>
      </c>
      <c r="S211" t="str">
        <f>IF(Table1[[#This Row],[Quantity]]&gt;=3,"Promo","Regular")</f>
        <v>Promo</v>
      </c>
    </row>
    <row r="212" spans="1:19" x14ac:dyDescent="0.35">
      <c r="A212" t="s">
        <v>1875</v>
      </c>
      <c r="B212" t="s">
        <v>285</v>
      </c>
      <c r="C212" s="1">
        <v>45295</v>
      </c>
      <c r="D212" t="s">
        <v>48</v>
      </c>
      <c r="E212" t="s">
        <v>49</v>
      </c>
      <c r="F212" t="s">
        <v>69</v>
      </c>
      <c r="G212" t="s">
        <v>25</v>
      </c>
      <c r="H212" t="s">
        <v>19</v>
      </c>
      <c r="I212" t="s">
        <v>20</v>
      </c>
      <c r="J212">
        <v>3</v>
      </c>
      <c r="K212">
        <v>208</v>
      </c>
      <c r="L212">
        <v>624</v>
      </c>
      <c r="M212">
        <v>57</v>
      </c>
      <c r="N212" t="s">
        <v>33</v>
      </c>
      <c r="O212">
        <v>3.2</v>
      </c>
      <c r="P212" s="2">
        <f>EOMONTH(Table1[[#This Row],[Order_Date]],0)</f>
        <v>45322</v>
      </c>
      <c r="Q212" s="3">
        <f>WEEKNUM(Table1[[#This Row],[Order_Date]])</f>
        <v>1</v>
      </c>
      <c r="R212">
        <f>YEAR(Table1[[#This Row],[Order_Date]])</f>
        <v>2024</v>
      </c>
      <c r="S212" t="str">
        <f>IF(Table1[[#This Row],[Quantity]]&gt;=3,"Promo","Regular")</f>
        <v>Promo</v>
      </c>
    </row>
    <row r="213" spans="1:19" x14ac:dyDescent="0.35">
      <c r="A213" t="s">
        <v>1875</v>
      </c>
      <c r="B213" t="s">
        <v>286</v>
      </c>
      <c r="C213" s="1">
        <v>45499</v>
      </c>
      <c r="D213" t="s">
        <v>15</v>
      </c>
      <c r="E213" t="s">
        <v>103</v>
      </c>
      <c r="F213" t="s">
        <v>30</v>
      </c>
      <c r="G213" t="s">
        <v>46</v>
      </c>
      <c r="H213" t="s">
        <v>50</v>
      </c>
      <c r="I213" t="s">
        <v>20</v>
      </c>
      <c r="J213">
        <v>5</v>
      </c>
      <c r="K213">
        <v>347</v>
      </c>
      <c r="L213">
        <v>1735</v>
      </c>
      <c r="M213">
        <v>35</v>
      </c>
      <c r="N213" t="s">
        <v>38</v>
      </c>
      <c r="O213">
        <v>3.9</v>
      </c>
      <c r="P213" s="2">
        <f>EOMONTH(Table1[[#This Row],[Order_Date]],0)</f>
        <v>45504</v>
      </c>
      <c r="Q213" s="3">
        <f>WEEKNUM(Table1[[#This Row],[Order_Date]])</f>
        <v>30</v>
      </c>
      <c r="R213">
        <f>YEAR(Table1[[#This Row],[Order_Date]])</f>
        <v>2024</v>
      </c>
      <c r="S213" t="str">
        <f>IF(Table1[[#This Row],[Quantity]]&gt;=3,"Promo","Regular")</f>
        <v>Promo</v>
      </c>
    </row>
    <row r="214" spans="1:19" x14ac:dyDescent="0.35">
      <c r="A214" t="s">
        <v>1875</v>
      </c>
      <c r="B214" t="s">
        <v>287</v>
      </c>
      <c r="C214" s="1">
        <v>45516</v>
      </c>
      <c r="D214" t="s">
        <v>43</v>
      </c>
      <c r="E214" t="s">
        <v>110</v>
      </c>
      <c r="F214" t="s">
        <v>72</v>
      </c>
      <c r="G214" t="s">
        <v>36</v>
      </c>
      <c r="H214" t="s">
        <v>50</v>
      </c>
      <c r="I214" t="s">
        <v>20</v>
      </c>
      <c r="J214">
        <v>4</v>
      </c>
      <c r="K214">
        <v>218</v>
      </c>
      <c r="L214">
        <v>872</v>
      </c>
      <c r="M214">
        <v>41</v>
      </c>
      <c r="N214" t="s">
        <v>33</v>
      </c>
      <c r="O214">
        <v>3.2</v>
      </c>
      <c r="P214" s="2">
        <f>EOMONTH(Table1[[#This Row],[Order_Date]],0)</f>
        <v>45535</v>
      </c>
      <c r="Q214" s="3">
        <f>WEEKNUM(Table1[[#This Row],[Order_Date]])</f>
        <v>33</v>
      </c>
      <c r="R214">
        <f>YEAR(Table1[[#This Row],[Order_Date]])</f>
        <v>2024</v>
      </c>
      <c r="S214" t="str">
        <f>IF(Table1[[#This Row],[Quantity]]&gt;=3,"Promo","Regular")</f>
        <v>Promo</v>
      </c>
    </row>
    <row r="215" spans="1:19" x14ac:dyDescent="0.35">
      <c r="A215" t="s">
        <v>1876</v>
      </c>
      <c r="B215" t="s">
        <v>288</v>
      </c>
      <c r="C215" s="1">
        <v>45523</v>
      </c>
      <c r="D215" t="s">
        <v>48</v>
      </c>
      <c r="E215" t="s">
        <v>49</v>
      </c>
      <c r="F215" t="s">
        <v>30</v>
      </c>
      <c r="G215" t="s">
        <v>73</v>
      </c>
      <c r="H215" t="s">
        <v>37</v>
      </c>
      <c r="I215" t="s">
        <v>20</v>
      </c>
      <c r="J215">
        <v>5</v>
      </c>
      <c r="K215">
        <v>302</v>
      </c>
      <c r="L215">
        <v>1510</v>
      </c>
      <c r="M215">
        <v>42</v>
      </c>
      <c r="N215" t="s">
        <v>21</v>
      </c>
      <c r="O215">
        <v>3.1</v>
      </c>
      <c r="P215" s="2">
        <f>EOMONTH(Table1[[#This Row],[Order_Date]],0)</f>
        <v>45535</v>
      </c>
      <c r="Q215" s="3">
        <f>WEEKNUM(Table1[[#This Row],[Order_Date]])</f>
        <v>34</v>
      </c>
      <c r="R215">
        <f>YEAR(Table1[[#This Row],[Order_Date]])</f>
        <v>2024</v>
      </c>
      <c r="S215" t="str">
        <f>IF(Table1[[#This Row],[Quantity]]&gt;=3,"Promo","Regular")</f>
        <v>Promo</v>
      </c>
    </row>
    <row r="216" spans="1:19" x14ac:dyDescent="0.35">
      <c r="A216" t="s">
        <v>1876</v>
      </c>
      <c r="B216" t="s">
        <v>289</v>
      </c>
      <c r="C216" s="1">
        <v>45544</v>
      </c>
      <c r="D216" t="s">
        <v>28</v>
      </c>
      <c r="E216" t="s">
        <v>98</v>
      </c>
      <c r="F216" t="s">
        <v>85</v>
      </c>
      <c r="G216" t="s">
        <v>46</v>
      </c>
      <c r="H216" t="s">
        <v>26</v>
      </c>
      <c r="I216" t="s">
        <v>20</v>
      </c>
      <c r="J216">
        <v>1</v>
      </c>
      <c r="K216">
        <v>194</v>
      </c>
      <c r="L216">
        <v>194</v>
      </c>
      <c r="M216">
        <v>53</v>
      </c>
      <c r="N216" t="s">
        <v>38</v>
      </c>
      <c r="O216">
        <v>3.2</v>
      </c>
      <c r="P216" s="2">
        <f>EOMONTH(Table1[[#This Row],[Order_Date]],0)</f>
        <v>45565</v>
      </c>
      <c r="Q216" s="3">
        <f>WEEKNUM(Table1[[#This Row],[Order_Date]])</f>
        <v>37</v>
      </c>
      <c r="R216">
        <f>YEAR(Table1[[#This Row],[Order_Date]])</f>
        <v>2024</v>
      </c>
      <c r="S216" t="str">
        <f>IF(Table1[[#This Row],[Quantity]]&gt;=3,"Promo","Regular")</f>
        <v>Regular</v>
      </c>
    </row>
    <row r="217" spans="1:19" x14ac:dyDescent="0.35">
      <c r="A217" t="s">
        <v>1876</v>
      </c>
      <c r="B217" t="s">
        <v>290</v>
      </c>
      <c r="C217" s="1">
        <v>45526</v>
      </c>
      <c r="D217" t="s">
        <v>57</v>
      </c>
      <c r="E217" t="s">
        <v>105</v>
      </c>
      <c r="F217" t="s">
        <v>30</v>
      </c>
      <c r="G217" t="s">
        <v>46</v>
      </c>
      <c r="H217" t="s">
        <v>19</v>
      </c>
      <c r="I217" t="s">
        <v>20</v>
      </c>
      <c r="J217">
        <v>1</v>
      </c>
      <c r="K217">
        <v>199</v>
      </c>
      <c r="L217">
        <v>199</v>
      </c>
      <c r="M217">
        <v>39</v>
      </c>
      <c r="N217" t="s">
        <v>33</v>
      </c>
      <c r="O217">
        <v>3.8</v>
      </c>
      <c r="P217" s="2">
        <f>EOMONTH(Table1[[#This Row],[Order_Date]],0)</f>
        <v>45535</v>
      </c>
      <c r="Q217" s="3">
        <f>WEEKNUM(Table1[[#This Row],[Order_Date]])</f>
        <v>34</v>
      </c>
      <c r="R217">
        <f>YEAR(Table1[[#This Row],[Order_Date]])</f>
        <v>2024</v>
      </c>
      <c r="S217" t="str">
        <f>IF(Table1[[#This Row],[Quantity]]&gt;=3,"Promo","Regular")</f>
        <v>Regular</v>
      </c>
    </row>
    <row r="218" spans="1:19" x14ac:dyDescent="0.35">
      <c r="A218" t="s">
        <v>1876</v>
      </c>
      <c r="B218" t="s">
        <v>291</v>
      </c>
      <c r="C218" s="1">
        <v>45354</v>
      </c>
      <c r="D218" t="s">
        <v>48</v>
      </c>
      <c r="E218" t="s">
        <v>64</v>
      </c>
      <c r="F218" t="s">
        <v>35</v>
      </c>
      <c r="G218" t="s">
        <v>73</v>
      </c>
      <c r="H218" t="s">
        <v>120</v>
      </c>
      <c r="I218" t="s">
        <v>60</v>
      </c>
      <c r="J218">
        <v>5</v>
      </c>
      <c r="K218">
        <v>156</v>
      </c>
      <c r="L218">
        <v>780</v>
      </c>
      <c r="M218">
        <v>35</v>
      </c>
      <c r="N218" t="s">
        <v>33</v>
      </c>
      <c r="O218">
        <v>3</v>
      </c>
      <c r="P218" s="2">
        <f>EOMONTH(Table1[[#This Row],[Order_Date]],0)</f>
        <v>45382</v>
      </c>
      <c r="Q218" s="3">
        <f>WEEKNUM(Table1[[#This Row],[Order_Date]])</f>
        <v>10</v>
      </c>
      <c r="R218">
        <f>YEAR(Table1[[#This Row],[Order_Date]])</f>
        <v>2024</v>
      </c>
      <c r="S218" t="str">
        <f>IF(Table1[[#This Row],[Quantity]]&gt;=3,"Promo","Regular")</f>
        <v>Promo</v>
      </c>
    </row>
    <row r="219" spans="1:19" x14ac:dyDescent="0.35">
      <c r="A219" t="s">
        <v>1877</v>
      </c>
      <c r="B219" t="s">
        <v>292</v>
      </c>
      <c r="C219" s="1">
        <v>45363</v>
      </c>
      <c r="D219" t="s">
        <v>57</v>
      </c>
      <c r="E219" t="s">
        <v>136</v>
      </c>
      <c r="F219" t="s">
        <v>35</v>
      </c>
      <c r="G219" t="s">
        <v>31</v>
      </c>
      <c r="H219" t="s">
        <v>59</v>
      </c>
      <c r="I219" t="s">
        <v>60</v>
      </c>
      <c r="J219">
        <v>4</v>
      </c>
      <c r="K219">
        <v>484</v>
      </c>
      <c r="L219">
        <v>1936</v>
      </c>
      <c r="M219">
        <v>20</v>
      </c>
      <c r="N219" t="s">
        <v>21</v>
      </c>
      <c r="O219">
        <v>3.1</v>
      </c>
      <c r="P219" s="2">
        <f>EOMONTH(Table1[[#This Row],[Order_Date]],0)</f>
        <v>45382</v>
      </c>
      <c r="Q219" s="3">
        <f>WEEKNUM(Table1[[#This Row],[Order_Date]])</f>
        <v>11</v>
      </c>
      <c r="R219">
        <f>YEAR(Table1[[#This Row],[Order_Date]])</f>
        <v>2024</v>
      </c>
      <c r="S219" t="str">
        <f>IF(Table1[[#This Row],[Quantity]]&gt;=3,"Promo","Regular")</f>
        <v>Promo</v>
      </c>
    </row>
    <row r="220" spans="1:19" x14ac:dyDescent="0.35">
      <c r="A220" t="s">
        <v>1877</v>
      </c>
      <c r="B220" t="s">
        <v>293</v>
      </c>
      <c r="C220" s="1">
        <v>45386</v>
      </c>
      <c r="D220" t="s">
        <v>15</v>
      </c>
      <c r="E220" t="s">
        <v>95</v>
      </c>
      <c r="F220" t="s">
        <v>30</v>
      </c>
      <c r="G220" t="s">
        <v>18</v>
      </c>
      <c r="H220" t="s">
        <v>37</v>
      </c>
      <c r="I220" t="s">
        <v>20</v>
      </c>
      <c r="J220">
        <v>5</v>
      </c>
      <c r="K220">
        <v>482</v>
      </c>
      <c r="L220">
        <v>2410</v>
      </c>
      <c r="M220">
        <v>47</v>
      </c>
      <c r="N220" t="s">
        <v>21</v>
      </c>
      <c r="O220">
        <v>3.4</v>
      </c>
      <c r="P220" s="2">
        <f>EOMONTH(Table1[[#This Row],[Order_Date]],0)</f>
        <v>45412</v>
      </c>
      <c r="Q220" s="3">
        <f>WEEKNUM(Table1[[#This Row],[Order_Date]])</f>
        <v>14</v>
      </c>
      <c r="R220">
        <f>YEAR(Table1[[#This Row],[Order_Date]])</f>
        <v>2024</v>
      </c>
      <c r="S220" t="str">
        <f>IF(Table1[[#This Row],[Quantity]]&gt;=3,"Promo","Regular")</f>
        <v>Promo</v>
      </c>
    </row>
    <row r="221" spans="1:19" x14ac:dyDescent="0.35">
      <c r="A221" t="s">
        <v>1877</v>
      </c>
      <c r="B221" t="s">
        <v>294</v>
      </c>
      <c r="C221" s="1">
        <v>45507</v>
      </c>
      <c r="D221" t="s">
        <v>28</v>
      </c>
      <c r="E221" t="s">
        <v>71</v>
      </c>
      <c r="F221" t="s">
        <v>24</v>
      </c>
      <c r="G221" t="s">
        <v>73</v>
      </c>
      <c r="H221" t="s">
        <v>37</v>
      </c>
      <c r="I221" t="s">
        <v>20</v>
      </c>
      <c r="J221">
        <v>5</v>
      </c>
      <c r="K221">
        <v>406</v>
      </c>
      <c r="L221">
        <v>2030</v>
      </c>
      <c r="M221">
        <v>55</v>
      </c>
      <c r="N221" t="s">
        <v>33</v>
      </c>
      <c r="O221">
        <v>4</v>
      </c>
      <c r="P221" s="2">
        <f>EOMONTH(Table1[[#This Row],[Order_Date]],0)</f>
        <v>45535</v>
      </c>
      <c r="Q221" s="3">
        <f>WEEKNUM(Table1[[#This Row],[Order_Date]])</f>
        <v>31</v>
      </c>
      <c r="R221">
        <f>YEAR(Table1[[#This Row],[Order_Date]])</f>
        <v>2024</v>
      </c>
      <c r="S221" t="str">
        <f>IF(Table1[[#This Row],[Quantity]]&gt;=3,"Promo","Regular")</f>
        <v>Promo</v>
      </c>
    </row>
    <row r="222" spans="1:19" x14ac:dyDescent="0.35">
      <c r="A222" t="s">
        <v>1878</v>
      </c>
      <c r="B222" t="s">
        <v>295</v>
      </c>
      <c r="C222" s="1">
        <v>45324</v>
      </c>
      <c r="D222" t="s">
        <v>48</v>
      </c>
      <c r="E222" t="s">
        <v>127</v>
      </c>
      <c r="F222" t="s">
        <v>65</v>
      </c>
      <c r="G222" t="s">
        <v>73</v>
      </c>
      <c r="H222" t="s">
        <v>19</v>
      </c>
      <c r="I222" t="s">
        <v>20</v>
      </c>
      <c r="J222">
        <v>2</v>
      </c>
      <c r="K222">
        <v>137</v>
      </c>
      <c r="L222">
        <v>274</v>
      </c>
      <c r="M222">
        <v>25</v>
      </c>
      <c r="N222" t="s">
        <v>38</v>
      </c>
      <c r="O222">
        <v>3.9</v>
      </c>
      <c r="P222" s="2">
        <f>EOMONTH(Table1[[#This Row],[Order_Date]],0)</f>
        <v>45351</v>
      </c>
      <c r="Q222" s="3">
        <f>WEEKNUM(Table1[[#This Row],[Order_Date]])</f>
        <v>5</v>
      </c>
      <c r="R222">
        <f>YEAR(Table1[[#This Row],[Order_Date]])</f>
        <v>2024</v>
      </c>
      <c r="S222" t="str">
        <f>IF(Table1[[#This Row],[Quantity]]&gt;=3,"Promo","Regular")</f>
        <v>Regular</v>
      </c>
    </row>
    <row r="223" spans="1:19" x14ac:dyDescent="0.35">
      <c r="A223" t="s">
        <v>1878</v>
      </c>
      <c r="B223" t="s">
        <v>296</v>
      </c>
      <c r="C223" s="1">
        <v>45346</v>
      </c>
      <c r="D223" t="s">
        <v>48</v>
      </c>
      <c r="E223" t="s">
        <v>127</v>
      </c>
      <c r="F223" t="s">
        <v>72</v>
      </c>
      <c r="G223" t="s">
        <v>36</v>
      </c>
      <c r="H223" t="s">
        <v>50</v>
      </c>
      <c r="I223" t="s">
        <v>20</v>
      </c>
      <c r="J223">
        <v>2</v>
      </c>
      <c r="K223">
        <v>186</v>
      </c>
      <c r="L223">
        <v>372</v>
      </c>
      <c r="M223">
        <v>23</v>
      </c>
      <c r="N223" t="s">
        <v>21</v>
      </c>
      <c r="O223">
        <v>4.8</v>
      </c>
      <c r="P223" s="2">
        <f>EOMONTH(Table1[[#This Row],[Order_Date]],0)</f>
        <v>45351</v>
      </c>
      <c r="Q223" s="3">
        <f>WEEKNUM(Table1[[#This Row],[Order_Date]])</f>
        <v>8</v>
      </c>
      <c r="R223">
        <f>YEAR(Table1[[#This Row],[Order_Date]])</f>
        <v>2024</v>
      </c>
      <c r="S223" t="str">
        <f>IF(Table1[[#This Row],[Quantity]]&gt;=3,"Promo","Regular")</f>
        <v>Regular</v>
      </c>
    </row>
    <row r="224" spans="1:19" x14ac:dyDescent="0.35">
      <c r="A224" t="s">
        <v>1878</v>
      </c>
      <c r="B224" t="s">
        <v>297</v>
      </c>
      <c r="C224" s="1">
        <v>45373</v>
      </c>
      <c r="D224" t="s">
        <v>28</v>
      </c>
      <c r="E224" t="s">
        <v>71</v>
      </c>
      <c r="F224" t="s">
        <v>17</v>
      </c>
      <c r="G224" t="s">
        <v>36</v>
      </c>
      <c r="H224" t="s">
        <v>50</v>
      </c>
      <c r="I224" t="s">
        <v>20</v>
      </c>
      <c r="J224">
        <v>2</v>
      </c>
      <c r="K224">
        <v>194</v>
      </c>
      <c r="L224">
        <v>388</v>
      </c>
      <c r="M224">
        <v>32</v>
      </c>
      <c r="N224" t="s">
        <v>38</v>
      </c>
      <c r="O224">
        <v>3.5</v>
      </c>
      <c r="P224" s="2">
        <f>EOMONTH(Table1[[#This Row],[Order_Date]],0)</f>
        <v>45382</v>
      </c>
      <c r="Q224" s="3">
        <f>WEEKNUM(Table1[[#This Row],[Order_Date]])</f>
        <v>12</v>
      </c>
      <c r="R224">
        <f>YEAR(Table1[[#This Row],[Order_Date]])</f>
        <v>2024</v>
      </c>
      <c r="S224" t="str">
        <f>IF(Table1[[#This Row],[Quantity]]&gt;=3,"Promo","Regular")</f>
        <v>Regular</v>
      </c>
    </row>
    <row r="225" spans="1:19" x14ac:dyDescent="0.35">
      <c r="A225" t="s">
        <v>1878</v>
      </c>
      <c r="B225" t="s">
        <v>298</v>
      </c>
      <c r="C225" s="1">
        <v>45414</v>
      </c>
      <c r="D225" t="s">
        <v>48</v>
      </c>
      <c r="E225" t="s">
        <v>49</v>
      </c>
      <c r="F225" t="s">
        <v>35</v>
      </c>
      <c r="G225" t="s">
        <v>73</v>
      </c>
      <c r="H225" t="s">
        <v>120</v>
      </c>
      <c r="I225" t="s">
        <v>60</v>
      </c>
      <c r="J225">
        <v>4</v>
      </c>
      <c r="K225">
        <v>306</v>
      </c>
      <c r="L225">
        <v>1224</v>
      </c>
      <c r="M225">
        <v>50</v>
      </c>
      <c r="N225" t="s">
        <v>21</v>
      </c>
      <c r="O225">
        <v>4.2</v>
      </c>
      <c r="P225" s="2">
        <f>EOMONTH(Table1[[#This Row],[Order_Date]],0)</f>
        <v>45443</v>
      </c>
      <c r="Q225" s="3">
        <f>WEEKNUM(Table1[[#This Row],[Order_Date]])</f>
        <v>18</v>
      </c>
      <c r="R225">
        <f>YEAR(Table1[[#This Row],[Order_Date]])</f>
        <v>2024</v>
      </c>
      <c r="S225" t="str">
        <f>IF(Table1[[#This Row],[Quantity]]&gt;=3,"Promo","Regular")</f>
        <v>Promo</v>
      </c>
    </row>
    <row r="226" spans="1:19" x14ac:dyDescent="0.35">
      <c r="A226" t="s">
        <v>1878</v>
      </c>
      <c r="B226" t="s">
        <v>299</v>
      </c>
      <c r="C226" s="1">
        <v>45531</v>
      </c>
      <c r="D226" t="s">
        <v>43</v>
      </c>
      <c r="E226" t="s">
        <v>44</v>
      </c>
      <c r="F226" t="s">
        <v>65</v>
      </c>
      <c r="G226" t="s">
        <v>36</v>
      </c>
      <c r="H226" t="s">
        <v>55</v>
      </c>
      <c r="I226" t="s">
        <v>20</v>
      </c>
      <c r="J226">
        <v>5</v>
      </c>
      <c r="K226">
        <v>305</v>
      </c>
      <c r="L226">
        <v>1525</v>
      </c>
      <c r="M226">
        <v>33</v>
      </c>
      <c r="N226" t="s">
        <v>21</v>
      </c>
      <c r="O226">
        <v>4.3</v>
      </c>
      <c r="P226" s="2">
        <f>EOMONTH(Table1[[#This Row],[Order_Date]],0)</f>
        <v>45535</v>
      </c>
      <c r="Q226" s="3">
        <f>WEEKNUM(Table1[[#This Row],[Order_Date]])</f>
        <v>35</v>
      </c>
      <c r="R226">
        <f>YEAR(Table1[[#This Row],[Order_Date]])</f>
        <v>2024</v>
      </c>
      <c r="S226" t="str">
        <f>IF(Table1[[#This Row],[Quantity]]&gt;=3,"Promo","Regular")</f>
        <v>Promo</v>
      </c>
    </row>
    <row r="227" spans="1:19" x14ac:dyDescent="0.35">
      <c r="A227" t="s">
        <v>1879</v>
      </c>
      <c r="B227" t="s">
        <v>300</v>
      </c>
      <c r="C227" s="1">
        <v>45307</v>
      </c>
      <c r="D227" t="s">
        <v>15</v>
      </c>
      <c r="E227" t="s">
        <v>23</v>
      </c>
      <c r="F227" t="s">
        <v>24</v>
      </c>
      <c r="G227" t="s">
        <v>25</v>
      </c>
      <c r="H227" t="s">
        <v>53</v>
      </c>
      <c r="I227" t="s">
        <v>20</v>
      </c>
      <c r="J227">
        <v>2</v>
      </c>
      <c r="K227">
        <v>119</v>
      </c>
      <c r="L227">
        <v>238</v>
      </c>
      <c r="M227">
        <v>33</v>
      </c>
      <c r="N227" t="s">
        <v>21</v>
      </c>
      <c r="O227">
        <v>4.2</v>
      </c>
      <c r="P227" s="2">
        <f>EOMONTH(Table1[[#This Row],[Order_Date]],0)</f>
        <v>45322</v>
      </c>
      <c r="Q227" s="3">
        <f>WEEKNUM(Table1[[#This Row],[Order_Date]])</f>
        <v>3</v>
      </c>
      <c r="R227">
        <f>YEAR(Table1[[#This Row],[Order_Date]])</f>
        <v>2024</v>
      </c>
      <c r="S227" t="str">
        <f>IF(Table1[[#This Row],[Quantity]]&gt;=3,"Promo","Regular")</f>
        <v>Regular</v>
      </c>
    </row>
    <row r="228" spans="1:19" x14ac:dyDescent="0.35">
      <c r="A228" t="s">
        <v>1879</v>
      </c>
      <c r="B228" t="s">
        <v>301</v>
      </c>
      <c r="C228" s="1">
        <v>45503</v>
      </c>
      <c r="D228" t="s">
        <v>48</v>
      </c>
      <c r="E228" t="s">
        <v>132</v>
      </c>
      <c r="F228" t="s">
        <v>45</v>
      </c>
      <c r="G228" t="s">
        <v>25</v>
      </c>
      <c r="H228" t="s">
        <v>19</v>
      </c>
      <c r="I228" t="s">
        <v>20</v>
      </c>
      <c r="J228">
        <v>3</v>
      </c>
      <c r="K228">
        <v>360</v>
      </c>
      <c r="L228">
        <v>1080</v>
      </c>
      <c r="M228">
        <v>53</v>
      </c>
      <c r="N228" t="s">
        <v>21</v>
      </c>
      <c r="O228">
        <v>4.5999999999999996</v>
      </c>
      <c r="P228" s="2">
        <f>EOMONTH(Table1[[#This Row],[Order_Date]],0)</f>
        <v>45504</v>
      </c>
      <c r="Q228" s="3">
        <f>WEEKNUM(Table1[[#This Row],[Order_Date]])</f>
        <v>31</v>
      </c>
      <c r="R228">
        <f>YEAR(Table1[[#This Row],[Order_Date]])</f>
        <v>2024</v>
      </c>
      <c r="S228" t="str">
        <f>IF(Table1[[#This Row],[Quantity]]&gt;=3,"Promo","Regular")</f>
        <v>Promo</v>
      </c>
    </row>
    <row r="229" spans="1:19" x14ac:dyDescent="0.35">
      <c r="A229" t="s">
        <v>1879</v>
      </c>
      <c r="B229" t="s">
        <v>302</v>
      </c>
      <c r="C229" s="1">
        <v>45548</v>
      </c>
      <c r="D229" t="s">
        <v>57</v>
      </c>
      <c r="E229" t="s">
        <v>62</v>
      </c>
      <c r="F229" t="s">
        <v>35</v>
      </c>
      <c r="G229" t="s">
        <v>25</v>
      </c>
      <c r="H229" t="s">
        <v>55</v>
      </c>
      <c r="I229" t="s">
        <v>20</v>
      </c>
      <c r="J229">
        <v>4</v>
      </c>
      <c r="K229">
        <v>188</v>
      </c>
      <c r="L229">
        <v>752</v>
      </c>
      <c r="M229">
        <v>50</v>
      </c>
      <c r="N229" t="s">
        <v>33</v>
      </c>
      <c r="O229">
        <v>3.4</v>
      </c>
      <c r="P229" s="2">
        <f>EOMONTH(Table1[[#This Row],[Order_Date]],0)</f>
        <v>45565</v>
      </c>
      <c r="Q229" s="3">
        <f>WEEKNUM(Table1[[#This Row],[Order_Date]])</f>
        <v>37</v>
      </c>
      <c r="R229">
        <f>YEAR(Table1[[#This Row],[Order_Date]])</f>
        <v>2024</v>
      </c>
      <c r="S229" t="str">
        <f>IF(Table1[[#This Row],[Quantity]]&gt;=3,"Promo","Regular")</f>
        <v>Promo</v>
      </c>
    </row>
    <row r="230" spans="1:19" x14ac:dyDescent="0.35">
      <c r="A230" t="s">
        <v>1879</v>
      </c>
      <c r="B230" t="s">
        <v>303</v>
      </c>
      <c r="C230" s="1">
        <v>45389</v>
      </c>
      <c r="D230" t="s">
        <v>43</v>
      </c>
      <c r="E230" t="s">
        <v>82</v>
      </c>
      <c r="F230" t="s">
        <v>45</v>
      </c>
      <c r="G230" t="s">
        <v>18</v>
      </c>
      <c r="H230" t="s">
        <v>26</v>
      </c>
      <c r="I230" t="s">
        <v>20</v>
      </c>
      <c r="J230">
        <v>3</v>
      </c>
      <c r="K230">
        <v>256</v>
      </c>
      <c r="L230">
        <v>768</v>
      </c>
      <c r="M230">
        <v>23</v>
      </c>
      <c r="N230" t="s">
        <v>38</v>
      </c>
      <c r="O230">
        <v>4.0999999999999996</v>
      </c>
      <c r="P230" s="2">
        <f>EOMONTH(Table1[[#This Row],[Order_Date]],0)</f>
        <v>45412</v>
      </c>
      <c r="Q230" s="3">
        <f>WEEKNUM(Table1[[#This Row],[Order_Date]])</f>
        <v>15</v>
      </c>
      <c r="R230">
        <f>YEAR(Table1[[#This Row],[Order_Date]])</f>
        <v>2024</v>
      </c>
      <c r="S230" t="str">
        <f>IF(Table1[[#This Row],[Quantity]]&gt;=3,"Promo","Regular")</f>
        <v>Promo</v>
      </c>
    </row>
    <row r="231" spans="1:19" x14ac:dyDescent="0.35">
      <c r="A231" t="s">
        <v>1879</v>
      </c>
      <c r="B231" t="s">
        <v>304</v>
      </c>
      <c r="C231" s="1">
        <v>45303</v>
      </c>
      <c r="D231" t="s">
        <v>28</v>
      </c>
      <c r="E231" t="s">
        <v>77</v>
      </c>
      <c r="F231" t="s">
        <v>24</v>
      </c>
      <c r="G231" t="s">
        <v>31</v>
      </c>
      <c r="H231" t="s">
        <v>66</v>
      </c>
      <c r="I231" t="s">
        <v>20</v>
      </c>
      <c r="J231">
        <v>5</v>
      </c>
      <c r="K231">
        <v>442</v>
      </c>
      <c r="L231">
        <v>2210</v>
      </c>
      <c r="M231">
        <v>43</v>
      </c>
      <c r="N231" t="s">
        <v>21</v>
      </c>
      <c r="O231">
        <v>3.7</v>
      </c>
      <c r="P231" s="2">
        <f>EOMONTH(Table1[[#This Row],[Order_Date]],0)</f>
        <v>45322</v>
      </c>
      <c r="Q231" s="3">
        <f>WEEKNUM(Table1[[#This Row],[Order_Date]])</f>
        <v>2</v>
      </c>
      <c r="R231">
        <f>YEAR(Table1[[#This Row],[Order_Date]])</f>
        <v>2024</v>
      </c>
      <c r="S231" t="str">
        <f>IF(Table1[[#This Row],[Quantity]]&gt;=3,"Promo","Regular")</f>
        <v>Promo</v>
      </c>
    </row>
    <row r="232" spans="1:19" x14ac:dyDescent="0.35">
      <c r="A232" t="s">
        <v>1880</v>
      </c>
      <c r="B232" t="s">
        <v>305</v>
      </c>
      <c r="C232" s="1">
        <v>45405</v>
      </c>
      <c r="D232" t="s">
        <v>28</v>
      </c>
      <c r="E232" t="s">
        <v>98</v>
      </c>
      <c r="F232" t="s">
        <v>30</v>
      </c>
      <c r="G232" t="s">
        <v>46</v>
      </c>
      <c r="H232" t="s">
        <v>50</v>
      </c>
      <c r="I232" t="s">
        <v>20</v>
      </c>
      <c r="J232">
        <v>1</v>
      </c>
      <c r="K232">
        <v>355</v>
      </c>
      <c r="L232">
        <v>355</v>
      </c>
      <c r="M232">
        <v>43</v>
      </c>
      <c r="N232" t="s">
        <v>21</v>
      </c>
      <c r="O232">
        <v>4.9000000000000004</v>
      </c>
      <c r="P232" s="2">
        <f>EOMONTH(Table1[[#This Row],[Order_Date]],0)</f>
        <v>45412</v>
      </c>
      <c r="Q232" s="3">
        <f>WEEKNUM(Table1[[#This Row],[Order_Date]])</f>
        <v>17</v>
      </c>
      <c r="R232">
        <f>YEAR(Table1[[#This Row],[Order_Date]])</f>
        <v>2024</v>
      </c>
      <c r="S232" t="str">
        <f>IF(Table1[[#This Row],[Quantity]]&gt;=3,"Promo","Regular")</f>
        <v>Regular</v>
      </c>
    </row>
    <row r="233" spans="1:19" x14ac:dyDescent="0.35">
      <c r="A233" t="s">
        <v>1880</v>
      </c>
      <c r="B233" t="s">
        <v>306</v>
      </c>
      <c r="C233" s="1">
        <v>45468</v>
      </c>
      <c r="D233" t="s">
        <v>48</v>
      </c>
      <c r="E233" t="s">
        <v>68</v>
      </c>
      <c r="F233" t="s">
        <v>41</v>
      </c>
      <c r="G233" t="s">
        <v>46</v>
      </c>
      <c r="H233" t="s">
        <v>53</v>
      </c>
      <c r="I233" t="s">
        <v>20</v>
      </c>
      <c r="J233">
        <v>4</v>
      </c>
      <c r="K233">
        <v>279</v>
      </c>
      <c r="L233">
        <v>1116</v>
      </c>
      <c r="M233">
        <v>22</v>
      </c>
      <c r="N233" t="s">
        <v>21</v>
      </c>
      <c r="O233">
        <v>4.2</v>
      </c>
      <c r="P233" s="2">
        <f>EOMONTH(Table1[[#This Row],[Order_Date]],0)</f>
        <v>45473</v>
      </c>
      <c r="Q233" s="3">
        <f>WEEKNUM(Table1[[#This Row],[Order_Date]])</f>
        <v>26</v>
      </c>
      <c r="R233">
        <f>YEAR(Table1[[#This Row],[Order_Date]])</f>
        <v>2024</v>
      </c>
      <c r="S233" t="str">
        <f>IF(Table1[[#This Row],[Quantity]]&gt;=3,"Promo","Regular")</f>
        <v>Promo</v>
      </c>
    </row>
    <row r="234" spans="1:19" x14ac:dyDescent="0.35">
      <c r="A234" t="s">
        <v>1881</v>
      </c>
      <c r="B234" t="s">
        <v>307</v>
      </c>
      <c r="C234" s="1">
        <v>45410</v>
      </c>
      <c r="D234" t="s">
        <v>57</v>
      </c>
      <c r="E234" t="s">
        <v>62</v>
      </c>
      <c r="F234" t="s">
        <v>17</v>
      </c>
      <c r="G234" t="s">
        <v>73</v>
      </c>
      <c r="H234" t="s">
        <v>50</v>
      </c>
      <c r="I234" t="s">
        <v>20</v>
      </c>
      <c r="J234">
        <v>2</v>
      </c>
      <c r="K234">
        <v>173</v>
      </c>
      <c r="L234">
        <v>346</v>
      </c>
      <c r="M234">
        <v>21</v>
      </c>
      <c r="N234" t="s">
        <v>33</v>
      </c>
      <c r="O234">
        <v>3.5</v>
      </c>
      <c r="P234" s="2">
        <f>EOMONTH(Table1[[#This Row],[Order_Date]],0)</f>
        <v>45412</v>
      </c>
      <c r="Q234" s="3">
        <f>WEEKNUM(Table1[[#This Row],[Order_Date]])</f>
        <v>18</v>
      </c>
      <c r="R234">
        <f>YEAR(Table1[[#This Row],[Order_Date]])</f>
        <v>2024</v>
      </c>
      <c r="S234" t="str">
        <f>IF(Table1[[#This Row],[Quantity]]&gt;=3,"Promo","Regular")</f>
        <v>Regular</v>
      </c>
    </row>
    <row r="235" spans="1:19" x14ac:dyDescent="0.35">
      <c r="A235" t="s">
        <v>1881</v>
      </c>
      <c r="B235" t="s">
        <v>308</v>
      </c>
      <c r="C235" s="1">
        <v>45441</v>
      </c>
      <c r="D235" t="s">
        <v>28</v>
      </c>
      <c r="E235" t="s">
        <v>29</v>
      </c>
      <c r="F235" t="s">
        <v>45</v>
      </c>
      <c r="G235" t="s">
        <v>46</v>
      </c>
      <c r="H235" t="s">
        <v>66</v>
      </c>
      <c r="I235" t="s">
        <v>20</v>
      </c>
      <c r="J235">
        <v>4</v>
      </c>
      <c r="K235">
        <v>159</v>
      </c>
      <c r="L235">
        <v>636</v>
      </c>
      <c r="M235">
        <v>31</v>
      </c>
      <c r="N235" t="s">
        <v>38</v>
      </c>
      <c r="O235">
        <v>3.4</v>
      </c>
      <c r="P235" s="2">
        <f>EOMONTH(Table1[[#This Row],[Order_Date]],0)</f>
        <v>45443</v>
      </c>
      <c r="Q235" s="3">
        <f>WEEKNUM(Table1[[#This Row],[Order_Date]])</f>
        <v>22</v>
      </c>
      <c r="R235">
        <f>YEAR(Table1[[#This Row],[Order_Date]])</f>
        <v>2024</v>
      </c>
      <c r="S235" t="str">
        <f>IF(Table1[[#This Row],[Quantity]]&gt;=3,"Promo","Regular")</f>
        <v>Promo</v>
      </c>
    </row>
    <row r="236" spans="1:19" x14ac:dyDescent="0.35">
      <c r="A236" t="s">
        <v>1881</v>
      </c>
      <c r="B236" t="s">
        <v>309</v>
      </c>
      <c r="C236" s="1">
        <v>45490</v>
      </c>
      <c r="D236" t="s">
        <v>57</v>
      </c>
      <c r="E236" t="s">
        <v>105</v>
      </c>
      <c r="F236" t="s">
        <v>69</v>
      </c>
      <c r="G236" t="s">
        <v>46</v>
      </c>
      <c r="H236" t="s">
        <v>55</v>
      </c>
      <c r="I236" t="s">
        <v>20</v>
      </c>
      <c r="J236">
        <v>2</v>
      </c>
      <c r="K236">
        <v>316</v>
      </c>
      <c r="L236">
        <v>632</v>
      </c>
      <c r="M236">
        <v>43</v>
      </c>
      <c r="N236" t="s">
        <v>33</v>
      </c>
      <c r="O236">
        <v>4</v>
      </c>
      <c r="P236" s="2">
        <f>EOMONTH(Table1[[#This Row],[Order_Date]],0)</f>
        <v>45504</v>
      </c>
      <c r="Q236" s="3">
        <f>WEEKNUM(Table1[[#This Row],[Order_Date]])</f>
        <v>29</v>
      </c>
      <c r="R236">
        <f>YEAR(Table1[[#This Row],[Order_Date]])</f>
        <v>2024</v>
      </c>
      <c r="S236" t="str">
        <f>IF(Table1[[#This Row],[Quantity]]&gt;=3,"Promo","Regular")</f>
        <v>Regular</v>
      </c>
    </row>
    <row r="237" spans="1:19" x14ac:dyDescent="0.35">
      <c r="A237" t="s">
        <v>1882</v>
      </c>
      <c r="B237" t="s">
        <v>310</v>
      </c>
      <c r="C237" s="1">
        <v>45530</v>
      </c>
      <c r="D237" t="s">
        <v>43</v>
      </c>
      <c r="E237" t="s">
        <v>82</v>
      </c>
      <c r="F237" t="s">
        <v>24</v>
      </c>
      <c r="G237" t="s">
        <v>31</v>
      </c>
      <c r="H237" t="s">
        <v>66</v>
      </c>
      <c r="I237" t="s">
        <v>20</v>
      </c>
      <c r="J237">
        <v>3</v>
      </c>
      <c r="K237">
        <v>270</v>
      </c>
      <c r="L237">
        <v>810</v>
      </c>
      <c r="M237">
        <v>42</v>
      </c>
      <c r="N237" t="s">
        <v>33</v>
      </c>
      <c r="O237">
        <v>4</v>
      </c>
      <c r="P237" s="2">
        <f>EOMONTH(Table1[[#This Row],[Order_Date]],0)</f>
        <v>45535</v>
      </c>
      <c r="Q237" s="3">
        <f>WEEKNUM(Table1[[#This Row],[Order_Date]])</f>
        <v>35</v>
      </c>
      <c r="R237">
        <f>YEAR(Table1[[#This Row],[Order_Date]])</f>
        <v>2024</v>
      </c>
      <c r="S237" t="str">
        <f>IF(Table1[[#This Row],[Quantity]]&gt;=3,"Promo","Regular")</f>
        <v>Promo</v>
      </c>
    </row>
    <row r="238" spans="1:19" x14ac:dyDescent="0.35">
      <c r="A238" t="s">
        <v>1882</v>
      </c>
      <c r="B238" t="s">
        <v>311</v>
      </c>
      <c r="C238" s="1">
        <v>45318</v>
      </c>
      <c r="D238" t="s">
        <v>28</v>
      </c>
      <c r="E238" t="s">
        <v>71</v>
      </c>
      <c r="F238" t="s">
        <v>72</v>
      </c>
      <c r="G238" t="s">
        <v>36</v>
      </c>
      <c r="H238" t="s">
        <v>37</v>
      </c>
      <c r="I238" t="s">
        <v>20</v>
      </c>
      <c r="J238">
        <v>4</v>
      </c>
      <c r="K238">
        <v>434</v>
      </c>
      <c r="L238">
        <v>1736</v>
      </c>
      <c r="M238">
        <v>36</v>
      </c>
      <c r="N238" t="s">
        <v>33</v>
      </c>
      <c r="O238">
        <v>4</v>
      </c>
      <c r="P238" s="2">
        <f>EOMONTH(Table1[[#This Row],[Order_Date]],0)</f>
        <v>45322</v>
      </c>
      <c r="Q238" s="3">
        <f>WEEKNUM(Table1[[#This Row],[Order_Date]])</f>
        <v>4</v>
      </c>
      <c r="R238">
        <f>YEAR(Table1[[#This Row],[Order_Date]])</f>
        <v>2024</v>
      </c>
      <c r="S238" t="str">
        <f>IF(Table1[[#This Row],[Quantity]]&gt;=3,"Promo","Regular")</f>
        <v>Promo</v>
      </c>
    </row>
    <row r="239" spans="1:19" x14ac:dyDescent="0.35">
      <c r="A239" t="s">
        <v>1882</v>
      </c>
      <c r="B239" t="s">
        <v>312</v>
      </c>
      <c r="C239" s="1">
        <v>45439</v>
      </c>
      <c r="D239" t="s">
        <v>43</v>
      </c>
      <c r="E239" t="s">
        <v>52</v>
      </c>
      <c r="F239" t="s">
        <v>24</v>
      </c>
      <c r="G239" t="s">
        <v>31</v>
      </c>
      <c r="H239" t="s">
        <v>66</v>
      </c>
      <c r="I239" t="s">
        <v>20</v>
      </c>
      <c r="J239">
        <v>3</v>
      </c>
      <c r="K239">
        <v>104</v>
      </c>
      <c r="L239">
        <v>312</v>
      </c>
      <c r="M239">
        <v>42</v>
      </c>
      <c r="N239" t="s">
        <v>21</v>
      </c>
      <c r="O239">
        <v>3.1</v>
      </c>
      <c r="P239" s="2">
        <f>EOMONTH(Table1[[#This Row],[Order_Date]],0)</f>
        <v>45443</v>
      </c>
      <c r="Q239" s="3">
        <f>WEEKNUM(Table1[[#This Row],[Order_Date]])</f>
        <v>22</v>
      </c>
      <c r="R239">
        <f>YEAR(Table1[[#This Row],[Order_Date]])</f>
        <v>2024</v>
      </c>
      <c r="S239" t="str">
        <f>IF(Table1[[#This Row],[Quantity]]&gt;=3,"Promo","Regular")</f>
        <v>Promo</v>
      </c>
    </row>
    <row r="240" spans="1:19" x14ac:dyDescent="0.35">
      <c r="A240" t="s">
        <v>1882</v>
      </c>
      <c r="B240" t="s">
        <v>313</v>
      </c>
      <c r="C240" s="1">
        <v>45406</v>
      </c>
      <c r="D240" t="s">
        <v>28</v>
      </c>
      <c r="E240" t="s">
        <v>40</v>
      </c>
      <c r="F240" t="s">
        <v>72</v>
      </c>
      <c r="G240" t="s">
        <v>25</v>
      </c>
      <c r="H240" t="s">
        <v>32</v>
      </c>
      <c r="I240" t="s">
        <v>20</v>
      </c>
      <c r="J240">
        <v>3</v>
      </c>
      <c r="K240">
        <v>187</v>
      </c>
      <c r="L240">
        <v>561</v>
      </c>
      <c r="M240">
        <v>25</v>
      </c>
      <c r="N240" t="s">
        <v>33</v>
      </c>
      <c r="O240">
        <v>4.3</v>
      </c>
      <c r="P240" s="2">
        <f>EOMONTH(Table1[[#This Row],[Order_Date]],0)</f>
        <v>45412</v>
      </c>
      <c r="Q240" s="3">
        <f>WEEKNUM(Table1[[#This Row],[Order_Date]])</f>
        <v>17</v>
      </c>
      <c r="R240">
        <f>YEAR(Table1[[#This Row],[Order_Date]])</f>
        <v>2024</v>
      </c>
      <c r="S240" t="str">
        <f>IF(Table1[[#This Row],[Quantity]]&gt;=3,"Promo","Regular")</f>
        <v>Promo</v>
      </c>
    </row>
    <row r="241" spans="1:19" x14ac:dyDescent="0.35">
      <c r="A241" t="s">
        <v>1883</v>
      </c>
      <c r="B241" t="s">
        <v>314</v>
      </c>
      <c r="C241" s="1">
        <v>45412</v>
      </c>
      <c r="D241" t="s">
        <v>28</v>
      </c>
      <c r="E241" t="s">
        <v>40</v>
      </c>
      <c r="F241" t="s">
        <v>41</v>
      </c>
      <c r="G241" t="s">
        <v>36</v>
      </c>
      <c r="H241" t="s">
        <v>26</v>
      </c>
      <c r="I241" t="s">
        <v>20</v>
      </c>
      <c r="J241">
        <v>2</v>
      </c>
      <c r="K241">
        <v>254</v>
      </c>
      <c r="L241">
        <v>508</v>
      </c>
      <c r="M241">
        <v>36</v>
      </c>
      <c r="N241" t="s">
        <v>21</v>
      </c>
      <c r="O241">
        <v>3.8</v>
      </c>
      <c r="P241" s="2">
        <f>EOMONTH(Table1[[#This Row],[Order_Date]],0)</f>
        <v>45412</v>
      </c>
      <c r="Q241" s="3">
        <f>WEEKNUM(Table1[[#This Row],[Order_Date]])</f>
        <v>18</v>
      </c>
      <c r="R241">
        <f>YEAR(Table1[[#This Row],[Order_Date]])</f>
        <v>2024</v>
      </c>
      <c r="S241" t="str">
        <f>IF(Table1[[#This Row],[Quantity]]&gt;=3,"Promo","Regular")</f>
        <v>Regular</v>
      </c>
    </row>
    <row r="242" spans="1:19" x14ac:dyDescent="0.35">
      <c r="A242" t="s">
        <v>1883</v>
      </c>
      <c r="B242" t="s">
        <v>315</v>
      </c>
      <c r="C242" s="1">
        <v>45565</v>
      </c>
      <c r="D242" t="s">
        <v>43</v>
      </c>
      <c r="E242" t="s">
        <v>82</v>
      </c>
      <c r="F242" t="s">
        <v>65</v>
      </c>
      <c r="G242" t="s">
        <v>18</v>
      </c>
      <c r="H242" t="s">
        <v>26</v>
      </c>
      <c r="I242" t="s">
        <v>20</v>
      </c>
      <c r="J242">
        <v>3</v>
      </c>
      <c r="K242">
        <v>165</v>
      </c>
      <c r="L242">
        <v>495</v>
      </c>
      <c r="M242">
        <v>37</v>
      </c>
      <c r="N242" t="s">
        <v>38</v>
      </c>
      <c r="O242">
        <v>4</v>
      </c>
      <c r="P242" s="2">
        <f>EOMONTH(Table1[[#This Row],[Order_Date]],0)</f>
        <v>45565</v>
      </c>
      <c r="Q242" s="3">
        <f>WEEKNUM(Table1[[#This Row],[Order_Date]])</f>
        <v>40</v>
      </c>
      <c r="R242">
        <f>YEAR(Table1[[#This Row],[Order_Date]])</f>
        <v>2024</v>
      </c>
      <c r="S242" t="str">
        <f>IF(Table1[[#This Row],[Quantity]]&gt;=3,"Promo","Regular")</f>
        <v>Promo</v>
      </c>
    </row>
    <row r="243" spans="1:19" x14ac:dyDescent="0.35">
      <c r="A243" t="s">
        <v>1883</v>
      </c>
      <c r="B243" t="s">
        <v>316</v>
      </c>
      <c r="C243" s="1">
        <v>45519</v>
      </c>
      <c r="D243" t="s">
        <v>28</v>
      </c>
      <c r="E243" t="s">
        <v>98</v>
      </c>
      <c r="F243" t="s">
        <v>41</v>
      </c>
      <c r="G243" t="s">
        <v>31</v>
      </c>
      <c r="H243" t="s">
        <v>59</v>
      </c>
      <c r="I243" t="s">
        <v>60</v>
      </c>
      <c r="J243">
        <v>3</v>
      </c>
      <c r="K243">
        <v>177</v>
      </c>
      <c r="L243">
        <v>531</v>
      </c>
      <c r="M243">
        <v>27</v>
      </c>
      <c r="N243" t="s">
        <v>33</v>
      </c>
      <c r="O243">
        <v>3.6</v>
      </c>
      <c r="P243" s="2">
        <f>EOMONTH(Table1[[#This Row],[Order_Date]],0)</f>
        <v>45535</v>
      </c>
      <c r="Q243" s="3">
        <f>WEEKNUM(Table1[[#This Row],[Order_Date]])</f>
        <v>33</v>
      </c>
      <c r="R243">
        <f>YEAR(Table1[[#This Row],[Order_Date]])</f>
        <v>2024</v>
      </c>
      <c r="S243" t="str">
        <f>IF(Table1[[#This Row],[Quantity]]&gt;=3,"Promo","Regular")</f>
        <v>Promo</v>
      </c>
    </row>
    <row r="244" spans="1:19" x14ac:dyDescent="0.35">
      <c r="A244" t="s">
        <v>1883</v>
      </c>
      <c r="B244" t="s">
        <v>317</v>
      </c>
      <c r="C244" s="1">
        <v>45564</v>
      </c>
      <c r="D244" t="s">
        <v>15</v>
      </c>
      <c r="E244" t="s">
        <v>95</v>
      </c>
      <c r="F244" t="s">
        <v>24</v>
      </c>
      <c r="G244" t="s">
        <v>73</v>
      </c>
      <c r="H244" t="s">
        <v>59</v>
      </c>
      <c r="I244" t="s">
        <v>60</v>
      </c>
      <c r="J244">
        <v>3</v>
      </c>
      <c r="K244">
        <v>357</v>
      </c>
      <c r="L244">
        <v>1071</v>
      </c>
      <c r="M244">
        <v>36</v>
      </c>
      <c r="N244" t="s">
        <v>33</v>
      </c>
      <c r="O244">
        <v>4.0999999999999996</v>
      </c>
      <c r="P244" s="2">
        <f>EOMONTH(Table1[[#This Row],[Order_Date]],0)</f>
        <v>45565</v>
      </c>
      <c r="Q244" s="3">
        <f>WEEKNUM(Table1[[#This Row],[Order_Date]])</f>
        <v>40</v>
      </c>
      <c r="R244">
        <f>YEAR(Table1[[#This Row],[Order_Date]])</f>
        <v>2024</v>
      </c>
      <c r="S244" t="str">
        <f>IF(Table1[[#This Row],[Quantity]]&gt;=3,"Promo","Regular")</f>
        <v>Promo</v>
      </c>
    </row>
    <row r="245" spans="1:19" x14ac:dyDescent="0.35">
      <c r="A245" t="s">
        <v>1884</v>
      </c>
      <c r="B245" t="s">
        <v>318</v>
      </c>
      <c r="C245" s="1">
        <v>45506</v>
      </c>
      <c r="D245" t="s">
        <v>15</v>
      </c>
      <c r="E245" t="s">
        <v>103</v>
      </c>
      <c r="F245" t="s">
        <v>41</v>
      </c>
      <c r="G245" t="s">
        <v>18</v>
      </c>
      <c r="H245" t="s">
        <v>120</v>
      </c>
      <c r="I245" t="s">
        <v>60</v>
      </c>
      <c r="J245">
        <v>4</v>
      </c>
      <c r="K245">
        <v>372</v>
      </c>
      <c r="L245">
        <v>1488</v>
      </c>
      <c r="M245">
        <v>45</v>
      </c>
      <c r="N245" t="s">
        <v>38</v>
      </c>
      <c r="O245">
        <v>3.7</v>
      </c>
      <c r="P245" s="2">
        <f>EOMONTH(Table1[[#This Row],[Order_Date]],0)</f>
        <v>45535</v>
      </c>
      <c r="Q245" s="3">
        <f>WEEKNUM(Table1[[#This Row],[Order_Date]])</f>
        <v>31</v>
      </c>
      <c r="R245">
        <f>YEAR(Table1[[#This Row],[Order_Date]])</f>
        <v>2024</v>
      </c>
      <c r="S245" t="str">
        <f>IF(Table1[[#This Row],[Quantity]]&gt;=3,"Promo","Regular")</f>
        <v>Promo</v>
      </c>
    </row>
    <row r="246" spans="1:19" x14ac:dyDescent="0.35">
      <c r="A246" t="s">
        <v>1884</v>
      </c>
      <c r="B246" t="s">
        <v>319</v>
      </c>
      <c r="C246" s="1">
        <v>45494</v>
      </c>
      <c r="D246" t="s">
        <v>15</v>
      </c>
      <c r="E246" t="s">
        <v>103</v>
      </c>
      <c r="F246" t="s">
        <v>69</v>
      </c>
      <c r="G246" t="s">
        <v>46</v>
      </c>
      <c r="H246" t="s">
        <v>53</v>
      </c>
      <c r="I246" t="s">
        <v>20</v>
      </c>
      <c r="J246">
        <v>4</v>
      </c>
      <c r="K246">
        <v>364</v>
      </c>
      <c r="L246">
        <v>1456</v>
      </c>
      <c r="M246">
        <v>36</v>
      </c>
      <c r="N246" t="s">
        <v>38</v>
      </c>
      <c r="O246">
        <v>3.1</v>
      </c>
      <c r="P246" s="2">
        <f>EOMONTH(Table1[[#This Row],[Order_Date]],0)</f>
        <v>45504</v>
      </c>
      <c r="Q246" s="3">
        <f>WEEKNUM(Table1[[#This Row],[Order_Date]])</f>
        <v>30</v>
      </c>
      <c r="R246">
        <f>YEAR(Table1[[#This Row],[Order_Date]])</f>
        <v>2024</v>
      </c>
      <c r="S246" t="str">
        <f>IF(Table1[[#This Row],[Quantity]]&gt;=3,"Promo","Regular")</f>
        <v>Promo</v>
      </c>
    </row>
    <row r="247" spans="1:19" x14ac:dyDescent="0.35">
      <c r="A247" t="s">
        <v>1884</v>
      </c>
      <c r="B247" t="s">
        <v>320</v>
      </c>
      <c r="C247" s="1">
        <v>45386</v>
      </c>
      <c r="D247" t="s">
        <v>48</v>
      </c>
      <c r="E247" t="s">
        <v>68</v>
      </c>
      <c r="F247" t="s">
        <v>30</v>
      </c>
      <c r="G247" t="s">
        <v>73</v>
      </c>
      <c r="H247" t="s">
        <v>59</v>
      </c>
      <c r="I247" t="s">
        <v>60</v>
      </c>
      <c r="J247">
        <v>2</v>
      </c>
      <c r="K247">
        <v>380</v>
      </c>
      <c r="L247">
        <v>760</v>
      </c>
      <c r="M247">
        <v>44</v>
      </c>
      <c r="N247" t="s">
        <v>38</v>
      </c>
      <c r="O247">
        <v>3.8</v>
      </c>
      <c r="P247" s="2">
        <f>EOMONTH(Table1[[#This Row],[Order_Date]],0)</f>
        <v>45412</v>
      </c>
      <c r="Q247" s="3">
        <f>WEEKNUM(Table1[[#This Row],[Order_Date]])</f>
        <v>14</v>
      </c>
      <c r="R247">
        <f>YEAR(Table1[[#This Row],[Order_Date]])</f>
        <v>2024</v>
      </c>
      <c r="S247" t="str">
        <f>IF(Table1[[#This Row],[Quantity]]&gt;=3,"Promo","Regular")</f>
        <v>Regular</v>
      </c>
    </row>
    <row r="248" spans="1:19" x14ac:dyDescent="0.35">
      <c r="A248" t="s">
        <v>1885</v>
      </c>
      <c r="B248" t="s">
        <v>321</v>
      </c>
      <c r="C248" s="1">
        <v>45400</v>
      </c>
      <c r="D248" t="s">
        <v>15</v>
      </c>
      <c r="E248" t="s">
        <v>103</v>
      </c>
      <c r="F248" t="s">
        <v>65</v>
      </c>
      <c r="G248" t="s">
        <v>18</v>
      </c>
      <c r="H248" t="s">
        <v>120</v>
      </c>
      <c r="I248" t="s">
        <v>60</v>
      </c>
      <c r="J248">
        <v>2</v>
      </c>
      <c r="K248">
        <v>316</v>
      </c>
      <c r="L248">
        <v>632</v>
      </c>
      <c r="M248">
        <v>41</v>
      </c>
      <c r="N248" t="s">
        <v>33</v>
      </c>
      <c r="O248">
        <v>3.4</v>
      </c>
      <c r="P248" s="2">
        <f>EOMONTH(Table1[[#This Row],[Order_Date]],0)</f>
        <v>45412</v>
      </c>
      <c r="Q248" s="3">
        <f>WEEKNUM(Table1[[#This Row],[Order_Date]])</f>
        <v>16</v>
      </c>
      <c r="R248">
        <f>YEAR(Table1[[#This Row],[Order_Date]])</f>
        <v>2024</v>
      </c>
      <c r="S248" t="str">
        <f>IF(Table1[[#This Row],[Quantity]]&gt;=3,"Promo","Regular")</f>
        <v>Regular</v>
      </c>
    </row>
    <row r="249" spans="1:19" x14ac:dyDescent="0.35">
      <c r="A249" t="s">
        <v>1885</v>
      </c>
      <c r="B249" t="s">
        <v>322</v>
      </c>
      <c r="C249" s="1">
        <v>45306</v>
      </c>
      <c r="D249" t="s">
        <v>15</v>
      </c>
      <c r="E249" t="s">
        <v>23</v>
      </c>
      <c r="F249" t="s">
        <v>17</v>
      </c>
      <c r="G249" t="s">
        <v>46</v>
      </c>
      <c r="H249" t="s">
        <v>50</v>
      </c>
      <c r="I249" t="s">
        <v>20</v>
      </c>
      <c r="J249">
        <v>3</v>
      </c>
      <c r="K249">
        <v>344</v>
      </c>
      <c r="L249">
        <v>1032</v>
      </c>
      <c r="M249">
        <v>36</v>
      </c>
      <c r="N249" t="s">
        <v>21</v>
      </c>
      <c r="O249">
        <v>3.2</v>
      </c>
      <c r="P249" s="2">
        <f>EOMONTH(Table1[[#This Row],[Order_Date]],0)</f>
        <v>45322</v>
      </c>
      <c r="Q249" s="3">
        <f>WEEKNUM(Table1[[#This Row],[Order_Date]])</f>
        <v>3</v>
      </c>
      <c r="R249">
        <f>YEAR(Table1[[#This Row],[Order_Date]])</f>
        <v>2024</v>
      </c>
      <c r="S249" t="str">
        <f>IF(Table1[[#This Row],[Quantity]]&gt;=3,"Promo","Regular")</f>
        <v>Promo</v>
      </c>
    </row>
    <row r="250" spans="1:19" x14ac:dyDescent="0.35">
      <c r="A250" t="s">
        <v>1886</v>
      </c>
      <c r="B250" t="s">
        <v>323</v>
      </c>
      <c r="C250" s="1">
        <v>45295</v>
      </c>
      <c r="D250" t="s">
        <v>43</v>
      </c>
      <c r="E250" t="s">
        <v>52</v>
      </c>
      <c r="F250" t="s">
        <v>65</v>
      </c>
      <c r="G250" t="s">
        <v>73</v>
      </c>
      <c r="H250" t="s">
        <v>53</v>
      </c>
      <c r="I250" t="s">
        <v>20</v>
      </c>
      <c r="J250">
        <v>3</v>
      </c>
      <c r="K250">
        <v>244</v>
      </c>
      <c r="L250">
        <v>732</v>
      </c>
      <c r="M250">
        <v>20</v>
      </c>
      <c r="N250" t="s">
        <v>21</v>
      </c>
      <c r="O250">
        <v>4.5</v>
      </c>
      <c r="P250" s="2">
        <f>EOMONTH(Table1[[#This Row],[Order_Date]],0)</f>
        <v>45322</v>
      </c>
      <c r="Q250" s="3">
        <f>WEEKNUM(Table1[[#This Row],[Order_Date]])</f>
        <v>1</v>
      </c>
      <c r="R250">
        <f>YEAR(Table1[[#This Row],[Order_Date]])</f>
        <v>2024</v>
      </c>
      <c r="S250" t="str">
        <f>IF(Table1[[#This Row],[Quantity]]&gt;=3,"Promo","Regular")</f>
        <v>Promo</v>
      </c>
    </row>
    <row r="251" spans="1:19" x14ac:dyDescent="0.35">
      <c r="A251" t="s">
        <v>1886</v>
      </c>
      <c r="B251" t="s">
        <v>324</v>
      </c>
      <c r="C251" s="1">
        <v>45562</v>
      </c>
      <c r="D251" t="s">
        <v>15</v>
      </c>
      <c r="E251" t="s">
        <v>103</v>
      </c>
      <c r="F251" t="s">
        <v>69</v>
      </c>
      <c r="G251" t="s">
        <v>18</v>
      </c>
      <c r="H251" t="s">
        <v>19</v>
      </c>
      <c r="I251" t="s">
        <v>20</v>
      </c>
      <c r="J251">
        <v>4</v>
      </c>
      <c r="K251">
        <v>336</v>
      </c>
      <c r="L251">
        <v>1344</v>
      </c>
      <c r="M251">
        <v>28</v>
      </c>
      <c r="N251" t="s">
        <v>33</v>
      </c>
      <c r="O251">
        <v>3.4</v>
      </c>
      <c r="P251" s="2">
        <f>EOMONTH(Table1[[#This Row],[Order_Date]],0)</f>
        <v>45565</v>
      </c>
      <c r="Q251" s="3">
        <f>WEEKNUM(Table1[[#This Row],[Order_Date]])</f>
        <v>39</v>
      </c>
      <c r="R251">
        <f>YEAR(Table1[[#This Row],[Order_Date]])</f>
        <v>2024</v>
      </c>
      <c r="S251" t="str">
        <f>IF(Table1[[#This Row],[Quantity]]&gt;=3,"Promo","Regular")</f>
        <v>Promo</v>
      </c>
    </row>
    <row r="252" spans="1:19" x14ac:dyDescent="0.35">
      <c r="A252" t="s">
        <v>1886</v>
      </c>
      <c r="B252" t="s">
        <v>325</v>
      </c>
      <c r="C252" s="1">
        <v>45314</v>
      </c>
      <c r="D252" t="s">
        <v>48</v>
      </c>
      <c r="E252" t="s">
        <v>64</v>
      </c>
      <c r="F252" t="s">
        <v>85</v>
      </c>
      <c r="G252" t="s">
        <v>36</v>
      </c>
      <c r="H252" t="s">
        <v>120</v>
      </c>
      <c r="I252" t="s">
        <v>60</v>
      </c>
      <c r="J252">
        <v>3</v>
      </c>
      <c r="K252">
        <v>259</v>
      </c>
      <c r="L252">
        <v>777</v>
      </c>
      <c r="M252">
        <v>50</v>
      </c>
      <c r="N252" t="s">
        <v>21</v>
      </c>
      <c r="O252">
        <v>4.4000000000000004</v>
      </c>
      <c r="P252" s="2">
        <f>EOMONTH(Table1[[#This Row],[Order_Date]],0)</f>
        <v>45322</v>
      </c>
      <c r="Q252" s="3">
        <f>WEEKNUM(Table1[[#This Row],[Order_Date]])</f>
        <v>4</v>
      </c>
      <c r="R252">
        <f>YEAR(Table1[[#This Row],[Order_Date]])</f>
        <v>2024</v>
      </c>
      <c r="S252" t="str">
        <f>IF(Table1[[#This Row],[Quantity]]&gt;=3,"Promo","Regular")</f>
        <v>Promo</v>
      </c>
    </row>
    <row r="253" spans="1:19" x14ac:dyDescent="0.35">
      <c r="A253" t="s">
        <v>1886</v>
      </c>
      <c r="B253" t="s">
        <v>326</v>
      </c>
      <c r="C253" s="1">
        <v>45477</v>
      </c>
      <c r="D253" t="s">
        <v>15</v>
      </c>
      <c r="E253" t="s">
        <v>95</v>
      </c>
      <c r="F253" t="s">
        <v>65</v>
      </c>
      <c r="G253" t="s">
        <v>46</v>
      </c>
      <c r="H253" t="s">
        <v>50</v>
      </c>
      <c r="I253" t="s">
        <v>20</v>
      </c>
      <c r="J253">
        <v>3</v>
      </c>
      <c r="K253">
        <v>113</v>
      </c>
      <c r="L253">
        <v>339</v>
      </c>
      <c r="M253">
        <v>48</v>
      </c>
      <c r="N253" t="s">
        <v>33</v>
      </c>
      <c r="O253">
        <v>4.4000000000000004</v>
      </c>
      <c r="P253" s="2">
        <f>EOMONTH(Table1[[#This Row],[Order_Date]],0)</f>
        <v>45504</v>
      </c>
      <c r="Q253" s="3">
        <f>WEEKNUM(Table1[[#This Row],[Order_Date]])</f>
        <v>27</v>
      </c>
      <c r="R253">
        <f>YEAR(Table1[[#This Row],[Order_Date]])</f>
        <v>2024</v>
      </c>
      <c r="S253" t="str">
        <f>IF(Table1[[#This Row],[Quantity]]&gt;=3,"Promo","Regular")</f>
        <v>Promo</v>
      </c>
    </row>
    <row r="254" spans="1:19" x14ac:dyDescent="0.35">
      <c r="A254" t="s">
        <v>1887</v>
      </c>
      <c r="B254" t="s">
        <v>327</v>
      </c>
      <c r="C254" s="1">
        <v>45484</v>
      </c>
      <c r="D254" t="s">
        <v>48</v>
      </c>
      <c r="E254" t="s">
        <v>132</v>
      </c>
      <c r="F254" t="s">
        <v>85</v>
      </c>
      <c r="G254" t="s">
        <v>25</v>
      </c>
      <c r="H254" t="s">
        <v>66</v>
      </c>
      <c r="I254" t="s">
        <v>20</v>
      </c>
      <c r="J254">
        <v>1</v>
      </c>
      <c r="K254">
        <v>471</v>
      </c>
      <c r="L254">
        <v>471</v>
      </c>
      <c r="M254">
        <v>27</v>
      </c>
      <c r="N254" t="s">
        <v>21</v>
      </c>
      <c r="O254">
        <v>3.5</v>
      </c>
      <c r="P254" s="2">
        <f>EOMONTH(Table1[[#This Row],[Order_Date]],0)</f>
        <v>45504</v>
      </c>
      <c r="Q254" s="3">
        <f>WEEKNUM(Table1[[#This Row],[Order_Date]])</f>
        <v>28</v>
      </c>
      <c r="R254">
        <f>YEAR(Table1[[#This Row],[Order_Date]])</f>
        <v>2024</v>
      </c>
      <c r="S254" t="str">
        <f>IF(Table1[[#This Row],[Quantity]]&gt;=3,"Promo","Regular")</f>
        <v>Regular</v>
      </c>
    </row>
    <row r="255" spans="1:19" x14ac:dyDescent="0.35">
      <c r="A255" t="s">
        <v>1887</v>
      </c>
      <c r="B255" t="s">
        <v>328</v>
      </c>
      <c r="C255" s="1">
        <v>45376</v>
      </c>
      <c r="D255" t="s">
        <v>48</v>
      </c>
      <c r="E255" t="s">
        <v>49</v>
      </c>
      <c r="F255" t="s">
        <v>85</v>
      </c>
      <c r="G255" t="s">
        <v>46</v>
      </c>
      <c r="H255" t="s">
        <v>37</v>
      </c>
      <c r="I255" t="s">
        <v>20</v>
      </c>
      <c r="J255">
        <v>1</v>
      </c>
      <c r="K255">
        <v>272</v>
      </c>
      <c r="L255">
        <v>272</v>
      </c>
      <c r="M255">
        <v>32</v>
      </c>
      <c r="N255" t="s">
        <v>21</v>
      </c>
      <c r="O255">
        <v>3.4</v>
      </c>
      <c r="P255" s="2">
        <f>EOMONTH(Table1[[#This Row],[Order_Date]],0)</f>
        <v>45382</v>
      </c>
      <c r="Q255" s="3">
        <f>WEEKNUM(Table1[[#This Row],[Order_Date]])</f>
        <v>13</v>
      </c>
      <c r="R255">
        <f>YEAR(Table1[[#This Row],[Order_Date]])</f>
        <v>2024</v>
      </c>
      <c r="S255" t="str">
        <f>IF(Table1[[#This Row],[Quantity]]&gt;=3,"Promo","Regular")</f>
        <v>Regular</v>
      </c>
    </row>
    <row r="256" spans="1:19" x14ac:dyDescent="0.35">
      <c r="A256" t="s">
        <v>1887</v>
      </c>
      <c r="B256" t="s">
        <v>329</v>
      </c>
      <c r="C256" s="1">
        <v>45422</v>
      </c>
      <c r="D256" t="s">
        <v>57</v>
      </c>
      <c r="E256" t="s">
        <v>105</v>
      </c>
      <c r="F256" t="s">
        <v>41</v>
      </c>
      <c r="G256" t="s">
        <v>25</v>
      </c>
      <c r="H256" t="s">
        <v>53</v>
      </c>
      <c r="I256" t="s">
        <v>20</v>
      </c>
      <c r="J256">
        <v>4</v>
      </c>
      <c r="K256">
        <v>295</v>
      </c>
      <c r="L256">
        <v>1180</v>
      </c>
      <c r="M256">
        <v>56</v>
      </c>
      <c r="N256" t="s">
        <v>33</v>
      </c>
      <c r="O256">
        <v>4.0999999999999996</v>
      </c>
      <c r="P256" s="2">
        <f>EOMONTH(Table1[[#This Row],[Order_Date]],0)</f>
        <v>45443</v>
      </c>
      <c r="Q256" s="3">
        <f>WEEKNUM(Table1[[#This Row],[Order_Date]])</f>
        <v>19</v>
      </c>
      <c r="R256">
        <f>YEAR(Table1[[#This Row],[Order_Date]])</f>
        <v>2024</v>
      </c>
      <c r="S256" t="str">
        <f>IF(Table1[[#This Row],[Quantity]]&gt;=3,"Promo","Regular")</f>
        <v>Promo</v>
      </c>
    </row>
    <row r="257" spans="1:19" x14ac:dyDescent="0.35">
      <c r="A257" t="s">
        <v>1887</v>
      </c>
      <c r="B257" t="s">
        <v>330</v>
      </c>
      <c r="C257" s="1">
        <v>45544</v>
      </c>
      <c r="D257" t="s">
        <v>28</v>
      </c>
      <c r="E257" t="s">
        <v>98</v>
      </c>
      <c r="F257" t="s">
        <v>35</v>
      </c>
      <c r="G257" t="s">
        <v>18</v>
      </c>
      <c r="H257" t="s">
        <v>50</v>
      </c>
      <c r="I257" t="s">
        <v>20</v>
      </c>
      <c r="J257">
        <v>1</v>
      </c>
      <c r="K257">
        <v>141</v>
      </c>
      <c r="L257">
        <v>141</v>
      </c>
      <c r="M257">
        <v>31</v>
      </c>
      <c r="N257" t="s">
        <v>38</v>
      </c>
      <c r="O257">
        <v>4.0999999999999996</v>
      </c>
      <c r="P257" s="2">
        <f>EOMONTH(Table1[[#This Row],[Order_Date]],0)</f>
        <v>45565</v>
      </c>
      <c r="Q257" s="3">
        <f>WEEKNUM(Table1[[#This Row],[Order_Date]])</f>
        <v>37</v>
      </c>
      <c r="R257">
        <f>YEAR(Table1[[#This Row],[Order_Date]])</f>
        <v>2024</v>
      </c>
      <c r="S257" t="str">
        <f>IF(Table1[[#This Row],[Quantity]]&gt;=3,"Promo","Regular")</f>
        <v>Regular</v>
      </c>
    </row>
    <row r="258" spans="1:19" x14ac:dyDescent="0.35">
      <c r="A258" t="s">
        <v>1887</v>
      </c>
      <c r="B258" t="s">
        <v>331</v>
      </c>
      <c r="C258" s="1">
        <v>45485</v>
      </c>
      <c r="D258" t="s">
        <v>43</v>
      </c>
      <c r="E258" t="s">
        <v>44</v>
      </c>
      <c r="F258" t="s">
        <v>85</v>
      </c>
      <c r="G258" t="s">
        <v>36</v>
      </c>
      <c r="H258" t="s">
        <v>66</v>
      </c>
      <c r="I258" t="s">
        <v>20</v>
      </c>
      <c r="J258">
        <v>3</v>
      </c>
      <c r="K258">
        <v>171</v>
      </c>
      <c r="L258">
        <v>513</v>
      </c>
      <c r="M258">
        <v>37</v>
      </c>
      <c r="N258" t="s">
        <v>38</v>
      </c>
      <c r="O258">
        <v>4</v>
      </c>
      <c r="P258" s="2">
        <f>EOMONTH(Table1[[#This Row],[Order_Date]],0)</f>
        <v>45504</v>
      </c>
      <c r="Q258" s="3">
        <f>WEEKNUM(Table1[[#This Row],[Order_Date]])</f>
        <v>28</v>
      </c>
      <c r="R258">
        <f>YEAR(Table1[[#This Row],[Order_Date]])</f>
        <v>2024</v>
      </c>
      <c r="S258" t="str">
        <f>IF(Table1[[#This Row],[Quantity]]&gt;=3,"Promo","Regular")</f>
        <v>Promo</v>
      </c>
    </row>
    <row r="259" spans="1:19" x14ac:dyDescent="0.35">
      <c r="A259" t="s">
        <v>1888</v>
      </c>
      <c r="B259" t="s">
        <v>332</v>
      </c>
      <c r="C259" s="1">
        <v>45478</v>
      </c>
      <c r="D259" t="s">
        <v>15</v>
      </c>
      <c r="E259" t="s">
        <v>103</v>
      </c>
      <c r="F259" t="s">
        <v>17</v>
      </c>
      <c r="G259" t="s">
        <v>18</v>
      </c>
      <c r="H259" t="s">
        <v>59</v>
      </c>
      <c r="I259" t="s">
        <v>60</v>
      </c>
      <c r="J259">
        <v>5</v>
      </c>
      <c r="K259">
        <v>449</v>
      </c>
      <c r="L259">
        <v>2245</v>
      </c>
      <c r="M259">
        <v>51</v>
      </c>
      <c r="N259" t="s">
        <v>38</v>
      </c>
      <c r="O259">
        <v>4</v>
      </c>
      <c r="P259" s="2">
        <f>EOMONTH(Table1[[#This Row],[Order_Date]],0)</f>
        <v>45504</v>
      </c>
      <c r="Q259" s="3">
        <f>WEEKNUM(Table1[[#This Row],[Order_Date]])</f>
        <v>27</v>
      </c>
      <c r="R259">
        <f>YEAR(Table1[[#This Row],[Order_Date]])</f>
        <v>2024</v>
      </c>
      <c r="S259" t="str">
        <f>IF(Table1[[#This Row],[Quantity]]&gt;=3,"Promo","Regular")</f>
        <v>Promo</v>
      </c>
    </row>
    <row r="260" spans="1:19" x14ac:dyDescent="0.35">
      <c r="A260" t="s">
        <v>1888</v>
      </c>
      <c r="B260" t="s">
        <v>333</v>
      </c>
      <c r="C260" s="1">
        <v>45340</v>
      </c>
      <c r="D260" t="s">
        <v>48</v>
      </c>
      <c r="E260" t="s">
        <v>64</v>
      </c>
      <c r="F260" t="s">
        <v>35</v>
      </c>
      <c r="G260" t="s">
        <v>73</v>
      </c>
      <c r="H260" t="s">
        <v>26</v>
      </c>
      <c r="I260" t="s">
        <v>20</v>
      </c>
      <c r="J260">
        <v>5</v>
      </c>
      <c r="K260">
        <v>446</v>
      </c>
      <c r="L260">
        <v>2230</v>
      </c>
      <c r="M260">
        <v>45</v>
      </c>
      <c r="N260" t="s">
        <v>21</v>
      </c>
      <c r="O260">
        <v>4.5</v>
      </c>
      <c r="P260" s="2">
        <f>EOMONTH(Table1[[#This Row],[Order_Date]],0)</f>
        <v>45351</v>
      </c>
      <c r="Q260" s="3">
        <f>WEEKNUM(Table1[[#This Row],[Order_Date]])</f>
        <v>8</v>
      </c>
      <c r="R260">
        <f>YEAR(Table1[[#This Row],[Order_Date]])</f>
        <v>2024</v>
      </c>
      <c r="S260" t="str">
        <f>IF(Table1[[#This Row],[Quantity]]&gt;=3,"Promo","Regular")</f>
        <v>Promo</v>
      </c>
    </row>
    <row r="261" spans="1:19" x14ac:dyDescent="0.35">
      <c r="A261" t="s">
        <v>1888</v>
      </c>
      <c r="B261" t="s">
        <v>334</v>
      </c>
      <c r="C261" s="1">
        <v>45346</v>
      </c>
      <c r="D261" t="s">
        <v>57</v>
      </c>
      <c r="E261" t="s">
        <v>136</v>
      </c>
      <c r="F261" t="s">
        <v>45</v>
      </c>
      <c r="G261" t="s">
        <v>25</v>
      </c>
      <c r="H261" t="s">
        <v>53</v>
      </c>
      <c r="I261" t="s">
        <v>20</v>
      </c>
      <c r="J261">
        <v>3</v>
      </c>
      <c r="K261">
        <v>320</v>
      </c>
      <c r="L261">
        <v>960</v>
      </c>
      <c r="M261">
        <v>39</v>
      </c>
      <c r="N261" t="s">
        <v>33</v>
      </c>
      <c r="O261">
        <v>3.9</v>
      </c>
      <c r="P261" s="2">
        <f>EOMONTH(Table1[[#This Row],[Order_Date]],0)</f>
        <v>45351</v>
      </c>
      <c r="Q261" s="3">
        <f>WEEKNUM(Table1[[#This Row],[Order_Date]])</f>
        <v>8</v>
      </c>
      <c r="R261">
        <f>YEAR(Table1[[#This Row],[Order_Date]])</f>
        <v>2024</v>
      </c>
      <c r="S261" t="str">
        <f>IF(Table1[[#This Row],[Quantity]]&gt;=3,"Promo","Regular")</f>
        <v>Promo</v>
      </c>
    </row>
    <row r="262" spans="1:19" x14ac:dyDescent="0.35">
      <c r="A262" t="s">
        <v>1889</v>
      </c>
      <c r="B262" t="s">
        <v>335</v>
      </c>
      <c r="C262" s="1">
        <v>45425</v>
      </c>
      <c r="D262" t="s">
        <v>48</v>
      </c>
      <c r="E262" t="s">
        <v>49</v>
      </c>
      <c r="F262" t="s">
        <v>69</v>
      </c>
      <c r="G262" t="s">
        <v>36</v>
      </c>
      <c r="H262" t="s">
        <v>37</v>
      </c>
      <c r="I262" t="s">
        <v>20</v>
      </c>
      <c r="J262">
        <v>2</v>
      </c>
      <c r="K262">
        <v>428</v>
      </c>
      <c r="L262">
        <v>856</v>
      </c>
      <c r="M262">
        <v>41</v>
      </c>
      <c r="N262" t="s">
        <v>21</v>
      </c>
      <c r="O262">
        <v>3.3</v>
      </c>
      <c r="P262" s="2">
        <f>EOMONTH(Table1[[#This Row],[Order_Date]],0)</f>
        <v>45443</v>
      </c>
      <c r="Q262" s="3">
        <f>WEEKNUM(Table1[[#This Row],[Order_Date]])</f>
        <v>20</v>
      </c>
      <c r="R262">
        <f>YEAR(Table1[[#This Row],[Order_Date]])</f>
        <v>2024</v>
      </c>
      <c r="S262" t="str">
        <f>IF(Table1[[#This Row],[Quantity]]&gt;=3,"Promo","Regular")</f>
        <v>Regular</v>
      </c>
    </row>
    <row r="263" spans="1:19" x14ac:dyDescent="0.35">
      <c r="A263" t="s">
        <v>1889</v>
      </c>
      <c r="B263" t="s">
        <v>336</v>
      </c>
      <c r="C263" s="1">
        <v>45476</v>
      </c>
      <c r="D263" t="s">
        <v>15</v>
      </c>
      <c r="E263" t="s">
        <v>112</v>
      </c>
      <c r="F263" t="s">
        <v>69</v>
      </c>
      <c r="G263" t="s">
        <v>31</v>
      </c>
      <c r="H263" t="s">
        <v>120</v>
      </c>
      <c r="I263" t="s">
        <v>60</v>
      </c>
      <c r="J263">
        <v>2</v>
      </c>
      <c r="K263">
        <v>343</v>
      </c>
      <c r="L263">
        <v>686</v>
      </c>
      <c r="M263">
        <v>56</v>
      </c>
      <c r="N263" t="s">
        <v>33</v>
      </c>
      <c r="O263">
        <v>4.9000000000000004</v>
      </c>
      <c r="P263" s="2">
        <f>EOMONTH(Table1[[#This Row],[Order_Date]],0)</f>
        <v>45504</v>
      </c>
      <c r="Q263" s="3">
        <f>WEEKNUM(Table1[[#This Row],[Order_Date]])</f>
        <v>27</v>
      </c>
      <c r="R263">
        <f>YEAR(Table1[[#This Row],[Order_Date]])</f>
        <v>2024</v>
      </c>
      <c r="S263" t="str">
        <f>IF(Table1[[#This Row],[Quantity]]&gt;=3,"Promo","Regular")</f>
        <v>Regular</v>
      </c>
    </row>
    <row r="264" spans="1:19" x14ac:dyDescent="0.35">
      <c r="A264" t="s">
        <v>1889</v>
      </c>
      <c r="B264" t="s">
        <v>337</v>
      </c>
      <c r="C264" s="1">
        <v>45579</v>
      </c>
      <c r="D264" t="s">
        <v>57</v>
      </c>
      <c r="E264" t="s">
        <v>58</v>
      </c>
      <c r="F264" t="s">
        <v>85</v>
      </c>
      <c r="G264" t="s">
        <v>73</v>
      </c>
      <c r="H264" t="s">
        <v>59</v>
      </c>
      <c r="I264" t="s">
        <v>60</v>
      </c>
      <c r="J264">
        <v>5</v>
      </c>
      <c r="K264">
        <v>144</v>
      </c>
      <c r="L264">
        <v>720</v>
      </c>
      <c r="M264">
        <v>35</v>
      </c>
      <c r="N264" t="s">
        <v>21</v>
      </c>
      <c r="O264">
        <v>3.3</v>
      </c>
      <c r="P264" s="2">
        <f>EOMONTH(Table1[[#This Row],[Order_Date]],0)</f>
        <v>45596</v>
      </c>
      <c r="Q264" s="3">
        <f>WEEKNUM(Table1[[#This Row],[Order_Date]])</f>
        <v>42</v>
      </c>
      <c r="R264">
        <f>YEAR(Table1[[#This Row],[Order_Date]])</f>
        <v>2024</v>
      </c>
      <c r="S264" t="str">
        <f>IF(Table1[[#This Row],[Quantity]]&gt;=3,"Promo","Regular")</f>
        <v>Promo</v>
      </c>
    </row>
    <row r="265" spans="1:19" x14ac:dyDescent="0.35">
      <c r="A265" t="s">
        <v>1889</v>
      </c>
      <c r="B265" t="s">
        <v>338</v>
      </c>
      <c r="C265" s="1">
        <v>45369</v>
      </c>
      <c r="D265" t="s">
        <v>43</v>
      </c>
      <c r="E265" t="s">
        <v>110</v>
      </c>
      <c r="F265" t="s">
        <v>45</v>
      </c>
      <c r="G265" t="s">
        <v>73</v>
      </c>
      <c r="H265" t="s">
        <v>120</v>
      </c>
      <c r="I265" t="s">
        <v>60</v>
      </c>
      <c r="J265">
        <v>1</v>
      </c>
      <c r="K265">
        <v>476</v>
      </c>
      <c r="L265">
        <v>476</v>
      </c>
      <c r="M265">
        <v>22</v>
      </c>
      <c r="N265" t="s">
        <v>33</v>
      </c>
      <c r="O265">
        <v>4.2</v>
      </c>
      <c r="P265" s="2">
        <f>EOMONTH(Table1[[#This Row],[Order_Date]],0)</f>
        <v>45382</v>
      </c>
      <c r="Q265" s="3">
        <f>WEEKNUM(Table1[[#This Row],[Order_Date]])</f>
        <v>12</v>
      </c>
      <c r="R265">
        <f>YEAR(Table1[[#This Row],[Order_Date]])</f>
        <v>2024</v>
      </c>
      <c r="S265" t="str">
        <f>IF(Table1[[#This Row],[Quantity]]&gt;=3,"Promo","Regular")</f>
        <v>Regular</v>
      </c>
    </row>
    <row r="266" spans="1:19" x14ac:dyDescent="0.35">
      <c r="A266" t="s">
        <v>1889</v>
      </c>
      <c r="B266" t="s">
        <v>339</v>
      </c>
      <c r="C266" s="1">
        <v>45417</v>
      </c>
      <c r="D266" t="s">
        <v>48</v>
      </c>
      <c r="E266" t="s">
        <v>68</v>
      </c>
      <c r="F266" t="s">
        <v>45</v>
      </c>
      <c r="G266" t="s">
        <v>18</v>
      </c>
      <c r="H266" t="s">
        <v>66</v>
      </c>
      <c r="I266" t="s">
        <v>20</v>
      </c>
      <c r="J266">
        <v>1</v>
      </c>
      <c r="K266">
        <v>421</v>
      </c>
      <c r="L266">
        <v>421</v>
      </c>
      <c r="M266">
        <v>20</v>
      </c>
      <c r="N266" t="s">
        <v>33</v>
      </c>
      <c r="O266">
        <v>3.5</v>
      </c>
      <c r="P266" s="2">
        <f>EOMONTH(Table1[[#This Row],[Order_Date]],0)</f>
        <v>45443</v>
      </c>
      <c r="Q266" s="3">
        <f>WEEKNUM(Table1[[#This Row],[Order_Date]])</f>
        <v>19</v>
      </c>
      <c r="R266">
        <f>YEAR(Table1[[#This Row],[Order_Date]])</f>
        <v>2024</v>
      </c>
      <c r="S266" t="str">
        <f>IF(Table1[[#This Row],[Quantity]]&gt;=3,"Promo","Regular")</f>
        <v>Regular</v>
      </c>
    </row>
    <row r="267" spans="1:19" x14ac:dyDescent="0.35">
      <c r="A267" t="s">
        <v>1890</v>
      </c>
      <c r="B267" t="s">
        <v>340</v>
      </c>
      <c r="C267" s="1">
        <v>45446</v>
      </c>
      <c r="D267" t="s">
        <v>48</v>
      </c>
      <c r="E267" t="s">
        <v>49</v>
      </c>
      <c r="F267" t="s">
        <v>17</v>
      </c>
      <c r="G267" t="s">
        <v>31</v>
      </c>
      <c r="H267" t="s">
        <v>55</v>
      </c>
      <c r="I267" t="s">
        <v>20</v>
      </c>
      <c r="J267">
        <v>5</v>
      </c>
      <c r="K267">
        <v>305</v>
      </c>
      <c r="L267">
        <v>1525</v>
      </c>
      <c r="M267">
        <v>20</v>
      </c>
      <c r="N267" t="s">
        <v>21</v>
      </c>
      <c r="O267">
        <v>3</v>
      </c>
      <c r="P267" s="2">
        <f>EOMONTH(Table1[[#This Row],[Order_Date]],0)</f>
        <v>45473</v>
      </c>
      <c r="Q267" s="3">
        <f>WEEKNUM(Table1[[#This Row],[Order_Date]])</f>
        <v>23</v>
      </c>
      <c r="R267">
        <f>YEAR(Table1[[#This Row],[Order_Date]])</f>
        <v>2024</v>
      </c>
      <c r="S267" t="str">
        <f>IF(Table1[[#This Row],[Quantity]]&gt;=3,"Promo","Regular")</f>
        <v>Promo</v>
      </c>
    </row>
    <row r="268" spans="1:19" x14ac:dyDescent="0.35">
      <c r="A268" t="s">
        <v>1890</v>
      </c>
      <c r="B268" t="s">
        <v>341</v>
      </c>
      <c r="C268" s="1">
        <v>45523</v>
      </c>
      <c r="D268" t="s">
        <v>48</v>
      </c>
      <c r="E268" t="s">
        <v>49</v>
      </c>
      <c r="F268" t="s">
        <v>24</v>
      </c>
      <c r="G268" t="s">
        <v>25</v>
      </c>
      <c r="H268" t="s">
        <v>53</v>
      </c>
      <c r="I268" t="s">
        <v>20</v>
      </c>
      <c r="J268">
        <v>1</v>
      </c>
      <c r="K268">
        <v>297</v>
      </c>
      <c r="L268">
        <v>297</v>
      </c>
      <c r="M268">
        <v>44</v>
      </c>
      <c r="N268" t="s">
        <v>33</v>
      </c>
      <c r="O268">
        <v>3.4</v>
      </c>
      <c r="P268" s="2">
        <f>EOMONTH(Table1[[#This Row],[Order_Date]],0)</f>
        <v>45535</v>
      </c>
      <c r="Q268" s="3">
        <f>WEEKNUM(Table1[[#This Row],[Order_Date]])</f>
        <v>34</v>
      </c>
      <c r="R268">
        <f>YEAR(Table1[[#This Row],[Order_Date]])</f>
        <v>2024</v>
      </c>
      <c r="S268" t="str">
        <f>IF(Table1[[#This Row],[Quantity]]&gt;=3,"Promo","Regular")</f>
        <v>Regular</v>
      </c>
    </row>
    <row r="269" spans="1:19" x14ac:dyDescent="0.35">
      <c r="A269" t="s">
        <v>1890</v>
      </c>
      <c r="B269" t="s">
        <v>342</v>
      </c>
      <c r="C269" s="1">
        <v>45382</v>
      </c>
      <c r="D269" t="s">
        <v>57</v>
      </c>
      <c r="E269" t="s">
        <v>75</v>
      </c>
      <c r="F269" t="s">
        <v>69</v>
      </c>
      <c r="G269" t="s">
        <v>73</v>
      </c>
      <c r="H269" t="s">
        <v>50</v>
      </c>
      <c r="I269" t="s">
        <v>20</v>
      </c>
      <c r="J269">
        <v>3</v>
      </c>
      <c r="K269">
        <v>382</v>
      </c>
      <c r="L269">
        <v>1146</v>
      </c>
      <c r="M269">
        <v>43</v>
      </c>
      <c r="N269" t="s">
        <v>21</v>
      </c>
      <c r="O269">
        <v>4.5</v>
      </c>
      <c r="P269" s="2">
        <f>EOMONTH(Table1[[#This Row],[Order_Date]],0)</f>
        <v>45382</v>
      </c>
      <c r="Q269" s="3">
        <f>WEEKNUM(Table1[[#This Row],[Order_Date]])</f>
        <v>14</v>
      </c>
      <c r="R269">
        <f>YEAR(Table1[[#This Row],[Order_Date]])</f>
        <v>2024</v>
      </c>
      <c r="S269" t="str">
        <f>IF(Table1[[#This Row],[Quantity]]&gt;=3,"Promo","Regular")</f>
        <v>Promo</v>
      </c>
    </row>
    <row r="270" spans="1:19" x14ac:dyDescent="0.35">
      <c r="A270" t="s">
        <v>1890</v>
      </c>
      <c r="B270" t="s">
        <v>343</v>
      </c>
      <c r="C270" s="1">
        <v>45583</v>
      </c>
      <c r="D270" t="s">
        <v>15</v>
      </c>
      <c r="E270" t="s">
        <v>112</v>
      </c>
      <c r="F270" t="s">
        <v>72</v>
      </c>
      <c r="G270" t="s">
        <v>73</v>
      </c>
      <c r="H270" t="s">
        <v>19</v>
      </c>
      <c r="I270" t="s">
        <v>20</v>
      </c>
      <c r="J270">
        <v>2</v>
      </c>
      <c r="K270">
        <v>145</v>
      </c>
      <c r="L270">
        <v>290</v>
      </c>
      <c r="M270">
        <v>24</v>
      </c>
      <c r="N270" t="s">
        <v>33</v>
      </c>
      <c r="O270">
        <v>3.7</v>
      </c>
      <c r="P270" s="2">
        <f>EOMONTH(Table1[[#This Row],[Order_Date]],0)</f>
        <v>45596</v>
      </c>
      <c r="Q270" s="3">
        <f>WEEKNUM(Table1[[#This Row],[Order_Date]])</f>
        <v>42</v>
      </c>
      <c r="R270">
        <f>YEAR(Table1[[#This Row],[Order_Date]])</f>
        <v>2024</v>
      </c>
      <c r="S270" t="str">
        <f>IF(Table1[[#This Row],[Quantity]]&gt;=3,"Promo","Regular")</f>
        <v>Regular</v>
      </c>
    </row>
    <row r="271" spans="1:19" x14ac:dyDescent="0.35">
      <c r="A271" t="s">
        <v>1891</v>
      </c>
      <c r="B271" t="s">
        <v>344</v>
      </c>
      <c r="C271" s="1">
        <v>45338</v>
      </c>
      <c r="D271" t="s">
        <v>57</v>
      </c>
      <c r="E271" t="s">
        <v>105</v>
      </c>
      <c r="F271" t="s">
        <v>35</v>
      </c>
      <c r="G271" t="s">
        <v>36</v>
      </c>
      <c r="H271" t="s">
        <v>26</v>
      </c>
      <c r="I271" t="s">
        <v>20</v>
      </c>
      <c r="J271">
        <v>4</v>
      </c>
      <c r="K271">
        <v>449</v>
      </c>
      <c r="L271">
        <v>1796</v>
      </c>
      <c r="M271">
        <v>36</v>
      </c>
      <c r="N271" t="s">
        <v>33</v>
      </c>
      <c r="O271">
        <v>4.8</v>
      </c>
      <c r="P271" s="2">
        <f>EOMONTH(Table1[[#This Row],[Order_Date]],0)</f>
        <v>45351</v>
      </c>
      <c r="Q271" s="3">
        <f>WEEKNUM(Table1[[#This Row],[Order_Date]])</f>
        <v>7</v>
      </c>
      <c r="R271">
        <f>YEAR(Table1[[#This Row],[Order_Date]])</f>
        <v>2024</v>
      </c>
      <c r="S271" t="str">
        <f>IF(Table1[[#This Row],[Quantity]]&gt;=3,"Promo","Regular")</f>
        <v>Promo</v>
      </c>
    </row>
    <row r="272" spans="1:19" x14ac:dyDescent="0.35">
      <c r="A272" t="s">
        <v>1891</v>
      </c>
      <c r="B272" t="s">
        <v>345</v>
      </c>
      <c r="C272" s="1">
        <v>45508</v>
      </c>
      <c r="D272" t="s">
        <v>48</v>
      </c>
      <c r="E272" t="s">
        <v>49</v>
      </c>
      <c r="F272" t="s">
        <v>35</v>
      </c>
      <c r="G272" t="s">
        <v>73</v>
      </c>
      <c r="H272" t="s">
        <v>66</v>
      </c>
      <c r="I272" t="s">
        <v>20</v>
      </c>
      <c r="J272">
        <v>5</v>
      </c>
      <c r="K272">
        <v>491</v>
      </c>
      <c r="L272">
        <v>2455</v>
      </c>
      <c r="M272">
        <v>27</v>
      </c>
      <c r="N272" t="s">
        <v>21</v>
      </c>
      <c r="O272">
        <v>3.6</v>
      </c>
      <c r="P272" s="2">
        <f>EOMONTH(Table1[[#This Row],[Order_Date]],0)</f>
        <v>45535</v>
      </c>
      <c r="Q272" s="3">
        <f>WEEKNUM(Table1[[#This Row],[Order_Date]])</f>
        <v>32</v>
      </c>
      <c r="R272">
        <f>YEAR(Table1[[#This Row],[Order_Date]])</f>
        <v>2024</v>
      </c>
      <c r="S272" t="str">
        <f>IF(Table1[[#This Row],[Quantity]]&gt;=3,"Promo","Regular")</f>
        <v>Promo</v>
      </c>
    </row>
    <row r="273" spans="1:19" x14ac:dyDescent="0.35">
      <c r="A273" t="s">
        <v>1891</v>
      </c>
      <c r="B273" t="s">
        <v>346</v>
      </c>
      <c r="C273" s="1">
        <v>45461</v>
      </c>
      <c r="D273" t="s">
        <v>57</v>
      </c>
      <c r="E273" t="s">
        <v>58</v>
      </c>
      <c r="F273" t="s">
        <v>85</v>
      </c>
      <c r="G273" t="s">
        <v>31</v>
      </c>
      <c r="H273" t="s">
        <v>53</v>
      </c>
      <c r="I273" t="s">
        <v>20</v>
      </c>
      <c r="J273">
        <v>2</v>
      </c>
      <c r="K273">
        <v>233</v>
      </c>
      <c r="L273">
        <v>466</v>
      </c>
      <c r="M273">
        <v>55</v>
      </c>
      <c r="N273" t="s">
        <v>33</v>
      </c>
      <c r="O273">
        <v>3.6</v>
      </c>
      <c r="P273" s="2">
        <f>EOMONTH(Table1[[#This Row],[Order_Date]],0)</f>
        <v>45473</v>
      </c>
      <c r="Q273" s="3">
        <f>WEEKNUM(Table1[[#This Row],[Order_Date]])</f>
        <v>25</v>
      </c>
      <c r="R273">
        <f>YEAR(Table1[[#This Row],[Order_Date]])</f>
        <v>2024</v>
      </c>
      <c r="S273" t="str">
        <f>IF(Table1[[#This Row],[Quantity]]&gt;=3,"Promo","Regular")</f>
        <v>Regular</v>
      </c>
    </row>
    <row r="274" spans="1:19" x14ac:dyDescent="0.35">
      <c r="A274" t="s">
        <v>1891</v>
      </c>
      <c r="B274" t="s">
        <v>347</v>
      </c>
      <c r="C274" s="1">
        <v>45568</v>
      </c>
      <c r="D274" t="s">
        <v>28</v>
      </c>
      <c r="E274" t="s">
        <v>29</v>
      </c>
      <c r="F274" t="s">
        <v>65</v>
      </c>
      <c r="G274" t="s">
        <v>18</v>
      </c>
      <c r="H274" t="s">
        <v>50</v>
      </c>
      <c r="I274" t="s">
        <v>20</v>
      </c>
      <c r="J274">
        <v>4</v>
      </c>
      <c r="K274">
        <v>170</v>
      </c>
      <c r="L274">
        <v>680</v>
      </c>
      <c r="M274">
        <v>52</v>
      </c>
      <c r="N274" t="s">
        <v>38</v>
      </c>
      <c r="O274">
        <v>3.6</v>
      </c>
      <c r="P274" s="2">
        <f>EOMONTH(Table1[[#This Row],[Order_Date]],0)</f>
        <v>45596</v>
      </c>
      <c r="Q274" s="3">
        <f>WEEKNUM(Table1[[#This Row],[Order_Date]])</f>
        <v>40</v>
      </c>
      <c r="R274">
        <f>YEAR(Table1[[#This Row],[Order_Date]])</f>
        <v>2024</v>
      </c>
      <c r="S274" t="str">
        <f>IF(Table1[[#This Row],[Quantity]]&gt;=3,"Promo","Regular")</f>
        <v>Promo</v>
      </c>
    </row>
    <row r="275" spans="1:19" x14ac:dyDescent="0.35">
      <c r="A275" t="s">
        <v>1891</v>
      </c>
      <c r="B275" t="s">
        <v>348</v>
      </c>
      <c r="C275" s="1">
        <v>45357</v>
      </c>
      <c r="D275" t="s">
        <v>28</v>
      </c>
      <c r="E275" t="s">
        <v>40</v>
      </c>
      <c r="F275" t="s">
        <v>41</v>
      </c>
      <c r="G275" t="s">
        <v>46</v>
      </c>
      <c r="H275" t="s">
        <v>19</v>
      </c>
      <c r="I275" t="s">
        <v>20</v>
      </c>
      <c r="J275">
        <v>3</v>
      </c>
      <c r="K275">
        <v>136</v>
      </c>
      <c r="L275">
        <v>408</v>
      </c>
      <c r="M275">
        <v>52</v>
      </c>
      <c r="N275" t="s">
        <v>33</v>
      </c>
      <c r="O275">
        <v>3.8</v>
      </c>
      <c r="P275" s="2">
        <f>EOMONTH(Table1[[#This Row],[Order_Date]],0)</f>
        <v>45382</v>
      </c>
      <c r="Q275" s="3">
        <f>WEEKNUM(Table1[[#This Row],[Order_Date]])</f>
        <v>10</v>
      </c>
      <c r="R275">
        <f>YEAR(Table1[[#This Row],[Order_Date]])</f>
        <v>2024</v>
      </c>
      <c r="S275" t="str">
        <f>IF(Table1[[#This Row],[Quantity]]&gt;=3,"Promo","Regular")</f>
        <v>Promo</v>
      </c>
    </row>
    <row r="276" spans="1:19" x14ac:dyDescent="0.35">
      <c r="A276" t="s">
        <v>1892</v>
      </c>
      <c r="B276" t="s">
        <v>349</v>
      </c>
      <c r="C276" s="1">
        <v>45361</v>
      </c>
      <c r="D276" t="s">
        <v>48</v>
      </c>
      <c r="E276" t="s">
        <v>68</v>
      </c>
      <c r="F276" t="s">
        <v>69</v>
      </c>
      <c r="G276" t="s">
        <v>73</v>
      </c>
      <c r="H276" t="s">
        <v>32</v>
      </c>
      <c r="I276" t="s">
        <v>20</v>
      </c>
      <c r="J276">
        <v>2</v>
      </c>
      <c r="K276">
        <v>198</v>
      </c>
      <c r="L276">
        <v>396</v>
      </c>
      <c r="M276">
        <v>38</v>
      </c>
      <c r="N276" t="s">
        <v>21</v>
      </c>
      <c r="O276">
        <v>3.6</v>
      </c>
      <c r="P276" s="2">
        <f>EOMONTH(Table1[[#This Row],[Order_Date]],0)</f>
        <v>45382</v>
      </c>
      <c r="Q276" s="3">
        <f>WEEKNUM(Table1[[#This Row],[Order_Date]])</f>
        <v>11</v>
      </c>
      <c r="R276">
        <f>YEAR(Table1[[#This Row],[Order_Date]])</f>
        <v>2024</v>
      </c>
      <c r="S276" t="str">
        <f>IF(Table1[[#This Row],[Quantity]]&gt;=3,"Promo","Regular")</f>
        <v>Regular</v>
      </c>
    </row>
    <row r="277" spans="1:19" x14ac:dyDescent="0.35">
      <c r="A277" t="s">
        <v>1892</v>
      </c>
      <c r="B277" t="s">
        <v>350</v>
      </c>
      <c r="C277" s="1">
        <v>45524</v>
      </c>
      <c r="D277" t="s">
        <v>28</v>
      </c>
      <c r="E277" t="s">
        <v>77</v>
      </c>
      <c r="F277" t="s">
        <v>45</v>
      </c>
      <c r="G277" t="s">
        <v>46</v>
      </c>
      <c r="H277" t="s">
        <v>26</v>
      </c>
      <c r="I277" t="s">
        <v>20</v>
      </c>
      <c r="J277">
        <v>5</v>
      </c>
      <c r="K277">
        <v>328</v>
      </c>
      <c r="L277">
        <v>1640</v>
      </c>
      <c r="M277">
        <v>20</v>
      </c>
      <c r="N277" t="s">
        <v>33</v>
      </c>
      <c r="O277">
        <v>3.5</v>
      </c>
      <c r="P277" s="2">
        <f>EOMONTH(Table1[[#This Row],[Order_Date]],0)</f>
        <v>45535</v>
      </c>
      <c r="Q277" s="3">
        <f>WEEKNUM(Table1[[#This Row],[Order_Date]])</f>
        <v>34</v>
      </c>
      <c r="R277">
        <f>YEAR(Table1[[#This Row],[Order_Date]])</f>
        <v>2024</v>
      </c>
      <c r="S277" t="str">
        <f>IF(Table1[[#This Row],[Quantity]]&gt;=3,"Promo","Regular")</f>
        <v>Promo</v>
      </c>
    </row>
    <row r="278" spans="1:19" x14ac:dyDescent="0.35">
      <c r="A278" t="s">
        <v>1892</v>
      </c>
      <c r="B278" t="s">
        <v>351</v>
      </c>
      <c r="C278" s="1">
        <v>45413</v>
      </c>
      <c r="D278" t="s">
        <v>48</v>
      </c>
      <c r="E278" t="s">
        <v>64</v>
      </c>
      <c r="F278" t="s">
        <v>30</v>
      </c>
      <c r="G278" t="s">
        <v>36</v>
      </c>
      <c r="H278" t="s">
        <v>66</v>
      </c>
      <c r="I278" t="s">
        <v>20</v>
      </c>
      <c r="J278">
        <v>2</v>
      </c>
      <c r="K278">
        <v>159</v>
      </c>
      <c r="L278">
        <v>318</v>
      </c>
      <c r="M278">
        <v>53</v>
      </c>
      <c r="N278" t="s">
        <v>38</v>
      </c>
      <c r="O278">
        <v>4.8</v>
      </c>
      <c r="P278" s="2">
        <f>EOMONTH(Table1[[#This Row],[Order_Date]],0)</f>
        <v>45443</v>
      </c>
      <c r="Q278" s="3">
        <f>WEEKNUM(Table1[[#This Row],[Order_Date]])</f>
        <v>18</v>
      </c>
      <c r="R278">
        <f>YEAR(Table1[[#This Row],[Order_Date]])</f>
        <v>2024</v>
      </c>
      <c r="S278" t="str">
        <f>IF(Table1[[#This Row],[Quantity]]&gt;=3,"Promo","Regular")</f>
        <v>Regular</v>
      </c>
    </row>
    <row r="279" spans="1:19" x14ac:dyDescent="0.35">
      <c r="A279" t="s">
        <v>1892</v>
      </c>
      <c r="B279" t="s">
        <v>352</v>
      </c>
      <c r="C279" s="1">
        <v>45497</v>
      </c>
      <c r="D279" t="s">
        <v>48</v>
      </c>
      <c r="E279" t="s">
        <v>68</v>
      </c>
      <c r="F279" t="s">
        <v>69</v>
      </c>
      <c r="G279" t="s">
        <v>73</v>
      </c>
      <c r="H279" t="s">
        <v>120</v>
      </c>
      <c r="I279" t="s">
        <v>60</v>
      </c>
      <c r="J279">
        <v>3</v>
      </c>
      <c r="K279">
        <v>237</v>
      </c>
      <c r="L279">
        <v>711</v>
      </c>
      <c r="M279">
        <v>34</v>
      </c>
      <c r="N279" t="s">
        <v>33</v>
      </c>
      <c r="O279">
        <v>3.1</v>
      </c>
      <c r="P279" s="2">
        <f>EOMONTH(Table1[[#This Row],[Order_Date]],0)</f>
        <v>45504</v>
      </c>
      <c r="Q279" s="3">
        <f>WEEKNUM(Table1[[#This Row],[Order_Date]])</f>
        <v>30</v>
      </c>
      <c r="R279">
        <f>YEAR(Table1[[#This Row],[Order_Date]])</f>
        <v>2024</v>
      </c>
      <c r="S279" t="str">
        <f>IF(Table1[[#This Row],[Quantity]]&gt;=3,"Promo","Regular")</f>
        <v>Promo</v>
      </c>
    </row>
    <row r="280" spans="1:19" x14ac:dyDescent="0.35">
      <c r="A280" t="s">
        <v>1893</v>
      </c>
      <c r="B280" t="s">
        <v>353</v>
      </c>
      <c r="C280" s="1">
        <v>45535</v>
      </c>
      <c r="D280" t="s">
        <v>28</v>
      </c>
      <c r="E280" t="s">
        <v>98</v>
      </c>
      <c r="F280" t="s">
        <v>45</v>
      </c>
      <c r="G280" t="s">
        <v>46</v>
      </c>
      <c r="H280" t="s">
        <v>32</v>
      </c>
      <c r="I280" t="s">
        <v>20</v>
      </c>
      <c r="J280">
        <v>5</v>
      </c>
      <c r="K280">
        <v>399</v>
      </c>
      <c r="L280">
        <v>1995</v>
      </c>
      <c r="M280">
        <v>43</v>
      </c>
      <c r="N280" t="s">
        <v>38</v>
      </c>
      <c r="O280">
        <v>4.4000000000000004</v>
      </c>
      <c r="P280" s="2">
        <f>EOMONTH(Table1[[#This Row],[Order_Date]],0)</f>
        <v>45535</v>
      </c>
      <c r="Q280" s="3">
        <f>WEEKNUM(Table1[[#This Row],[Order_Date]])</f>
        <v>35</v>
      </c>
      <c r="R280">
        <f>YEAR(Table1[[#This Row],[Order_Date]])</f>
        <v>2024</v>
      </c>
      <c r="S280" t="str">
        <f>IF(Table1[[#This Row],[Quantity]]&gt;=3,"Promo","Regular")</f>
        <v>Promo</v>
      </c>
    </row>
    <row r="281" spans="1:19" x14ac:dyDescent="0.35">
      <c r="A281" t="s">
        <v>1893</v>
      </c>
      <c r="B281" t="s">
        <v>354</v>
      </c>
      <c r="C281" s="1">
        <v>45380</v>
      </c>
      <c r="D281" t="s">
        <v>57</v>
      </c>
      <c r="E281" t="s">
        <v>136</v>
      </c>
      <c r="F281" t="s">
        <v>65</v>
      </c>
      <c r="G281" t="s">
        <v>31</v>
      </c>
      <c r="H281" t="s">
        <v>66</v>
      </c>
      <c r="I281" t="s">
        <v>20</v>
      </c>
      <c r="J281">
        <v>5</v>
      </c>
      <c r="K281">
        <v>213</v>
      </c>
      <c r="L281">
        <v>1065</v>
      </c>
      <c r="M281">
        <v>20</v>
      </c>
      <c r="N281" t="s">
        <v>33</v>
      </c>
      <c r="O281">
        <v>3.3</v>
      </c>
      <c r="P281" s="2">
        <f>EOMONTH(Table1[[#This Row],[Order_Date]],0)</f>
        <v>45382</v>
      </c>
      <c r="Q281" s="3">
        <f>WEEKNUM(Table1[[#This Row],[Order_Date]])</f>
        <v>13</v>
      </c>
      <c r="R281">
        <f>YEAR(Table1[[#This Row],[Order_Date]])</f>
        <v>2024</v>
      </c>
      <c r="S281" t="str">
        <f>IF(Table1[[#This Row],[Quantity]]&gt;=3,"Promo","Regular")</f>
        <v>Promo</v>
      </c>
    </row>
    <row r="282" spans="1:19" x14ac:dyDescent="0.35">
      <c r="A282" t="s">
        <v>1894</v>
      </c>
      <c r="B282" t="s">
        <v>355</v>
      </c>
      <c r="C282" s="1">
        <v>45497</v>
      </c>
      <c r="D282" t="s">
        <v>28</v>
      </c>
      <c r="E282" t="s">
        <v>40</v>
      </c>
      <c r="F282" t="s">
        <v>65</v>
      </c>
      <c r="G282" t="s">
        <v>73</v>
      </c>
      <c r="H282" t="s">
        <v>32</v>
      </c>
      <c r="I282" t="s">
        <v>20</v>
      </c>
      <c r="J282">
        <v>4</v>
      </c>
      <c r="K282">
        <v>137</v>
      </c>
      <c r="L282">
        <v>548</v>
      </c>
      <c r="M282">
        <v>52</v>
      </c>
      <c r="N282" t="s">
        <v>38</v>
      </c>
      <c r="O282">
        <v>3.8</v>
      </c>
      <c r="P282" s="2">
        <f>EOMONTH(Table1[[#This Row],[Order_Date]],0)</f>
        <v>45504</v>
      </c>
      <c r="Q282" s="3">
        <f>WEEKNUM(Table1[[#This Row],[Order_Date]])</f>
        <v>30</v>
      </c>
      <c r="R282">
        <f>YEAR(Table1[[#This Row],[Order_Date]])</f>
        <v>2024</v>
      </c>
      <c r="S282" t="str">
        <f>IF(Table1[[#This Row],[Quantity]]&gt;=3,"Promo","Regular")</f>
        <v>Promo</v>
      </c>
    </row>
    <row r="283" spans="1:19" x14ac:dyDescent="0.35">
      <c r="A283" t="s">
        <v>1894</v>
      </c>
      <c r="B283" t="s">
        <v>356</v>
      </c>
      <c r="C283" s="1">
        <v>45377</v>
      </c>
      <c r="D283" t="s">
        <v>43</v>
      </c>
      <c r="E283" t="s">
        <v>44</v>
      </c>
      <c r="F283" t="s">
        <v>17</v>
      </c>
      <c r="G283" t="s">
        <v>36</v>
      </c>
      <c r="H283" t="s">
        <v>32</v>
      </c>
      <c r="I283" t="s">
        <v>20</v>
      </c>
      <c r="J283">
        <v>3</v>
      </c>
      <c r="K283">
        <v>396</v>
      </c>
      <c r="L283">
        <v>1188</v>
      </c>
      <c r="M283">
        <v>60</v>
      </c>
      <c r="N283" t="s">
        <v>38</v>
      </c>
      <c r="O283">
        <v>5</v>
      </c>
      <c r="P283" s="2">
        <f>EOMONTH(Table1[[#This Row],[Order_Date]],0)</f>
        <v>45382</v>
      </c>
      <c r="Q283" s="3">
        <f>WEEKNUM(Table1[[#This Row],[Order_Date]])</f>
        <v>13</v>
      </c>
      <c r="R283">
        <f>YEAR(Table1[[#This Row],[Order_Date]])</f>
        <v>2024</v>
      </c>
      <c r="S283" t="str">
        <f>IF(Table1[[#This Row],[Quantity]]&gt;=3,"Promo","Regular")</f>
        <v>Promo</v>
      </c>
    </row>
    <row r="284" spans="1:19" x14ac:dyDescent="0.35">
      <c r="A284" t="s">
        <v>1894</v>
      </c>
      <c r="B284" t="s">
        <v>357</v>
      </c>
      <c r="C284" s="1">
        <v>45560</v>
      </c>
      <c r="D284" t="s">
        <v>57</v>
      </c>
      <c r="E284" t="s">
        <v>62</v>
      </c>
      <c r="F284" t="s">
        <v>24</v>
      </c>
      <c r="G284" t="s">
        <v>36</v>
      </c>
      <c r="H284" t="s">
        <v>37</v>
      </c>
      <c r="I284" t="s">
        <v>20</v>
      </c>
      <c r="J284">
        <v>3</v>
      </c>
      <c r="K284">
        <v>125</v>
      </c>
      <c r="L284">
        <v>375</v>
      </c>
      <c r="M284">
        <v>46</v>
      </c>
      <c r="N284" t="s">
        <v>21</v>
      </c>
      <c r="O284">
        <v>3.8</v>
      </c>
      <c r="P284" s="2">
        <f>EOMONTH(Table1[[#This Row],[Order_Date]],0)</f>
        <v>45565</v>
      </c>
      <c r="Q284" s="3">
        <f>WEEKNUM(Table1[[#This Row],[Order_Date]])</f>
        <v>39</v>
      </c>
      <c r="R284">
        <f>YEAR(Table1[[#This Row],[Order_Date]])</f>
        <v>2024</v>
      </c>
      <c r="S284" t="str">
        <f>IF(Table1[[#This Row],[Quantity]]&gt;=3,"Promo","Regular")</f>
        <v>Promo</v>
      </c>
    </row>
    <row r="285" spans="1:19" x14ac:dyDescent="0.35">
      <c r="A285" t="s">
        <v>1895</v>
      </c>
      <c r="B285" t="s">
        <v>358</v>
      </c>
      <c r="C285" s="1">
        <v>45529</v>
      </c>
      <c r="D285" t="s">
        <v>57</v>
      </c>
      <c r="E285" t="s">
        <v>105</v>
      </c>
      <c r="F285" t="s">
        <v>24</v>
      </c>
      <c r="G285" t="s">
        <v>18</v>
      </c>
      <c r="H285" t="s">
        <v>50</v>
      </c>
      <c r="I285" t="s">
        <v>20</v>
      </c>
      <c r="J285">
        <v>4</v>
      </c>
      <c r="K285">
        <v>460</v>
      </c>
      <c r="L285">
        <v>1840</v>
      </c>
      <c r="M285">
        <v>58</v>
      </c>
      <c r="N285" t="s">
        <v>38</v>
      </c>
      <c r="O285">
        <v>4.3</v>
      </c>
      <c r="P285" s="2">
        <f>EOMONTH(Table1[[#This Row],[Order_Date]],0)</f>
        <v>45535</v>
      </c>
      <c r="Q285" s="3">
        <f>WEEKNUM(Table1[[#This Row],[Order_Date]])</f>
        <v>35</v>
      </c>
      <c r="R285">
        <f>YEAR(Table1[[#This Row],[Order_Date]])</f>
        <v>2024</v>
      </c>
      <c r="S285" t="str">
        <f>IF(Table1[[#This Row],[Quantity]]&gt;=3,"Promo","Regular")</f>
        <v>Promo</v>
      </c>
    </row>
    <row r="286" spans="1:19" x14ac:dyDescent="0.35">
      <c r="A286" t="s">
        <v>1895</v>
      </c>
      <c r="B286" t="s">
        <v>359</v>
      </c>
      <c r="C286" s="1">
        <v>45346</v>
      </c>
      <c r="D286" t="s">
        <v>57</v>
      </c>
      <c r="E286" t="s">
        <v>62</v>
      </c>
      <c r="F286" t="s">
        <v>35</v>
      </c>
      <c r="G286" t="s">
        <v>25</v>
      </c>
      <c r="H286" t="s">
        <v>32</v>
      </c>
      <c r="I286" t="s">
        <v>20</v>
      </c>
      <c r="J286">
        <v>5</v>
      </c>
      <c r="K286">
        <v>107</v>
      </c>
      <c r="L286">
        <v>535</v>
      </c>
      <c r="M286">
        <v>38</v>
      </c>
      <c r="N286" t="s">
        <v>38</v>
      </c>
      <c r="O286">
        <v>4.3</v>
      </c>
      <c r="P286" s="2">
        <f>EOMONTH(Table1[[#This Row],[Order_Date]],0)</f>
        <v>45351</v>
      </c>
      <c r="Q286" s="3">
        <f>WEEKNUM(Table1[[#This Row],[Order_Date]])</f>
        <v>8</v>
      </c>
      <c r="R286">
        <f>YEAR(Table1[[#This Row],[Order_Date]])</f>
        <v>2024</v>
      </c>
      <c r="S286" t="str">
        <f>IF(Table1[[#This Row],[Quantity]]&gt;=3,"Promo","Regular")</f>
        <v>Promo</v>
      </c>
    </row>
    <row r="287" spans="1:19" x14ac:dyDescent="0.35">
      <c r="A287" t="s">
        <v>1895</v>
      </c>
      <c r="B287" t="s">
        <v>360</v>
      </c>
      <c r="C287" s="1">
        <v>45401</v>
      </c>
      <c r="D287" t="s">
        <v>28</v>
      </c>
      <c r="E287" t="s">
        <v>98</v>
      </c>
      <c r="F287" t="s">
        <v>24</v>
      </c>
      <c r="G287" t="s">
        <v>46</v>
      </c>
      <c r="H287" t="s">
        <v>120</v>
      </c>
      <c r="I287" t="s">
        <v>60</v>
      </c>
      <c r="J287">
        <v>4</v>
      </c>
      <c r="K287">
        <v>325</v>
      </c>
      <c r="L287">
        <v>1300</v>
      </c>
      <c r="M287">
        <v>29</v>
      </c>
      <c r="N287" t="s">
        <v>33</v>
      </c>
      <c r="O287">
        <v>4.7</v>
      </c>
      <c r="P287" s="2">
        <f>EOMONTH(Table1[[#This Row],[Order_Date]],0)</f>
        <v>45412</v>
      </c>
      <c r="Q287" s="3">
        <f>WEEKNUM(Table1[[#This Row],[Order_Date]])</f>
        <v>16</v>
      </c>
      <c r="R287">
        <f>YEAR(Table1[[#This Row],[Order_Date]])</f>
        <v>2024</v>
      </c>
      <c r="S287" t="str">
        <f>IF(Table1[[#This Row],[Quantity]]&gt;=3,"Promo","Regular")</f>
        <v>Promo</v>
      </c>
    </row>
    <row r="288" spans="1:19" x14ac:dyDescent="0.35">
      <c r="A288" t="s">
        <v>1895</v>
      </c>
      <c r="B288" t="s">
        <v>361</v>
      </c>
      <c r="C288" s="1">
        <v>45330</v>
      </c>
      <c r="D288" t="s">
        <v>15</v>
      </c>
      <c r="E288" t="s">
        <v>23</v>
      </c>
      <c r="F288" t="s">
        <v>65</v>
      </c>
      <c r="G288" t="s">
        <v>73</v>
      </c>
      <c r="H288" t="s">
        <v>50</v>
      </c>
      <c r="I288" t="s">
        <v>20</v>
      </c>
      <c r="J288">
        <v>1</v>
      </c>
      <c r="K288">
        <v>236</v>
      </c>
      <c r="L288">
        <v>236</v>
      </c>
      <c r="M288">
        <v>41</v>
      </c>
      <c r="N288" t="s">
        <v>33</v>
      </c>
      <c r="O288">
        <v>3.2</v>
      </c>
      <c r="P288" s="2">
        <f>EOMONTH(Table1[[#This Row],[Order_Date]],0)</f>
        <v>45351</v>
      </c>
      <c r="Q288" s="3">
        <f>WEEKNUM(Table1[[#This Row],[Order_Date]])</f>
        <v>6</v>
      </c>
      <c r="R288">
        <f>YEAR(Table1[[#This Row],[Order_Date]])</f>
        <v>2024</v>
      </c>
      <c r="S288" t="str">
        <f>IF(Table1[[#This Row],[Quantity]]&gt;=3,"Promo","Regular")</f>
        <v>Regular</v>
      </c>
    </row>
    <row r="289" spans="1:19" x14ac:dyDescent="0.35">
      <c r="A289" t="s">
        <v>1896</v>
      </c>
      <c r="B289" t="s">
        <v>362</v>
      </c>
      <c r="C289" s="1">
        <v>45371</v>
      </c>
      <c r="D289" t="s">
        <v>28</v>
      </c>
      <c r="E289" t="s">
        <v>77</v>
      </c>
      <c r="F289" t="s">
        <v>24</v>
      </c>
      <c r="G289" t="s">
        <v>73</v>
      </c>
      <c r="H289" t="s">
        <v>26</v>
      </c>
      <c r="I289" t="s">
        <v>20</v>
      </c>
      <c r="J289">
        <v>1</v>
      </c>
      <c r="K289">
        <v>449</v>
      </c>
      <c r="L289">
        <v>449</v>
      </c>
      <c r="M289">
        <v>43</v>
      </c>
      <c r="N289" t="s">
        <v>33</v>
      </c>
      <c r="O289">
        <v>4.8</v>
      </c>
      <c r="P289" s="2">
        <f>EOMONTH(Table1[[#This Row],[Order_Date]],0)</f>
        <v>45382</v>
      </c>
      <c r="Q289" s="3">
        <f>WEEKNUM(Table1[[#This Row],[Order_Date]])</f>
        <v>12</v>
      </c>
      <c r="R289">
        <f>YEAR(Table1[[#This Row],[Order_Date]])</f>
        <v>2024</v>
      </c>
      <c r="S289" t="str">
        <f>IF(Table1[[#This Row],[Quantity]]&gt;=3,"Promo","Regular")</f>
        <v>Regular</v>
      </c>
    </row>
    <row r="290" spans="1:19" x14ac:dyDescent="0.35">
      <c r="A290" t="s">
        <v>1896</v>
      </c>
      <c r="B290" t="s">
        <v>363</v>
      </c>
      <c r="C290" s="1">
        <v>45584</v>
      </c>
      <c r="D290" t="s">
        <v>48</v>
      </c>
      <c r="E290" t="s">
        <v>132</v>
      </c>
      <c r="F290" t="s">
        <v>85</v>
      </c>
      <c r="G290" t="s">
        <v>31</v>
      </c>
      <c r="H290" t="s">
        <v>32</v>
      </c>
      <c r="I290" t="s">
        <v>20</v>
      </c>
      <c r="J290">
        <v>4</v>
      </c>
      <c r="K290">
        <v>348</v>
      </c>
      <c r="L290">
        <v>1392</v>
      </c>
      <c r="M290">
        <v>23</v>
      </c>
      <c r="N290" t="s">
        <v>33</v>
      </c>
      <c r="O290">
        <v>3.5</v>
      </c>
      <c r="P290" s="2">
        <f>EOMONTH(Table1[[#This Row],[Order_Date]],0)</f>
        <v>45596</v>
      </c>
      <c r="Q290" s="3">
        <f>WEEKNUM(Table1[[#This Row],[Order_Date]])</f>
        <v>42</v>
      </c>
      <c r="R290">
        <f>YEAR(Table1[[#This Row],[Order_Date]])</f>
        <v>2024</v>
      </c>
      <c r="S290" t="str">
        <f>IF(Table1[[#This Row],[Quantity]]&gt;=3,"Promo","Regular")</f>
        <v>Promo</v>
      </c>
    </row>
    <row r="291" spans="1:19" x14ac:dyDescent="0.35">
      <c r="A291" t="s">
        <v>1896</v>
      </c>
      <c r="B291" t="s">
        <v>364</v>
      </c>
      <c r="C291" s="1">
        <v>45521</v>
      </c>
      <c r="D291" t="s">
        <v>48</v>
      </c>
      <c r="E291" t="s">
        <v>68</v>
      </c>
      <c r="F291" t="s">
        <v>35</v>
      </c>
      <c r="G291" t="s">
        <v>73</v>
      </c>
      <c r="H291" t="s">
        <v>26</v>
      </c>
      <c r="I291" t="s">
        <v>20</v>
      </c>
      <c r="J291">
        <v>1</v>
      </c>
      <c r="K291">
        <v>276</v>
      </c>
      <c r="L291">
        <v>276</v>
      </c>
      <c r="M291">
        <v>45</v>
      </c>
      <c r="N291" t="s">
        <v>33</v>
      </c>
      <c r="O291">
        <v>4.3</v>
      </c>
      <c r="P291" s="2">
        <f>EOMONTH(Table1[[#This Row],[Order_Date]],0)</f>
        <v>45535</v>
      </c>
      <c r="Q291" s="3">
        <f>WEEKNUM(Table1[[#This Row],[Order_Date]])</f>
        <v>33</v>
      </c>
      <c r="R291">
        <f>YEAR(Table1[[#This Row],[Order_Date]])</f>
        <v>2024</v>
      </c>
      <c r="S291" t="str">
        <f>IF(Table1[[#This Row],[Quantity]]&gt;=3,"Promo","Regular")</f>
        <v>Regular</v>
      </c>
    </row>
    <row r="292" spans="1:19" x14ac:dyDescent="0.35">
      <c r="A292" t="s">
        <v>1896</v>
      </c>
      <c r="B292" t="s">
        <v>365</v>
      </c>
      <c r="C292" s="1">
        <v>45411</v>
      </c>
      <c r="D292" t="s">
        <v>15</v>
      </c>
      <c r="E292" t="s">
        <v>23</v>
      </c>
      <c r="F292" t="s">
        <v>85</v>
      </c>
      <c r="G292" t="s">
        <v>31</v>
      </c>
      <c r="H292" t="s">
        <v>55</v>
      </c>
      <c r="I292" t="s">
        <v>20</v>
      </c>
      <c r="J292">
        <v>3</v>
      </c>
      <c r="K292">
        <v>133</v>
      </c>
      <c r="L292">
        <v>399</v>
      </c>
      <c r="M292">
        <v>47</v>
      </c>
      <c r="N292" t="s">
        <v>38</v>
      </c>
      <c r="O292">
        <v>3.7</v>
      </c>
      <c r="P292" s="2">
        <f>EOMONTH(Table1[[#This Row],[Order_Date]],0)</f>
        <v>45412</v>
      </c>
      <c r="Q292" s="3">
        <f>WEEKNUM(Table1[[#This Row],[Order_Date]])</f>
        <v>18</v>
      </c>
      <c r="R292">
        <f>YEAR(Table1[[#This Row],[Order_Date]])</f>
        <v>2024</v>
      </c>
      <c r="S292" t="str">
        <f>IF(Table1[[#This Row],[Quantity]]&gt;=3,"Promo","Regular")</f>
        <v>Promo</v>
      </c>
    </row>
    <row r="293" spans="1:19" x14ac:dyDescent="0.35">
      <c r="A293" t="s">
        <v>1897</v>
      </c>
      <c r="B293" t="s">
        <v>366</v>
      </c>
      <c r="C293" s="1">
        <v>45327</v>
      </c>
      <c r="D293" t="s">
        <v>43</v>
      </c>
      <c r="E293" t="s">
        <v>52</v>
      </c>
      <c r="F293" t="s">
        <v>69</v>
      </c>
      <c r="G293" t="s">
        <v>36</v>
      </c>
      <c r="H293" t="s">
        <v>32</v>
      </c>
      <c r="I293" t="s">
        <v>20</v>
      </c>
      <c r="J293">
        <v>3</v>
      </c>
      <c r="K293">
        <v>269</v>
      </c>
      <c r="L293">
        <v>807</v>
      </c>
      <c r="M293">
        <v>49</v>
      </c>
      <c r="N293" t="s">
        <v>21</v>
      </c>
      <c r="O293">
        <v>3</v>
      </c>
      <c r="P293" s="2">
        <f>EOMONTH(Table1[[#This Row],[Order_Date]],0)</f>
        <v>45351</v>
      </c>
      <c r="Q293" s="3">
        <f>WEEKNUM(Table1[[#This Row],[Order_Date]])</f>
        <v>6</v>
      </c>
      <c r="R293">
        <f>YEAR(Table1[[#This Row],[Order_Date]])</f>
        <v>2024</v>
      </c>
      <c r="S293" t="str">
        <f>IF(Table1[[#This Row],[Quantity]]&gt;=3,"Promo","Regular")</f>
        <v>Promo</v>
      </c>
    </row>
    <row r="294" spans="1:19" x14ac:dyDescent="0.35">
      <c r="A294" t="s">
        <v>1897</v>
      </c>
      <c r="B294" t="s">
        <v>367</v>
      </c>
      <c r="C294" s="1">
        <v>45513</v>
      </c>
      <c r="D294" t="s">
        <v>28</v>
      </c>
      <c r="E294" t="s">
        <v>98</v>
      </c>
      <c r="F294" t="s">
        <v>30</v>
      </c>
      <c r="G294" t="s">
        <v>46</v>
      </c>
      <c r="H294" t="s">
        <v>53</v>
      </c>
      <c r="I294" t="s">
        <v>20</v>
      </c>
      <c r="J294">
        <v>1</v>
      </c>
      <c r="K294">
        <v>166</v>
      </c>
      <c r="L294">
        <v>166</v>
      </c>
      <c r="M294">
        <v>53</v>
      </c>
      <c r="N294" t="s">
        <v>38</v>
      </c>
      <c r="O294">
        <v>4.8</v>
      </c>
      <c r="P294" s="2">
        <f>EOMONTH(Table1[[#This Row],[Order_Date]],0)</f>
        <v>45535</v>
      </c>
      <c r="Q294" s="3">
        <f>WEEKNUM(Table1[[#This Row],[Order_Date]])</f>
        <v>32</v>
      </c>
      <c r="R294">
        <f>YEAR(Table1[[#This Row],[Order_Date]])</f>
        <v>2024</v>
      </c>
      <c r="S294" t="str">
        <f>IF(Table1[[#This Row],[Quantity]]&gt;=3,"Promo","Regular")</f>
        <v>Regular</v>
      </c>
    </row>
    <row r="295" spans="1:19" x14ac:dyDescent="0.35">
      <c r="A295" t="s">
        <v>1898</v>
      </c>
      <c r="B295" t="s">
        <v>368</v>
      </c>
      <c r="C295" s="1">
        <v>45342</v>
      </c>
      <c r="D295" t="s">
        <v>43</v>
      </c>
      <c r="E295" t="s">
        <v>93</v>
      </c>
      <c r="F295" t="s">
        <v>30</v>
      </c>
      <c r="G295" t="s">
        <v>31</v>
      </c>
      <c r="H295" t="s">
        <v>53</v>
      </c>
      <c r="I295" t="s">
        <v>20</v>
      </c>
      <c r="J295">
        <v>2</v>
      </c>
      <c r="K295">
        <v>149</v>
      </c>
      <c r="L295">
        <v>298</v>
      </c>
      <c r="M295">
        <v>53</v>
      </c>
      <c r="N295" t="s">
        <v>21</v>
      </c>
      <c r="O295">
        <v>3.5</v>
      </c>
      <c r="P295" s="2">
        <f>EOMONTH(Table1[[#This Row],[Order_Date]],0)</f>
        <v>45351</v>
      </c>
      <c r="Q295" s="3">
        <f>WEEKNUM(Table1[[#This Row],[Order_Date]])</f>
        <v>8</v>
      </c>
      <c r="R295">
        <f>YEAR(Table1[[#This Row],[Order_Date]])</f>
        <v>2024</v>
      </c>
      <c r="S295" t="str">
        <f>IF(Table1[[#This Row],[Quantity]]&gt;=3,"Promo","Regular")</f>
        <v>Regular</v>
      </c>
    </row>
    <row r="296" spans="1:19" x14ac:dyDescent="0.35">
      <c r="A296" t="s">
        <v>1898</v>
      </c>
      <c r="B296" t="s">
        <v>369</v>
      </c>
      <c r="C296" s="1">
        <v>45421</v>
      </c>
      <c r="D296" t="s">
        <v>57</v>
      </c>
      <c r="E296" t="s">
        <v>105</v>
      </c>
      <c r="F296" t="s">
        <v>24</v>
      </c>
      <c r="G296" t="s">
        <v>31</v>
      </c>
      <c r="H296" t="s">
        <v>53</v>
      </c>
      <c r="I296" t="s">
        <v>20</v>
      </c>
      <c r="J296">
        <v>3</v>
      </c>
      <c r="K296">
        <v>194</v>
      </c>
      <c r="L296">
        <v>582</v>
      </c>
      <c r="M296">
        <v>23</v>
      </c>
      <c r="N296" t="s">
        <v>38</v>
      </c>
      <c r="O296">
        <v>4.0999999999999996</v>
      </c>
      <c r="P296" s="2">
        <f>EOMONTH(Table1[[#This Row],[Order_Date]],0)</f>
        <v>45443</v>
      </c>
      <c r="Q296" s="3">
        <f>WEEKNUM(Table1[[#This Row],[Order_Date]])</f>
        <v>19</v>
      </c>
      <c r="R296">
        <f>YEAR(Table1[[#This Row],[Order_Date]])</f>
        <v>2024</v>
      </c>
      <c r="S296" t="str">
        <f>IF(Table1[[#This Row],[Quantity]]&gt;=3,"Promo","Regular")</f>
        <v>Promo</v>
      </c>
    </row>
    <row r="297" spans="1:19" x14ac:dyDescent="0.35">
      <c r="A297" t="s">
        <v>1898</v>
      </c>
      <c r="B297" t="s">
        <v>370</v>
      </c>
      <c r="C297" s="1">
        <v>45440</v>
      </c>
      <c r="D297" t="s">
        <v>48</v>
      </c>
      <c r="E297" t="s">
        <v>127</v>
      </c>
      <c r="F297" t="s">
        <v>65</v>
      </c>
      <c r="G297" t="s">
        <v>18</v>
      </c>
      <c r="H297" t="s">
        <v>53</v>
      </c>
      <c r="I297" t="s">
        <v>20</v>
      </c>
      <c r="J297">
        <v>5</v>
      </c>
      <c r="K297">
        <v>113</v>
      </c>
      <c r="L297">
        <v>565</v>
      </c>
      <c r="M297">
        <v>54</v>
      </c>
      <c r="N297" t="s">
        <v>33</v>
      </c>
      <c r="O297">
        <v>3.6</v>
      </c>
      <c r="P297" s="2">
        <f>EOMONTH(Table1[[#This Row],[Order_Date]],0)</f>
        <v>45443</v>
      </c>
      <c r="Q297" s="3">
        <f>WEEKNUM(Table1[[#This Row],[Order_Date]])</f>
        <v>22</v>
      </c>
      <c r="R297">
        <f>YEAR(Table1[[#This Row],[Order_Date]])</f>
        <v>2024</v>
      </c>
      <c r="S297" t="str">
        <f>IF(Table1[[#This Row],[Quantity]]&gt;=3,"Promo","Regular")</f>
        <v>Promo</v>
      </c>
    </row>
    <row r="298" spans="1:19" x14ac:dyDescent="0.35">
      <c r="A298" t="s">
        <v>1899</v>
      </c>
      <c r="B298" t="s">
        <v>371</v>
      </c>
      <c r="C298" s="1">
        <v>45315</v>
      </c>
      <c r="D298" t="s">
        <v>15</v>
      </c>
      <c r="E298" t="s">
        <v>103</v>
      </c>
      <c r="F298" t="s">
        <v>45</v>
      </c>
      <c r="G298" t="s">
        <v>18</v>
      </c>
      <c r="H298" t="s">
        <v>26</v>
      </c>
      <c r="I298" t="s">
        <v>20</v>
      </c>
      <c r="J298">
        <v>1</v>
      </c>
      <c r="K298">
        <v>362</v>
      </c>
      <c r="L298">
        <v>362</v>
      </c>
      <c r="M298">
        <v>38</v>
      </c>
      <c r="N298" t="s">
        <v>33</v>
      </c>
      <c r="O298">
        <v>4.3</v>
      </c>
      <c r="P298" s="2">
        <f>EOMONTH(Table1[[#This Row],[Order_Date]],0)</f>
        <v>45322</v>
      </c>
      <c r="Q298" s="3">
        <f>WEEKNUM(Table1[[#This Row],[Order_Date]])</f>
        <v>4</v>
      </c>
      <c r="R298">
        <f>YEAR(Table1[[#This Row],[Order_Date]])</f>
        <v>2024</v>
      </c>
      <c r="S298" t="str">
        <f>IF(Table1[[#This Row],[Quantity]]&gt;=3,"Promo","Regular")</f>
        <v>Regular</v>
      </c>
    </row>
    <row r="299" spans="1:19" x14ac:dyDescent="0.35">
      <c r="A299" t="s">
        <v>1899</v>
      </c>
      <c r="B299" t="s">
        <v>372</v>
      </c>
      <c r="C299" s="1">
        <v>45443</v>
      </c>
      <c r="D299" t="s">
        <v>15</v>
      </c>
      <c r="E299" t="s">
        <v>112</v>
      </c>
      <c r="F299" t="s">
        <v>69</v>
      </c>
      <c r="G299" t="s">
        <v>18</v>
      </c>
      <c r="H299" t="s">
        <v>50</v>
      </c>
      <c r="I299" t="s">
        <v>20</v>
      </c>
      <c r="J299">
        <v>4</v>
      </c>
      <c r="K299">
        <v>207</v>
      </c>
      <c r="L299">
        <v>828</v>
      </c>
      <c r="M299">
        <v>49</v>
      </c>
      <c r="N299" t="s">
        <v>38</v>
      </c>
      <c r="O299">
        <v>3.3</v>
      </c>
      <c r="P299" s="2">
        <f>EOMONTH(Table1[[#This Row],[Order_Date]],0)</f>
        <v>45443</v>
      </c>
      <c r="Q299" s="3">
        <f>WEEKNUM(Table1[[#This Row],[Order_Date]])</f>
        <v>22</v>
      </c>
      <c r="R299">
        <f>YEAR(Table1[[#This Row],[Order_Date]])</f>
        <v>2024</v>
      </c>
      <c r="S299" t="str">
        <f>IF(Table1[[#This Row],[Quantity]]&gt;=3,"Promo","Regular")</f>
        <v>Promo</v>
      </c>
    </row>
    <row r="300" spans="1:19" x14ac:dyDescent="0.35">
      <c r="A300" t="s">
        <v>1900</v>
      </c>
      <c r="B300" t="s">
        <v>373</v>
      </c>
      <c r="C300" s="1">
        <v>45357</v>
      </c>
      <c r="D300" t="s">
        <v>57</v>
      </c>
      <c r="E300" t="s">
        <v>75</v>
      </c>
      <c r="F300" t="s">
        <v>24</v>
      </c>
      <c r="G300" t="s">
        <v>18</v>
      </c>
      <c r="H300" t="s">
        <v>50</v>
      </c>
      <c r="I300" t="s">
        <v>20</v>
      </c>
      <c r="J300">
        <v>1</v>
      </c>
      <c r="K300">
        <v>104</v>
      </c>
      <c r="L300">
        <v>104</v>
      </c>
      <c r="M300">
        <v>47</v>
      </c>
      <c r="N300" t="s">
        <v>21</v>
      </c>
      <c r="O300">
        <v>4</v>
      </c>
      <c r="P300" s="2">
        <f>EOMONTH(Table1[[#This Row],[Order_Date]],0)</f>
        <v>45382</v>
      </c>
      <c r="Q300" s="3">
        <f>WEEKNUM(Table1[[#This Row],[Order_Date]])</f>
        <v>10</v>
      </c>
      <c r="R300">
        <f>YEAR(Table1[[#This Row],[Order_Date]])</f>
        <v>2024</v>
      </c>
      <c r="S300" t="str">
        <f>IF(Table1[[#This Row],[Quantity]]&gt;=3,"Promo","Regular")</f>
        <v>Regular</v>
      </c>
    </row>
    <row r="301" spans="1:19" x14ac:dyDescent="0.35">
      <c r="A301" t="s">
        <v>1900</v>
      </c>
      <c r="B301" t="s">
        <v>374</v>
      </c>
      <c r="C301" s="1">
        <v>45317</v>
      </c>
      <c r="D301" t="s">
        <v>57</v>
      </c>
      <c r="E301" t="s">
        <v>75</v>
      </c>
      <c r="F301" t="s">
        <v>30</v>
      </c>
      <c r="G301" t="s">
        <v>73</v>
      </c>
      <c r="H301" t="s">
        <v>37</v>
      </c>
      <c r="I301" t="s">
        <v>20</v>
      </c>
      <c r="J301">
        <v>2</v>
      </c>
      <c r="K301">
        <v>298</v>
      </c>
      <c r="L301">
        <v>596</v>
      </c>
      <c r="M301">
        <v>59</v>
      </c>
      <c r="N301" t="s">
        <v>21</v>
      </c>
      <c r="O301">
        <v>3.7</v>
      </c>
      <c r="P301" s="2">
        <f>EOMONTH(Table1[[#This Row],[Order_Date]],0)</f>
        <v>45322</v>
      </c>
      <c r="Q301" s="3">
        <f>WEEKNUM(Table1[[#This Row],[Order_Date]])</f>
        <v>4</v>
      </c>
      <c r="R301">
        <f>YEAR(Table1[[#This Row],[Order_Date]])</f>
        <v>2024</v>
      </c>
      <c r="S301" t="str">
        <f>IF(Table1[[#This Row],[Quantity]]&gt;=3,"Promo","Regular")</f>
        <v>Regular</v>
      </c>
    </row>
    <row r="302" spans="1:19" x14ac:dyDescent="0.35">
      <c r="A302" t="s">
        <v>1900</v>
      </c>
      <c r="B302" t="s">
        <v>375</v>
      </c>
      <c r="C302" s="1">
        <v>45582</v>
      </c>
      <c r="D302" t="s">
        <v>43</v>
      </c>
      <c r="E302" t="s">
        <v>44</v>
      </c>
      <c r="F302" t="s">
        <v>35</v>
      </c>
      <c r="G302" t="s">
        <v>46</v>
      </c>
      <c r="H302" t="s">
        <v>55</v>
      </c>
      <c r="I302" t="s">
        <v>20</v>
      </c>
      <c r="J302">
        <v>5</v>
      </c>
      <c r="K302">
        <v>252</v>
      </c>
      <c r="L302">
        <v>1260</v>
      </c>
      <c r="M302">
        <v>54</v>
      </c>
      <c r="N302" t="s">
        <v>21</v>
      </c>
      <c r="O302">
        <v>3.2</v>
      </c>
      <c r="P302" s="2">
        <f>EOMONTH(Table1[[#This Row],[Order_Date]],0)</f>
        <v>45596</v>
      </c>
      <c r="Q302" s="3">
        <f>WEEKNUM(Table1[[#This Row],[Order_Date]])</f>
        <v>42</v>
      </c>
      <c r="R302">
        <f>YEAR(Table1[[#This Row],[Order_Date]])</f>
        <v>2024</v>
      </c>
      <c r="S302" t="str">
        <f>IF(Table1[[#This Row],[Quantity]]&gt;=3,"Promo","Regular")</f>
        <v>Promo</v>
      </c>
    </row>
    <row r="303" spans="1:19" x14ac:dyDescent="0.35">
      <c r="A303" t="s">
        <v>1900</v>
      </c>
      <c r="B303" t="s">
        <v>376</v>
      </c>
      <c r="C303" s="1">
        <v>45421</v>
      </c>
      <c r="D303" t="s">
        <v>43</v>
      </c>
      <c r="E303" t="s">
        <v>82</v>
      </c>
      <c r="F303" t="s">
        <v>69</v>
      </c>
      <c r="G303" t="s">
        <v>46</v>
      </c>
      <c r="H303" t="s">
        <v>37</v>
      </c>
      <c r="I303" t="s">
        <v>20</v>
      </c>
      <c r="J303">
        <v>1</v>
      </c>
      <c r="K303">
        <v>298</v>
      </c>
      <c r="L303">
        <v>298</v>
      </c>
      <c r="M303">
        <v>26</v>
      </c>
      <c r="N303" t="s">
        <v>38</v>
      </c>
      <c r="O303">
        <v>3.8</v>
      </c>
      <c r="P303" s="2">
        <f>EOMONTH(Table1[[#This Row],[Order_Date]],0)</f>
        <v>45443</v>
      </c>
      <c r="Q303" s="3">
        <f>WEEKNUM(Table1[[#This Row],[Order_Date]])</f>
        <v>19</v>
      </c>
      <c r="R303">
        <f>YEAR(Table1[[#This Row],[Order_Date]])</f>
        <v>2024</v>
      </c>
      <c r="S303" t="str">
        <f>IF(Table1[[#This Row],[Quantity]]&gt;=3,"Promo","Regular")</f>
        <v>Regular</v>
      </c>
    </row>
    <row r="304" spans="1:19" x14ac:dyDescent="0.35">
      <c r="A304" t="s">
        <v>1901</v>
      </c>
      <c r="B304" t="s">
        <v>377</v>
      </c>
      <c r="C304" s="1">
        <v>45486</v>
      </c>
      <c r="D304" t="s">
        <v>28</v>
      </c>
      <c r="E304" t="s">
        <v>77</v>
      </c>
      <c r="F304" t="s">
        <v>35</v>
      </c>
      <c r="G304" t="s">
        <v>25</v>
      </c>
      <c r="H304" t="s">
        <v>120</v>
      </c>
      <c r="I304" t="s">
        <v>60</v>
      </c>
      <c r="J304">
        <v>2</v>
      </c>
      <c r="K304">
        <v>292</v>
      </c>
      <c r="L304">
        <v>584</v>
      </c>
      <c r="M304">
        <v>45</v>
      </c>
      <c r="N304" t="s">
        <v>38</v>
      </c>
      <c r="O304">
        <v>3.9</v>
      </c>
      <c r="P304" s="2">
        <f>EOMONTH(Table1[[#This Row],[Order_Date]],0)</f>
        <v>45504</v>
      </c>
      <c r="Q304" s="3">
        <f>WEEKNUM(Table1[[#This Row],[Order_Date]])</f>
        <v>28</v>
      </c>
      <c r="R304">
        <f>YEAR(Table1[[#This Row],[Order_Date]])</f>
        <v>2024</v>
      </c>
      <c r="S304" t="str">
        <f>IF(Table1[[#This Row],[Quantity]]&gt;=3,"Promo","Regular")</f>
        <v>Regular</v>
      </c>
    </row>
    <row r="305" spans="1:19" x14ac:dyDescent="0.35">
      <c r="A305" t="s">
        <v>1901</v>
      </c>
      <c r="B305" t="s">
        <v>378</v>
      </c>
      <c r="C305" s="1">
        <v>45513</v>
      </c>
      <c r="D305" t="s">
        <v>43</v>
      </c>
      <c r="E305" t="s">
        <v>82</v>
      </c>
      <c r="F305" t="s">
        <v>85</v>
      </c>
      <c r="G305" t="s">
        <v>46</v>
      </c>
      <c r="H305" t="s">
        <v>37</v>
      </c>
      <c r="I305" t="s">
        <v>20</v>
      </c>
      <c r="J305">
        <v>5</v>
      </c>
      <c r="K305">
        <v>154</v>
      </c>
      <c r="L305">
        <v>770</v>
      </c>
      <c r="M305">
        <v>36</v>
      </c>
      <c r="N305" t="s">
        <v>33</v>
      </c>
      <c r="O305">
        <v>3.4</v>
      </c>
      <c r="P305" s="2">
        <f>EOMONTH(Table1[[#This Row],[Order_Date]],0)</f>
        <v>45535</v>
      </c>
      <c r="Q305" s="3">
        <f>WEEKNUM(Table1[[#This Row],[Order_Date]])</f>
        <v>32</v>
      </c>
      <c r="R305">
        <f>YEAR(Table1[[#This Row],[Order_Date]])</f>
        <v>2024</v>
      </c>
      <c r="S305" t="str">
        <f>IF(Table1[[#This Row],[Quantity]]&gt;=3,"Promo","Regular")</f>
        <v>Promo</v>
      </c>
    </row>
    <row r="306" spans="1:19" x14ac:dyDescent="0.35">
      <c r="A306" t="s">
        <v>1901</v>
      </c>
      <c r="B306" t="s">
        <v>379</v>
      </c>
      <c r="C306" s="1">
        <v>45353</v>
      </c>
      <c r="D306" t="s">
        <v>57</v>
      </c>
      <c r="E306" t="s">
        <v>58</v>
      </c>
      <c r="F306" t="s">
        <v>24</v>
      </c>
      <c r="G306" t="s">
        <v>46</v>
      </c>
      <c r="H306" t="s">
        <v>66</v>
      </c>
      <c r="I306" t="s">
        <v>20</v>
      </c>
      <c r="J306">
        <v>5</v>
      </c>
      <c r="K306">
        <v>330</v>
      </c>
      <c r="L306">
        <v>1650</v>
      </c>
      <c r="M306">
        <v>56</v>
      </c>
      <c r="N306" t="s">
        <v>33</v>
      </c>
      <c r="O306">
        <v>4.7</v>
      </c>
      <c r="P306" s="2">
        <f>EOMONTH(Table1[[#This Row],[Order_Date]],0)</f>
        <v>45382</v>
      </c>
      <c r="Q306" s="3">
        <f>WEEKNUM(Table1[[#This Row],[Order_Date]])</f>
        <v>9</v>
      </c>
      <c r="R306">
        <f>YEAR(Table1[[#This Row],[Order_Date]])</f>
        <v>2024</v>
      </c>
      <c r="S306" t="str">
        <f>IF(Table1[[#This Row],[Quantity]]&gt;=3,"Promo","Regular")</f>
        <v>Promo</v>
      </c>
    </row>
    <row r="307" spans="1:19" x14ac:dyDescent="0.35">
      <c r="A307" t="s">
        <v>1901</v>
      </c>
      <c r="B307" t="s">
        <v>380</v>
      </c>
      <c r="C307" s="1">
        <v>45322</v>
      </c>
      <c r="D307" t="s">
        <v>43</v>
      </c>
      <c r="E307" t="s">
        <v>44</v>
      </c>
      <c r="F307" t="s">
        <v>85</v>
      </c>
      <c r="G307" t="s">
        <v>25</v>
      </c>
      <c r="H307" t="s">
        <v>53</v>
      </c>
      <c r="I307" t="s">
        <v>20</v>
      </c>
      <c r="J307">
        <v>3</v>
      </c>
      <c r="K307">
        <v>381</v>
      </c>
      <c r="L307">
        <v>1143</v>
      </c>
      <c r="M307">
        <v>20</v>
      </c>
      <c r="N307" t="s">
        <v>33</v>
      </c>
      <c r="O307">
        <v>4.9000000000000004</v>
      </c>
      <c r="P307" s="2">
        <f>EOMONTH(Table1[[#This Row],[Order_Date]],0)</f>
        <v>45322</v>
      </c>
      <c r="Q307" s="3">
        <f>WEEKNUM(Table1[[#This Row],[Order_Date]])</f>
        <v>5</v>
      </c>
      <c r="R307">
        <f>YEAR(Table1[[#This Row],[Order_Date]])</f>
        <v>2024</v>
      </c>
      <c r="S307" t="str">
        <f>IF(Table1[[#This Row],[Quantity]]&gt;=3,"Promo","Regular")</f>
        <v>Promo</v>
      </c>
    </row>
    <row r="308" spans="1:19" x14ac:dyDescent="0.35">
      <c r="A308" t="s">
        <v>1901</v>
      </c>
      <c r="B308" t="s">
        <v>381</v>
      </c>
      <c r="C308" s="1">
        <v>45410</v>
      </c>
      <c r="D308" t="s">
        <v>28</v>
      </c>
      <c r="E308" t="s">
        <v>29</v>
      </c>
      <c r="F308" t="s">
        <v>30</v>
      </c>
      <c r="G308" t="s">
        <v>31</v>
      </c>
      <c r="H308" t="s">
        <v>37</v>
      </c>
      <c r="I308" t="s">
        <v>20</v>
      </c>
      <c r="J308">
        <v>4</v>
      </c>
      <c r="K308">
        <v>214</v>
      </c>
      <c r="L308">
        <v>856</v>
      </c>
      <c r="M308">
        <v>32</v>
      </c>
      <c r="N308" t="s">
        <v>33</v>
      </c>
      <c r="O308">
        <v>3.8</v>
      </c>
      <c r="P308" s="2">
        <f>EOMONTH(Table1[[#This Row],[Order_Date]],0)</f>
        <v>45412</v>
      </c>
      <c r="Q308" s="3">
        <f>WEEKNUM(Table1[[#This Row],[Order_Date]])</f>
        <v>18</v>
      </c>
      <c r="R308">
        <f>YEAR(Table1[[#This Row],[Order_Date]])</f>
        <v>2024</v>
      </c>
      <c r="S308" t="str">
        <f>IF(Table1[[#This Row],[Quantity]]&gt;=3,"Promo","Regular")</f>
        <v>Promo</v>
      </c>
    </row>
    <row r="309" spans="1:19" x14ac:dyDescent="0.35">
      <c r="A309" t="s">
        <v>1902</v>
      </c>
      <c r="B309" t="s">
        <v>382</v>
      </c>
      <c r="C309" s="1">
        <v>45440</v>
      </c>
      <c r="D309" t="s">
        <v>48</v>
      </c>
      <c r="E309" t="s">
        <v>64</v>
      </c>
      <c r="F309" t="s">
        <v>41</v>
      </c>
      <c r="G309" t="s">
        <v>25</v>
      </c>
      <c r="H309" t="s">
        <v>32</v>
      </c>
      <c r="I309" t="s">
        <v>20</v>
      </c>
      <c r="J309">
        <v>4</v>
      </c>
      <c r="K309">
        <v>326</v>
      </c>
      <c r="L309">
        <v>1304</v>
      </c>
      <c r="M309">
        <v>52</v>
      </c>
      <c r="N309" t="s">
        <v>21</v>
      </c>
      <c r="O309">
        <v>5</v>
      </c>
      <c r="P309" s="2">
        <f>EOMONTH(Table1[[#This Row],[Order_Date]],0)</f>
        <v>45443</v>
      </c>
      <c r="Q309" s="3">
        <f>WEEKNUM(Table1[[#This Row],[Order_Date]])</f>
        <v>22</v>
      </c>
      <c r="R309">
        <f>YEAR(Table1[[#This Row],[Order_Date]])</f>
        <v>2024</v>
      </c>
      <c r="S309" t="str">
        <f>IF(Table1[[#This Row],[Quantity]]&gt;=3,"Promo","Regular")</f>
        <v>Promo</v>
      </c>
    </row>
    <row r="310" spans="1:19" x14ac:dyDescent="0.35">
      <c r="A310" t="s">
        <v>1902</v>
      </c>
      <c r="B310" t="s">
        <v>383</v>
      </c>
      <c r="C310" s="1">
        <v>45580</v>
      </c>
      <c r="D310" t="s">
        <v>57</v>
      </c>
      <c r="E310" t="s">
        <v>136</v>
      </c>
      <c r="F310" t="s">
        <v>65</v>
      </c>
      <c r="G310" t="s">
        <v>25</v>
      </c>
      <c r="H310" t="s">
        <v>53</v>
      </c>
      <c r="I310" t="s">
        <v>20</v>
      </c>
      <c r="J310">
        <v>2</v>
      </c>
      <c r="K310">
        <v>437</v>
      </c>
      <c r="L310">
        <v>874</v>
      </c>
      <c r="M310">
        <v>34</v>
      </c>
      <c r="N310" t="s">
        <v>33</v>
      </c>
      <c r="O310">
        <v>3.6</v>
      </c>
      <c r="P310" s="2">
        <f>EOMONTH(Table1[[#This Row],[Order_Date]],0)</f>
        <v>45596</v>
      </c>
      <c r="Q310" s="3">
        <f>WEEKNUM(Table1[[#This Row],[Order_Date]])</f>
        <v>42</v>
      </c>
      <c r="R310">
        <f>YEAR(Table1[[#This Row],[Order_Date]])</f>
        <v>2024</v>
      </c>
      <c r="S310" t="str">
        <f>IF(Table1[[#This Row],[Quantity]]&gt;=3,"Promo","Regular")</f>
        <v>Regular</v>
      </c>
    </row>
    <row r="311" spans="1:19" x14ac:dyDescent="0.35">
      <c r="A311" t="s">
        <v>1902</v>
      </c>
      <c r="B311" t="s">
        <v>384</v>
      </c>
      <c r="C311" s="1">
        <v>45489</v>
      </c>
      <c r="D311" t="s">
        <v>15</v>
      </c>
      <c r="E311" t="s">
        <v>103</v>
      </c>
      <c r="F311" t="s">
        <v>85</v>
      </c>
      <c r="G311" t="s">
        <v>73</v>
      </c>
      <c r="H311" t="s">
        <v>59</v>
      </c>
      <c r="I311" t="s">
        <v>60</v>
      </c>
      <c r="J311">
        <v>3</v>
      </c>
      <c r="K311">
        <v>481</v>
      </c>
      <c r="L311">
        <v>1443</v>
      </c>
      <c r="M311">
        <v>31</v>
      </c>
      <c r="N311" t="s">
        <v>21</v>
      </c>
      <c r="O311">
        <v>3.6</v>
      </c>
      <c r="P311" s="2">
        <f>EOMONTH(Table1[[#This Row],[Order_Date]],0)</f>
        <v>45504</v>
      </c>
      <c r="Q311" s="3">
        <f>WEEKNUM(Table1[[#This Row],[Order_Date]])</f>
        <v>29</v>
      </c>
      <c r="R311">
        <f>YEAR(Table1[[#This Row],[Order_Date]])</f>
        <v>2024</v>
      </c>
      <c r="S311" t="str">
        <f>IF(Table1[[#This Row],[Quantity]]&gt;=3,"Promo","Regular")</f>
        <v>Promo</v>
      </c>
    </row>
    <row r="312" spans="1:19" x14ac:dyDescent="0.35">
      <c r="A312" t="s">
        <v>1903</v>
      </c>
      <c r="B312" t="s">
        <v>385</v>
      </c>
      <c r="C312" s="1">
        <v>45539</v>
      </c>
      <c r="D312" t="s">
        <v>48</v>
      </c>
      <c r="E312" t="s">
        <v>132</v>
      </c>
      <c r="F312" t="s">
        <v>85</v>
      </c>
      <c r="G312" t="s">
        <v>25</v>
      </c>
      <c r="H312" t="s">
        <v>55</v>
      </c>
      <c r="I312" t="s">
        <v>20</v>
      </c>
      <c r="J312">
        <v>1</v>
      </c>
      <c r="K312">
        <v>230</v>
      </c>
      <c r="L312">
        <v>230</v>
      </c>
      <c r="M312">
        <v>44</v>
      </c>
      <c r="N312" t="s">
        <v>33</v>
      </c>
      <c r="O312">
        <v>3.9</v>
      </c>
      <c r="P312" s="2">
        <f>EOMONTH(Table1[[#This Row],[Order_Date]],0)</f>
        <v>45565</v>
      </c>
      <c r="Q312" s="3">
        <f>WEEKNUM(Table1[[#This Row],[Order_Date]])</f>
        <v>36</v>
      </c>
      <c r="R312">
        <f>YEAR(Table1[[#This Row],[Order_Date]])</f>
        <v>2024</v>
      </c>
      <c r="S312" t="str">
        <f>IF(Table1[[#This Row],[Quantity]]&gt;=3,"Promo","Regular")</f>
        <v>Regular</v>
      </c>
    </row>
    <row r="313" spans="1:19" x14ac:dyDescent="0.35">
      <c r="A313" t="s">
        <v>1903</v>
      </c>
      <c r="B313" t="s">
        <v>386</v>
      </c>
      <c r="C313" s="1">
        <v>45538</v>
      </c>
      <c r="D313" t="s">
        <v>48</v>
      </c>
      <c r="E313" t="s">
        <v>68</v>
      </c>
      <c r="F313" t="s">
        <v>24</v>
      </c>
      <c r="G313" t="s">
        <v>73</v>
      </c>
      <c r="H313" t="s">
        <v>120</v>
      </c>
      <c r="I313" t="s">
        <v>60</v>
      </c>
      <c r="J313">
        <v>5</v>
      </c>
      <c r="K313">
        <v>251</v>
      </c>
      <c r="L313">
        <v>1255</v>
      </c>
      <c r="M313">
        <v>31</v>
      </c>
      <c r="N313" t="s">
        <v>38</v>
      </c>
      <c r="O313">
        <v>3.7</v>
      </c>
      <c r="P313" s="2">
        <f>EOMONTH(Table1[[#This Row],[Order_Date]],0)</f>
        <v>45565</v>
      </c>
      <c r="Q313" s="3">
        <f>WEEKNUM(Table1[[#This Row],[Order_Date]])</f>
        <v>36</v>
      </c>
      <c r="R313">
        <f>YEAR(Table1[[#This Row],[Order_Date]])</f>
        <v>2024</v>
      </c>
      <c r="S313" t="str">
        <f>IF(Table1[[#This Row],[Quantity]]&gt;=3,"Promo","Regular")</f>
        <v>Promo</v>
      </c>
    </row>
    <row r="314" spans="1:19" x14ac:dyDescent="0.35">
      <c r="A314" t="s">
        <v>1904</v>
      </c>
      <c r="B314" t="s">
        <v>387</v>
      </c>
      <c r="C314" s="1">
        <v>45584</v>
      </c>
      <c r="D314" t="s">
        <v>57</v>
      </c>
      <c r="E314" t="s">
        <v>62</v>
      </c>
      <c r="F314" t="s">
        <v>41</v>
      </c>
      <c r="G314" t="s">
        <v>25</v>
      </c>
      <c r="H314" t="s">
        <v>53</v>
      </c>
      <c r="I314" t="s">
        <v>20</v>
      </c>
      <c r="J314">
        <v>1</v>
      </c>
      <c r="K314">
        <v>161</v>
      </c>
      <c r="L314">
        <v>161</v>
      </c>
      <c r="M314">
        <v>20</v>
      </c>
      <c r="N314" t="s">
        <v>38</v>
      </c>
      <c r="O314">
        <v>3.4</v>
      </c>
      <c r="P314" s="2">
        <f>EOMONTH(Table1[[#This Row],[Order_Date]],0)</f>
        <v>45596</v>
      </c>
      <c r="Q314" s="3">
        <f>WEEKNUM(Table1[[#This Row],[Order_Date]])</f>
        <v>42</v>
      </c>
      <c r="R314">
        <f>YEAR(Table1[[#This Row],[Order_Date]])</f>
        <v>2024</v>
      </c>
      <c r="S314" t="str">
        <f>IF(Table1[[#This Row],[Quantity]]&gt;=3,"Promo","Regular")</f>
        <v>Regular</v>
      </c>
    </row>
    <row r="315" spans="1:19" x14ac:dyDescent="0.35">
      <c r="A315" t="s">
        <v>1904</v>
      </c>
      <c r="B315" t="s">
        <v>388</v>
      </c>
      <c r="C315" s="1">
        <v>45440</v>
      </c>
      <c r="D315" t="s">
        <v>28</v>
      </c>
      <c r="E315" t="s">
        <v>98</v>
      </c>
      <c r="F315" t="s">
        <v>24</v>
      </c>
      <c r="G315" t="s">
        <v>18</v>
      </c>
      <c r="H315" t="s">
        <v>19</v>
      </c>
      <c r="I315" t="s">
        <v>20</v>
      </c>
      <c r="J315">
        <v>5</v>
      </c>
      <c r="K315">
        <v>355</v>
      </c>
      <c r="L315">
        <v>1775</v>
      </c>
      <c r="M315">
        <v>55</v>
      </c>
      <c r="N315" t="s">
        <v>38</v>
      </c>
      <c r="O315">
        <v>3.2</v>
      </c>
      <c r="P315" s="2">
        <f>EOMONTH(Table1[[#This Row],[Order_Date]],0)</f>
        <v>45443</v>
      </c>
      <c r="Q315" s="3">
        <f>WEEKNUM(Table1[[#This Row],[Order_Date]])</f>
        <v>22</v>
      </c>
      <c r="R315">
        <f>YEAR(Table1[[#This Row],[Order_Date]])</f>
        <v>2024</v>
      </c>
      <c r="S315" t="str">
        <f>IF(Table1[[#This Row],[Quantity]]&gt;=3,"Promo","Regular")</f>
        <v>Promo</v>
      </c>
    </row>
    <row r="316" spans="1:19" x14ac:dyDescent="0.35">
      <c r="A316" t="s">
        <v>1904</v>
      </c>
      <c r="B316" t="s">
        <v>389</v>
      </c>
      <c r="C316" s="1">
        <v>45351</v>
      </c>
      <c r="D316" t="s">
        <v>28</v>
      </c>
      <c r="E316" t="s">
        <v>77</v>
      </c>
      <c r="F316" t="s">
        <v>65</v>
      </c>
      <c r="G316" t="s">
        <v>25</v>
      </c>
      <c r="H316" t="s">
        <v>19</v>
      </c>
      <c r="I316" t="s">
        <v>20</v>
      </c>
      <c r="J316">
        <v>1</v>
      </c>
      <c r="K316">
        <v>170</v>
      </c>
      <c r="L316">
        <v>170</v>
      </c>
      <c r="M316">
        <v>39</v>
      </c>
      <c r="N316" t="s">
        <v>21</v>
      </c>
      <c r="O316">
        <v>4.2</v>
      </c>
      <c r="P316" s="2">
        <f>EOMONTH(Table1[[#This Row],[Order_Date]],0)</f>
        <v>45351</v>
      </c>
      <c r="Q316" s="3">
        <f>WEEKNUM(Table1[[#This Row],[Order_Date]])</f>
        <v>9</v>
      </c>
      <c r="R316">
        <f>YEAR(Table1[[#This Row],[Order_Date]])</f>
        <v>2024</v>
      </c>
      <c r="S316" t="str">
        <f>IF(Table1[[#This Row],[Quantity]]&gt;=3,"Promo","Regular")</f>
        <v>Regular</v>
      </c>
    </row>
    <row r="317" spans="1:19" x14ac:dyDescent="0.35">
      <c r="A317" t="s">
        <v>1904</v>
      </c>
      <c r="B317" t="s">
        <v>390</v>
      </c>
      <c r="C317" s="1">
        <v>45481</v>
      </c>
      <c r="D317" t="s">
        <v>43</v>
      </c>
      <c r="E317" t="s">
        <v>110</v>
      </c>
      <c r="F317" t="s">
        <v>17</v>
      </c>
      <c r="G317" t="s">
        <v>25</v>
      </c>
      <c r="H317" t="s">
        <v>53</v>
      </c>
      <c r="I317" t="s">
        <v>20</v>
      </c>
      <c r="J317">
        <v>5</v>
      </c>
      <c r="K317">
        <v>331</v>
      </c>
      <c r="L317">
        <v>1655</v>
      </c>
      <c r="M317">
        <v>50</v>
      </c>
      <c r="N317" t="s">
        <v>21</v>
      </c>
      <c r="O317">
        <v>4.4000000000000004</v>
      </c>
      <c r="P317" s="2">
        <f>EOMONTH(Table1[[#This Row],[Order_Date]],0)</f>
        <v>45504</v>
      </c>
      <c r="Q317" s="3">
        <f>WEEKNUM(Table1[[#This Row],[Order_Date]])</f>
        <v>28</v>
      </c>
      <c r="R317">
        <f>YEAR(Table1[[#This Row],[Order_Date]])</f>
        <v>2024</v>
      </c>
      <c r="S317" t="str">
        <f>IF(Table1[[#This Row],[Quantity]]&gt;=3,"Promo","Regular")</f>
        <v>Promo</v>
      </c>
    </row>
    <row r="318" spans="1:19" x14ac:dyDescent="0.35">
      <c r="A318" t="s">
        <v>1904</v>
      </c>
      <c r="B318" t="s">
        <v>391</v>
      </c>
      <c r="C318" s="1">
        <v>45490</v>
      </c>
      <c r="D318" t="s">
        <v>57</v>
      </c>
      <c r="E318" t="s">
        <v>58</v>
      </c>
      <c r="F318" t="s">
        <v>41</v>
      </c>
      <c r="G318" t="s">
        <v>25</v>
      </c>
      <c r="H318" t="s">
        <v>19</v>
      </c>
      <c r="I318" t="s">
        <v>20</v>
      </c>
      <c r="J318">
        <v>3</v>
      </c>
      <c r="K318">
        <v>372</v>
      </c>
      <c r="L318">
        <v>1116</v>
      </c>
      <c r="M318">
        <v>37</v>
      </c>
      <c r="N318" t="s">
        <v>38</v>
      </c>
      <c r="O318">
        <v>3.3</v>
      </c>
      <c r="P318" s="2">
        <f>EOMONTH(Table1[[#This Row],[Order_Date]],0)</f>
        <v>45504</v>
      </c>
      <c r="Q318" s="3">
        <f>WEEKNUM(Table1[[#This Row],[Order_Date]])</f>
        <v>29</v>
      </c>
      <c r="R318">
        <f>YEAR(Table1[[#This Row],[Order_Date]])</f>
        <v>2024</v>
      </c>
      <c r="S318" t="str">
        <f>IF(Table1[[#This Row],[Quantity]]&gt;=3,"Promo","Regular")</f>
        <v>Promo</v>
      </c>
    </row>
    <row r="319" spans="1:19" x14ac:dyDescent="0.35">
      <c r="A319" t="s">
        <v>1905</v>
      </c>
      <c r="B319" t="s">
        <v>392</v>
      </c>
      <c r="C319" s="1">
        <v>45439</v>
      </c>
      <c r="D319" t="s">
        <v>28</v>
      </c>
      <c r="E319" t="s">
        <v>77</v>
      </c>
      <c r="F319" t="s">
        <v>35</v>
      </c>
      <c r="G319" t="s">
        <v>36</v>
      </c>
      <c r="H319" t="s">
        <v>66</v>
      </c>
      <c r="I319" t="s">
        <v>20</v>
      </c>
      <c r="J319">
        <v>2</v>
      </c>
      <c r="K319">
        <v>134</v>
      </c>
      <c r="L319">
        <v>268</v>
      </c>
      <c r="M319">
        <v>32</v>
      </c>
      <c r="N319" t="s">
        <v>33</v>
      </c>
      <c r="O319">
        <v>3.7</v>
      </c>
      <c r="P319" s="2">
        <f>EOMONTH(Table1[[#This Row],[Order_Date]],0)</f>
        <v>45443</v>
      </c>
      <c r="Q319" s="3">
        <f>WEEKNUM(Table1[[#This Row],[Order_Date]])</f>
        <v>22</v>
      </c>
      <c r="R319">
        <f>YEAR(Table1[[#This Row],[Order_Date]])</f>
        <v>2024</v>
      </c>
      <c r="S319" t="str">
        <f>IF(Table1[[#This Row],[Quantity]]&gt;=3,"Promo","Regular")</f>
        <v>Regular</v>
      </c>
    </row>
    <row r="320" spans="1:19" x14ac:dyDescent="0.35">
      <c r="A320" t="s">
        <v>1905</v>
      </c>
      <c r="B320" t="s">
        <v>393</v>
      </c>
      <c r="C320" s="1">
        <v>45489</v>
      </c>
      <c r="D320" t="s">
        <v>28</v>
      </c>
      <c r="E320" t="s">
        <v>29</v>
      </c>
      <c r="F320" t="s">
        <v>30</v>
      </c>
      <c r="G320" t="s">
        <v>46</v>
      </c>
      <c r="H320" t="s">
        <v>32</v>
      </c>
      <c r="I320" t="s">
        <v>20</v>
      </c>
      <c r="J320">
        <v>1</v>
      </c>
      <c r="K320">
        <v>132</v>
      </c>
      <c r="L320">
        <v>132</v>
      </c>
      <c r="M320">
        <v>35</v>
      </c>
      <c r="N320" t="s">
        <v>38</v>
      </c>
      <c r="O320">
        <v>3.5</v>
      </c>
      <c r="P320" s="2">
        <f>EOMONTH(Table1[[#This Row],[Order_Date]],0)</f>
        <v>45504</v>
      </c>
      <c r="Q320" s="3">
        <f>WEEKNUM(Table1[[#This Row],[Order_Date]])</f>
        <v>29</v>
      </c>
      <c r="R320">
        <f>YEAR(Table1[[#This Row],[Order_Date]])</f>
        <v>2024</v>
      </c>
      <c r="S320" t="str">
        <f>IF(Table1[[#This Row],[Quantity]]&gt;=3,"Promo","Regular")</f>
        <v>Regular</v>
      </c>
    </row>
    <row r="321" spans="1:19" x14ac:dyDescent="0.35">
      <c r="A321" t="s">
        <v>1905</v>
      </c>
      <c r="B321" t="s">
        <v>394</v>
      </c>
      <c r="C321" s="1">
        <v>45349</v>
      </c>
      <c r="D321" t="s">
        <v>48</v>
      </c>
      <c r="E321" t="s">
        <v>132</v>
      </c>
      <c r="F321" t="s">
        <v>30</v>
      </c>
      <c r="G321" t="s">
        <v>25</v>
      </c>
      <c r="H321" t="s">
        <v>53</v>
      </c>
      <c r="I321" t="s">
        <v>20</v>
      </c>
      <c r="J321">
        <v>5</v>
      </c>
      <c r="K321">
        <v>412</v>
      </c>
      <c r="L321">
        <v>2060</v>
      </c>
      <c r="M321">
        <v>44</v>
      </c>
      <c r="N321" t="s">
        <v>33</v>
      </c>
      <c r="O321">
        <v>4.3</v>
      </c>
      <c r="P321" s="2">
        <f>EOMONTH(Table1[[#This Row],[Order_Date]],0)</f>
        <v>45351</v>
      </c>
      <c r="Q321" s="3">
        <f>WEEKNUM(Table1[[#This Row],[Order_Date]])</f>
        <v>9</v>
      </c>
      <c r="R321">
        <f>YEAR(Table1[[#This Row],[Order_Date]])</f>
        <v>2024</v>
      </c>
      <c r="S321" t="str">
        <f>IF(Table1[[#This Row],[Quantity]]&gt;=3,"Promo","Regular")</f>
        <v>Promo</v>
      </c>
    </row>
    <row r="322" spans="1:19" x14ac:dyDescent="0.35">
      <c r="A322" t="s">
        <v>1906</v>
      </c>
      <c r="B322" t="s">
        <v>395</v>
      </c>
      <c r="C322" s="1">
        <v>45344</v>
      </c>
      <c r="D322" t="s">
        <v>57</v>
      </c>
      <c r="E322" t="s">
        <v>62</v>
      </c>
      <c r="F322" t="s">
        <v>41</v>
      </c>
      <c r="G322" t="s">
        <v>31</v>
      </c>
      <c r="H322" t="s">
        <v>66</v>
      </c>
      <c r="I322" t="s">
        <v>20</v>
      </c>
      <c r="J322">
        <v>1</v>
      </c>
      <c r="K322">
        <v>463</v>
      </c>
      <c r="L322">
        <v>463</v>
      </c>
      <c r="M322">
        <v>26</v>
      </c>
      <c r="N322" t="s">
        <v>33</v>
      </c>
      <c r="O322">
        <v>3.4</v>
      </c>
      <c r="P322" s="2">
        <f>EOMONTH(Table1[[#This Row],[Order_Date]],0)</f>
        <v>45351</v>
      </c>
      <c r="Q322" s="3">
        <f>WEEKNUM(Table1[[#This Row],[Order_Date]])</f>
        <v>8</v>
      </c>
      <c r="R322">
        <f>YEAR(Table1[[#This Row],[Order_Date]])</f>
        <v>2024</v>
      </c>
      <c r="S322" t="str">
        <f>IF(Table1[[#This Row],[Quantity]]&gt;=3,"Promo","Regular")</f>
        <v>Regular</v>
      </c>
    </row>
    <row r="323" spans="1:19" x14ac:dyDescent="0.35">
      <c r="A323" t="s">
        <v>1906</v>
      </c>
      <c r="B323" t="s">
        <v>396</v>
      </c>
      <c r="C323" s="1">
        <v>45391</v>
      </c>
      <c r="D323" t="s">
        <v>28</v>
      </c>
      <c r="E323" t="s">
        <v>40</v>
      </c>
      <c r="F323" t="s">
        <v>35</v>
      </c>
      <c r="G323" t="s">
        <v>73</v>
      </c>
      <c r="H323" t="s">
        <v>19</v>
      </c>
      <c r="I323" t="s">
        <v>20</v>
      </c>
      <c r="J323">
        <v>4</v>
      </c>
      <c r="K323">
        <v>487</v>
      </c>
      <c r="L323">
        <v>1948</v>
      </c>
      <c r="M323">
        <v>20</v>
      </c>
      <c r="N323" t="s">
        <v>21</v>
      </c>
      <c r="O323">
        <v>3.6</v>
      </c>
      <c r="P323" s="2">
        <f>EOMONTH(Table1[[#This Row],[Order_Date]],0)</f>
        <v>45412</v>
      </c>
      <c r="Q323" s="3">
        <f>WEEKNUM(Table1[[#This Row],[Order_Date]])</f>
        <v>15</v>
      </c>
      <c r="R323">
        <f>YEAR(Table1[[#This Row],[Order_Date]])</f>
        <v>2024</v>
      </c>
      <c r="S323" t="str">
        <f>IF(Table1[[#This Row],[Quantity]]&gt;=3,"Promo","Regular")</f>
        <v>Promo</v>
      </c>
    </row>
    <row r="324" spans="1:19" x14ac:dyDescent="0.35">
      <c r="A324" t="s">
        <v>1907</v>
      </c>
      <c r="B324" t="s">
        <v>397</v>
      </c>
      <c r="C324" s="1">
        <v>45382</v>
      </c>
      <c r="D324" t="s">
        <v>57</v>
      </c>
      <c r="E324" t="s">
        <v>105</v>
      </c>
      <c r="F324" t="s">
        <v>72</v>
      </c>
      <c r="G324" t="s">
        <v>25</v>
      </c>
      <c r="H324" t="s">
        <v>120</v>
      </c>
      <c r="I324" t="s">
        <v>60</v>
      </c>
      <c r="J324">
        <v>5</v>
      </c>
      <c r="K324">
        <v>158</v>
      </c>
      <c r="L324">
        <v>790</v>
      </c>
      <c r="M324">
        <v>56</v>
      </c>
      <c r="N324" t="s">
        <v>33</v>
      </c>
      <c r="O324">
        <v>4.5</v>
      </c>
      <c r="P324" s="2">
        <f>EOMONTH(Table1[[#This Row],[Order_Date]],0)</f>
        <v>45382</v>
      </c>
      <c r="Q324" s="3">
        <f>WEEKNUM(Table1[[#This Row],[Order_Date]])</f>
        <v>14</v>
      </c>
      <c r="R324">
        <f>YEAR(Table1[[#This Row],[Order_Date]])</f>
        <v>2024</v>
      </c>
      <c r="S324" t="str">
        <f>IF(Table1[[#This Row],[Quantity]]&gt;=3,"Promo","Regular")</f>
        <v>Promo</v>
      </c>
    </row>
    <row r="325" spans="1:19" x14ac:dyDescent="0.35">
      <c r="A325" t="s">
        <v>1907</v>
      </c>
      <c r="B325" t="s">
        <v>398</v>
      </c>
      <c r="C325" s="1">
        <v>45530</v>
      </c>
      <c r="D325" t="s">
        <v>57</v>
      </c>
      <c r="E325" t="s">
        <v>75</v>
      </c>
      <c r="F325" t="s">
        <v>30</v>
      </c>
      <c r="G325" t="s">
        <v>73</v>
      </c>
      <c r="H325" t="s">
        <v>59</v>
      </c>
      <c r="I325" t="s">
        <v>60</v>
      </c>
      <c r="J325">
        <v>2</v>
      </c>
      <c r="K325">
        <v>246</v>
      </c>
      <c r="L325">
        <v>492</v>
      </c>
      <c r="M325">
        <v>37</v>
      </c>
      <c r="N325" t="s">
        <v>38</v>
      </c>
      <c r="O325">
        <v>3.5</v>
      </c>
      <c r="P325" s="2">
        <f>EOMONTH(Table1[[#This Row],[Order_Date]],0)</f>
        <v>45535</v>
      </c>
      <c r="Q325" s="3">
        <f>WEEKNUM(Table1[[#This Row],[Order_Date]])</f>
        <v>35</v>
      </c>
      <c r="R325">
        <f>YEAR(Table1[[#This Row],[Order_Date]])</f>
        <v>2024</v>
      </c>
      <c r="S325" t="str">
        <f>IF(Table1[[#This Row],[Quantity]]&gt;=3,"Promo","Regular")</f>
        <v>Regular</v>
      </c>
    </row>
    <row r="326" spans="1:19" x14ac:dyDescent="0.35">
      <c r="A326" t="s">
        <v>1907</v>
      </c>
      <c r="B326" t="s">
        <v>399</v>
      </c>
      <c r="C326" s="1">
        <v>45294</v>
      </c>
      <c r="D326" t="s">
        <v>43</v>
      </c>
      <c r="E326" t="s">
        <v>52</v>
      </c>
      <c r="F326" t="s">
        <v>65</v>
      </c>
      <c r="G326" t="s">
        <v>18</v>
      </c>
      <c r="H326" t="s">
        <v>19</v>
      </c>
      <c r="I326" t="s">
        <v>20</v>
      </c>
      <c r="J326">
        <v>5</v>
      </c>
      <c r="K326">
        <v>248</v>
      </c>
      <c r="L326">
        <v>1240</v>
      </c>
      <c r="M326">
        <v>45</v>
      </c>
      <c r="N326" t="s">
        <v>33</v>
      </c>
      <c r="O326">
        <v>3.9</v>
      </c>
      <c r="P326" s="2">
        <f>EOMONTH(Table1[[#This Row],[Order_Date]],0)</f>
        <v>45322</v>
      </c>
      <c r="Q326" s="3">
        <f>WEEKNUM(Table1[[#This Row],[Order_Date]])</f>
        <v>1</v>
      </c>
      <c r="R326">
        <f>YEAR(Table1[[#This Row],[Order_Date]])</f>
        <v>2024</v>
      </c>
      <c r="S326" t="str">
        <f>IF(Table1[[#This Row],[Quantity]]&gt;=3,"Promo","Regular")</f>
        <v>Promo</v>
      </c>
    </row>
    <row r="327" spans="1:19" x14ac:dyDescent="0.35">
      <c r="A327" t="s">
        <v>1907</v>
      </c>
      <c r="B327" t="s">
        <v>400</v>
      </c>
      <c r="C327" s="1">
        <v>45418</v>
      </c>
      <c r="D327" t="s">
        <v>43</v>
      </c>
      <c r="E327" t="s">
        <v>82</v>
      </c>
      <c r="F327" t="s">
        <v>30</v>
      </c>
      <c r="G327" t="s">
        <v>73</v>
      </c>
      <c r="H327" t="s">
        <v>37</v>
      </c>
      <c r="I327" t="s">
        <v>20</v>
      </c>
      <c r="J327">
        <v>4</v>
      </c>
      <c r="K327">
        <v>195</v>
      </c>
      <c r="L327">
        <v>780</v>
      </c>
      <c r="M327">
        <v>38</v>
      </c>
      <c r="N327" t="s">
        <v>21</v>
      </c>
      <c r="O327">
        <v>4.5</v>
      </c>
      <c r="P327" s="2">
        <f>EOMONTH(Table1[[#This Row],[Order_Date]],0)</f>
        <v>45443</v>
      </c>
      <c r="Q327" s="3">
        <f>WEEKNUM(Table1[[#This Row],[Order_Date]])</f>
        <v>19</v>
      </c>
      <c r="R327">
        <f>YEAR(Table1[[#This Row],[Order_Date]])</f>
        <v>2024</v>
      </c>
      <c r="S327" t="str">
        <f>IF(Table1[[#This Row],[Quantity]]&gt;=3,"Promo","Regular")</f>
        <v>Promo</v>
      </c>
    </row>
    <row r="328" spans="1:19" x14ac:dyDescent="0.35">
      <c r="A328" t="s">
        <v>1908</v>
      </c>
      <c r="B328" t="s">
        <v>401</v>
      </c>
      <c r="C328" s="1">
        <v>45529</v>
      </c>
      <c r="D328" t="s">
        <v>57</v>
      </c>
      <c r="E328" t="s">
        <v>62</v>
      </c>
      <c r="F328" t="s">
        <v>69</v>
      </c>
      <c r="G328" t="s">
        <v>31</v>
      </c>
      <c r="H328" t="s">
        <v>59</v>
      </c>
      <c r="I328" t="s">
        <v>60</v>
      </c>
      <c r="J328">
        <v>4</v>
      </c>
      <c r="K328">
        <v>173</v>
      </c>
      <c r="L328">
        <v>692</v>
      </c>
      <c r="M328">
        <v>49</v>
      </c>
      <c r="N328" t="s">
        <v>21</v>
      </c>
      <c r="O328">
        <v>4.5</v>
      </c>
      <c r="P328" s="2">
        <f>EOMONTH(Table1[[#This Row],[Order_Date]],0)</f>
        <v>45535</v>
      </c>
      <c r="Q328" s="3">
        <f>WEEKNUM(Table1[[#This Row],[Order_Date]])</f>
        <v>35</v>
      </c>
      <c r="R328">
        <f>YEAR(Table1[[#This Row],[Order_Date]])</f>
        <v>2024</v>
      </c>
      <c r="S328" t="str">
        <f>IF(Table1[[#This Row],[Quantity]]&gt;=3,"Promo","Regular")</f>
        <v>Promo</v>
      </c>
    </row>
    <row r="329" spans="1:19" x14ac:dyDescent="0.35">
      <c r="A329" t="s">
        <v>1908</v>
      </c>
      <c r="B329" t="s">
        <v>402</v>
      </c>
      <c r="C329" s="1">
        <v>45294</v>
      </c>
      <c r="D329" t="s">
        <v>48</v>
      </c>
      <c r="E329" t="s">
        <v>127</v>
      </c>
      <c r="F329" t="s">
        <v>85</v>
      </c>
      <c r="G329" t="s">
        <v>36</v>
      </c>
      <c r="H329" t="s">
        <v>32</v>
      </c>
      <c r="I329" t="s">
        <v>20</v>
      </c>
      <c r="J329">
        <v>3</v>
      </c>
      <c r="K329">
        <v>299</v>
      </c>
      <c r="L329">
        <v>897</v>
      </c>
      <c r="M329">
        <v>28</v>
      </c>
      <c r="N329" t="s">
        <v>33</v>
      </c>
      <c r="O329">
        <v>3.8</v>
      </c>
      <c r="P329" s="2">
        <f>EOMONTH(Table1[[#This Row],[Order_Date]],0)</f>
        <v>45322</v>
      </c>
      <c r="Q329" s="3">
        <f>WEEKNUM(Table1[[#This Row],[Order_Date]])</f>
        <v>1</v>
      </c>
      <c r="R329">
        <f>YEAR(Table1[[#This Row],[Order_Date]])</f>
        <v>2024</v>
      </c>
      <c r="S329" t="str">
        <f>IF(Table1[[#This Row],[Quantity]]&gt;=3,"Promo","Regular")</f>
        <v>Promo</v>
      </c>
    </row>
    <row r="330" spans="1:19" x14ac:dyDescent="0.35">
      <c r="A330" t="s">
        <v>1908</v>
      </c>
      <c r="B330" t="s">
        <v>403</v>
      </c>
      <c r="C330" s="1">
        <v>45301</v>
      </c>
      <c r="D330" t="s">
        <v>57</v>
      </c>
      <c r="E330" t="s">
        <v>75</v>
      </c>
      <c r="F330" t="s">
        <v>30</v>
      </c>
      <c r="G330" t="s">
        <v>46</v>
      </c>
      <c r="H330" t="s">
        <v>55</v>
      </c>
      <c r="I330" t="s">
        <v>20</v>
      </c>
      <c r="J330">
        <v>5</v>
      </c>
      <c r="K330">
        <v>372</v>
      </c>
      <c r="L330">
        <v>1860</v>
      </c>
      <c r="M330">
        <v>55</v>
      </c>
      <c r="N330" t="s">
        <v>21</v>
      </c>
      <c r="O330">
        <v>3.9</v>
      </c>
      <c r="P330" s="2">
        <f>EOMONTH(Table1[[#This Row],[Order_Date]],0)</f>
        <v>45322</v>
      </c>
      <c r="Q330" s="3">
        <f>WEEKNUM(Table1[[#This Row],[Order_Date]])</f>
        <v>2</v>
      </c>
      <c r="R330">
        <f>YEAR(Table1[[#This Row],[Order_Date]])</f>
        <v>2024</v>
      </c>
      <c r="S330" t="str">
        <f>IF(Table1[[#This Row],[Quantity]]&gt;=3,"Promo","Regular")</f>
        <v>Promo</v>
      </c>
    </row>
    <row r="331" spans="1:19" x14ac:dyDescent="0.35">
      <c r="A331" t="s">
        <v>1908</v>
      </c>
      <c r="B331" t="s">
        <v>404</v>
      </c>
      <c r="C331" s="1">
        <v>45383</v>
      </c>
      <c r="D331" t="s">
        <v>57</v>
      </c>
      <c r="E331" t="s">
        <v>58</v>
      </c>
      <c r="F331" t="s">
        <v>45</v>
      </c>
      <c r="G331" t="s">
        <v>31</v>
      </c>
      <c r="H331" t="s">
        <v>37</v>
      </c>
      <c r="I331" t="s">
        <v>20</v>
      </c>
      <c r="J331">
        <v>4</v>
      </c>
      <c r="K331">
        <v>173</v>
      </c>
      <c r="L331">
        <v>692</v>
      </c>
      <c r="M331">
        <v>60</v>
      </c>
      <c r="N331" t="s">
        <v>21</v>
      </c>
      <c r="O331">
        <v>3.8</v>
      </c>
      <c r="P331" s="2">
        <f>EOMONTH(Table1[[#This Row],[Order_Date]],0)</f>
        <v>45412</v>
      </c>
      <c r="Q331" s="3">
        <f>WEEKNUM(Table1[[#This Row],[Order_Date]])</f>
        <v>14</v>
      </c>
      <c r="R331">
        <f>YEAR(Table1[[#This Row],[Order_Date]])</f>
        <v>2024</v>
      </c>
      <c r="S331" t="str">
        <f>IF(Table1[[#This Row],[Quantity]]&gt;=3,"Promo","Regular")</f>
        <v>Promo</v>
      </c>
    </row>
    <row r="332" spans="1:19" x14ac:dyDescent="0.35">
      <c r="A332" t="s">
        <v>1908</v>
      </c>
      <c r="B332" t="s">
        <v>405</v>
      </c>
      <c r="C332" s="1">
        <v>45491</v>
      </c>
      <c r="D332" t="s">
        <v>43</v>
      </c>
      <c r="E332" t="s">
        <v>82</v>
      </c>
      <c r="F332" t="s">
        <v>69</v>
      </c>
      <c r="G332" t="s">
        <v>25</v>
      </c>
      <c r="H332" t="s">
        <v>26</v>
      </c>
      <c r="I332" t="s">
        <v>20</v>
      </c>
      <c r="J332">
        <v>4</v>
      </c>
      <c r="K332">
        <v>309</v>
      </c>
      <c r="L332">
        <v>1236</v>
      </c>
      <c r="M332">
        <v>35</v>
      </c>
      <c r="N332" t="s">
        <v>21</v>
      </c>
      <c r="O332">
        <v>3.7</v>
      </c>
      <c r="P332" s="2">
        <f>EOMONTH(Table1[[#This Row],[Order_Date]],0)</f>
        <v>45504</v>
      </c>
      <c r="Q332" s="3">
        <f>WEEKNUM(Table1[[#This Row],[Order_Date]])</f>
        <v>29</v>
      </c>
      <c r="R332">
        <f>YEAR(Table1[[#This Row],[Order_Date]])</f>
        <v>2024</v>
      </c>
      <c r="S332" t="str">
        <f>IF(Table1[[#This Row],[Quantity]]&gt;=3,"Promo","Regular")</f>
        <v>Promo</v>
      </c>
    </row>
    <row r="333" spans="1:19" x14ac:dyDescent="0.35">
      <c r="A333" t="s">
        <v>1909</v>
      </c>
      <c r="B333" t="s">
        <v>406</v>
      </c>
      <c r="C333" s="1">
        <v>45526</v>
      </c>
      <c r="D333" t="s">
        <v>48</v>
      </c>
      <c r="E333" t="s">
        <v>127</v>
      </c>
      <c r="F333" t="s">
        <v>69</v>
      </c>
      <c r="G333" t="s">
        <v>73</v>
      </c>
      <c r="H333" t="s">
        <v>32</v>
      </c>
      <c r="I333" t="s">
        <v>20</v>
      </c>
      <c r="J333">
        <v>4</v>
      </c>
      <c r="K333">
        <v>157</v>
      </c>
      <c r="L333">
        <v>628</v>
      </c>
      <c r="M333">
        <v>46</v>
      </c>
      <c r="N333" t="s">
        <v>33</v>
      </c>
      <c r="O333">
        <v>4.5999999999999996</v>
      </c>
      <c r="P333" s="2">
        <f>EOMONTH(Table1[[#This Row],[Order_Date]],0)</f>
        <v>45535</v>
      </c>
      <c r="Q333" s="3">
        <f>WEEKNUM(Table1[[#This Row],[Order_Date]])</f>
        <v>34</v>
      </c>
      <c r="R333">
        <f>YEAR(Table1[[#This Row],[Order_Date]])</f>
        <v>2024</v>
      </c>
      <c r="S333" t="str">
        <f>IF(Table1[[#This Row],[Quantity]]&gt;=3,"Promo","Regular")</f>
        <v>Promo</v>
      </c>
    </row>
    <row r="334" spans="1:19" x14ac:dyDescent="0.35">
      <c r="A334" t="s">
        <v>1909</v>
      </c>
      <c r="B334" t="s">
        <v>407</v>
      </c>
      <c r="C334" s="1">
        <v>45486</v>
      </c>
      <c r="D334" t="s">
        <v>28</v>
      </c>
      <c r="E334" t="s">
        <v>71</v>
      </c>
      <c r="F334" t="s">
        <v>35</v>
      </c>
      <c r="G334" t="s">
        <v>31</v>
      </c>
      <c r="H334" t="s">
        <v>53</v>
      </c>
      <c r="I334" t="s">
        <v>20</v>
      </c>
      <c r="J334">
        <v>3</v>
      </c>
      <c r="K334">
        <v>281</v>
      </c>
      <c r="L334">
        <v>843</v>
      </c>
      <c r="M334">
        <v>24</v>
      </c>
      <c r="N334" t="s">
        <v>33</v>
      </c>
      <c r="O334">
        <v>4.5999999999999996</v>
      </c>
      <c r="P334" s="2">
        <f>EOMONTH(Table1[[#This Row],[Order_Date]],0)</f>
        <v>45504</v>
      </c>
      <c r="Q334" s="3">
        <f>WEEKNUM(Table1[[#This Row],[Order_Date]])</f>
        <v>28</v>
      </c>
      <c r="R334">
        <f>YEAR(Table1[[#This Row],[Order_Date]])</f>
        <v>2024</v>
      </c>
      <c r="S334" t="str">
        <f>IF(Table1[[#This Row],[Quantity]]&gt;=3,"Promo","Regular")</f>
        <v>Promo</v>
      </c>
    </row>
    <row r="335" spans="1:19" x14ac:dyDescent="0.35">
      <c r="A335" t="s">
        <v>1910</v>
      </c>
      <c r="B335" t="s">
        <v>408</v>
      </c>
      <c r="C335" s="1">
        <v>45334</v>
      </c>
      <c r="D335" t="s">
        <v>15</v>
      </c>
      <c r="E335" t="s">
        <v>16</v>
      </c>
      <c r="F335" t="s">
        <v>72</v>
      </c>
      <c r="G335" t="s">
        <v>46</v>
      </c>
      <c r="H335" t="s">
        <v>53</v>
      </c>
      <c r="I335" t="s">
        <v>20</v>
      </c>
      <c r="J335">
        <v>1</v>
      </c>
      <c r="K335">
        <v>309</v>
      </c>
      <c r="L335">
        <v>309</v>
      </c>
      <c r="M335">
        <v>24</v>
      </c>
      <c r="N335" t="s">
        <v>38</v>
      </c>
      <c r="O335">
        <v>3.2</v>
      </c>
      <c r="P335" s="2">
        <f>EOMONTH(Table1[[#This Row],[Order_Date]],0)</f>
        <v>45351</v>
      </c>
      <c r="Q335" s="3">
        <f>WEEKNUM(Table1[[#This Row],[Order_Date]])</f>
        <v>7</v>
      </c>
      <c r="R335">
        <f>YEAR(Table1[[#This Row],[Order_Date]])</f>
        <v>2024</v>
      </c>
      <c r="S335" t="str">
        <f>IF(Table1[[#This Row],[Quantity]]&gt;=3,"Promo","Regular")</f>
        <v>Regular</v>
      </c>
    </row>
    <row r="336" spans="1:19" x14ac:dyDescent="0.35">
      <c r="A336" t="s">
        <v>1910</v>
      </c>
      <c r="B336" t="s">
        <v>409</v>
      </c>
      <c r="C336" s="1">
        <v>45526</v>
      </c>
      <c r="D336" t="s">
        <v>48</v>
      </c>
      <c r="E336" t="s">
        <v>64</v>
      </c>
      <c r="F336" t="s">
        <v>85</v>
      </c>
      <c r="G336" t="s">
        <v>36</v>
      </c>
      <c r="H336" t="s">
        <v>55</v>
      </c>
      <c r="I336" t="s">
        <v>20</v>
      </c>
      <c r="J336">
        <v>2</v>
      </c>
      <c r="K336">
        <v>317</v>
      </c>
      <c r="L336">
        <v>634</v>
      </c>
      <c r="M336">
        <v>20</v>
      </c>
      <c r="N336" t="s">
        <v>38</v>
      </c>
      <c r="O336">
        <v>4.2</v>
      </c>
      <c r="P336" s="2">
        <f>EOMONTH(Table1[[#This Row],[Order_Date]],0)</f>
        <v>45535</v>
      </c>
      <c r="Q336" s="3">
        <f>WEEKNUM(Table1[[#This Row],[Order_Date]])</f>
        <v>34</v>
      </c>
      <c r="R336">
        <f>YEAR(Table1[[#This Row],[Order_Date]])</f>
        <v>2024</v>
      </c>
      <c r="S336" t="str">
        <f>IF(Table1[[#This Row],[Quantity]]&gt;=3,"Promo","Regular")</f>
        <v>Regular</v>
      </c>
    </row>
    <row r="337" spans="1:19" x14ac:dyDescent="0.35">
      <c r="A337" t="s">
        <v>1910</v>
      </c>
      <c r="B337" t="s">
        <v>410</v>
      </c>
      <c r="C337" s="1">
        <v>45341</v>
      </c>
      <c r="D337" t="s">
        <v>43</v>
      </c>
      <c r="E337" t="s">
        <v>93</v>
      </c>
      <c r="F337" t="s">
        <v>17</v>
      </c>
      <c r="G337" t="s">
        <v>25</v>
      </c>
      <c r="H337" t="s">
        <v>66</v>
      </c>
      <c r="I337" t="s">
        <v>20</v>
      </c>
      <c r="J337">
        <v>5</v>
      </c>
      <c r="K337">
        <v>236</v>
      </c>
      <c r="L337">
        <v>1180</v>
      </c>
      <c r="M337">
        <v>50</v>
      </c>
      <c r="N337" t="s">
        <v>33</v>
      </c>
      <c r="O337">
        <v>3.4</v>
      </c>
      <c r="P337" s="2">
        <f>EOMONTH(Table1[[#This Row],[Order_Date]],0)</f>
        <v>45351</v>
      </c>
      <c r="Q337" s="3">
        <f>WEEKNUM(Table1[[#This Row],[Order_Date]])</f>
        <v>8</v>
      </c>
      <c r="R337">
        <f>YEAR(Table1[[#This Row],[Order_Date]])</f>
        <v>2024</v>
      </c>
      <c r="S337" t="str">
        <f>IF(Table1[[#This Row],[Quantity]]&gt;=3,"Promo","Regular")</f>
        <v>Promo</v>
      </c>
    </row>
    <row r="338" spans="1:19" x14ac:dyDescent="0.35">
      <c r="A338" t="s">
        <v>1911</v>
      </c>
      <c r="B338" t="s">
        <v>411</v>
      </c>
      <c r="C338" s="1">
        <v>45542</v>
      </c>
      <c r="D338" t="s">
        <v>43</v>
      </c>
      <c r="E338" t="s">
        <v>93</v>
      </c>
      <c r="F338" t="s">
        <v>45</v>
      </c>
      <c r="G338" t="s">
        <v>36</v>
      </c>
      <c r="H338" t="s">
        <v>50</v>
      </c>
      <c r="I338" t="s">
        <v>20</v>
      </c>
      <c r="J338">
        <v>3</v>
      </c>
      <c r="K338">
        <v>268</v>
      </c>
      <c r="L338">
        <v>804</v>
      </c>
      <c r="M338">
        <v>21</v>
      </c>
      <c r="N338" t="s">
        <v>21</v>
      </c>
      <c r="O338">
        <v>4.8</v>
      </c>
      <c r="P338" s="2">
        <f>EOMONTH(Table1[[#This Row],[Order_Date]],0)</f>
        <v>45565</v>
      </c>
      <c r="Q338" s="3">
        <f>WEEKNUM(Table1[[#This Row],[Order_Date]])</f>
        <v>36</v>
      </c>
      <c r="R338">
        <f>YEAR(Table1[[#This Row],[Order_Date]])</f>
        <v>2024</v>
      </c>
      <c r="S338" t="str">
        <f>IF(Table1[[#This Row],[Quantity]]&gt;=3,"Promo","Regular")</f>
        <v>Promo</v>
      </c>
    </row>
    <row r="339" spans="1:19" x14ac:dyDescent="0.35">
      <c r="A339" t="s">
        <v>1911</v>
      </c>
      <c r="B339" t="s">
        <v>412</v>
      </c>
      <c r="C339" s="1">
        <v>45352</v>
      </c>
      <c r="D339" t="s">
        <v>43</v>
      </c>
      <c r="E339" t="s">
        <v>44</v>
      </c>
      <c r="F339" t="s">
        <v>24</v>
      </c>
      <c r="G339" t="s">
        <v>73</v>
      </c>
      <c r="H339" t="s">
        <v>120</v>
      </c>
      <c r="I339" t="s">
        <v>60</v>
      </c>
      <c r="J339">
        <v>3</v>
      </c>
      <c r="K339">
        <v>144</v>
      </c>
      <c r="L339">
        <v>432</v>
      </c>
      <c r="M339">
        <v>25</v>
      </c>
      <c r="N339" t="s">
        <v>21</v>
      </c>
      <c r="O339">
        <v>4.9000000000000004</v>
      </c>
      <c r="P339" s="2">
        <f>EOMONTH(Table1[[#This Row],[Order_Date]],0)</f>
        <v>45382</v>
      </c>
      <c r="Q339" s="3">
        <f>WEEKNUM(Table1[[#This Row],[Order_Date]])</f>
        <v>9</v>
      </c>
      <c r="R339">
        <f>YEAR(Table1[[#This Row],[Order_Date]])</f>
        <v>2024</v>
      </c>
      <c r="S339" t="str">
        <f>IF(Table1[[#This Row],[Quantity]]&gt;=3,"Promo","Regular")</f>
        <v>Promo</v>
      </c>
    </row>
    <row r="340" spans="1:19" x14ac:dyDescent="0.35">
      <c r="A340" t="s">
        <v>1911</v>
      </c>
      <c r="B340" t="s">
        <v>413</v>
      </c>
      <c r="C340" s="1">
        <v>45491</v>
      </c>
      <c r="D340" t="s">
        <v>57</v>
      </c>
      <c r="E340" t="s">
        <v>105</v>
      </c>
      <c r="F340" t="s">
        <v>65</v>
      </c>
      <c r="G340" t="s">
        <v>46</v>
      </c>
      <c r="H340" t="s">
        <v>50</v>
      </c>
      <c r="I340" t="s">
        <v>20</v>
      </c>
      <c r="J340">
        <v>3</v>
      </c>
      <c r="K340">
        <v>253</v>
      </c>
      <c r="L340">
        <v>759</v>
      </c>
      <c r="M340">
        <v>47</v>
      </c>
      <c r="N340" t="s">
        <v>33</v>
      </c>
      <c r="O340">
        <v>4.5999999999999996</v>
      </c>
      <c r="P340" s="2">
        <f>EOMONTH(Table1[[#This Row],[Order_Date]],0)</f>
        <v>45504</v>
      </c>
      <c r="Q340" s="3">
        <f>WEEKNUM(Table1[[#This Row],[Order_Date]])</f>
        <v>29</v>
      </c>
      <c r="R340">
        <f>YEAR(Table1[[#This Row],[Order_Date]])</f>
        <v>2024</v>
      </c>
      <c r="S340" t="str">
        <f>IF(Table1[[#This Row],[Quantity]]&gt;=3,"Promo","Regular")</f>
        <v>Promo</v>
      </c>
    </row>
    <row r="341" spans="1:19" x14ac:dyDescent="0.35">
      <c r="A341" t="s">
        <v>1911</v>
      </c>
      <c r="B341" t="s">
        <v>414</v>
      </c>
      <c r="C341" s="1">
        <v>45497</v>
      </c>
      <c r="D341" t="s">
        <v>28</v>
      </c>
      <c r="E341" t="s">
        <v>40</v>
      </c>
      <c r="F341" t="s">
        <v>72</v>
      </c>
      <c r="G341" t="s">
        <v>73</v>
      </c>
      <c r="H341" t="s">
        <v>59</v>
      </c>
      <c r="I341" t="s">
        <v>60</v>
      </c>
      <c r="J341">
        <v>3</v>
      </c>
      <c r="K341">
        <v>400</v>
      </c>
      <c r="L341">
        <v>1200</v>
      </c>
      <c r="M341">
        <v>42</v>
      </c>
      <c r="N341" t="s">
        <v>38</v>
      </c>
      <c r="O341">
        <v>4.9000000000000004</v>
      </c>
      <c r="P341" s="2">
        <f>EOMONTH(Table1[[#This Row],[Order_Date]],0)</f>
        <v>45504</v>
      </c>
      <c r="Q341" s="3">
        <f>WEEKNUM(Table1[[#This Row],[Order_Date]])</f>
        <v>30</v>
      </c>
      <c r="R341">
        <f>YEAR(Table1[[#This Row],[Order_Date]])</f>
        <v>2024</v>
      </c>
      <c r="S341" t="str">
        <f>IF(Table1[[#This Row],[Quantity]]&gt;=3,"Promo","Regular")</f>
        <v>Promo</v>
      </c>
    </row>
    <row r="342" spans="1:19" x14ac:dyDescent="0.35">
      <c r="A342" t="s">
        <v>1911</v>
      </c>
      <c r="B342" t="s">
        <v>415</v>
      </c>
      <c r="C342" s="1">
        <v>45347</v>
      </c>
      <c r="D342" t="s">
        <v>15</v>
      </c>
      <c r="E342" t="s">
        <v>23</v>
      </c>
      <c r="F342" t="s">
        <v>85</v>
      </c>
      <c r="G342" t="s">
        <v>18</v>
      </c>
      <c r="H342" t="s">
        <v>32</v>
      </c>
      <c r="I342" t="s">
        <v>20</v>
      </c>
      <c r="J342">
        <v>4</v>
      </c>
      <c r="K342">
        <v>348</v>
      </c>
      <c r="L342">
        <v>1392</v>
      </c>
      <c r="M342">
        <v>27</v>
      </c>
      <c r="N342" t="s">
        <v>38</v>
      </c>
      <c r="O342">
        <v>3.3</v>
      </c>
      <c r="P342" s="2">
        <f>EOMONTH(Table1[[#This Row],[Order_Date]],0)</f>
        <v>45351</v>
      </c>
      <c r="Q342" s="3">
        <f>WEEKNUM(Table1[[#This Row],[Order_Date]])</f>
        <v>9</v>
      </c>
      <c r="R342">
        <f>YEAR(Table1[[#This Row],[Order_Date]])</f>
        <v>2024</v>
      </c>
      <c r="S342" t="str">
        <f>IF(Table1[[#This Row],[Quantity]]&gt;=3,"Promo","Regular")</f>
        <v>Promo</v>
      </c>
    </row>
    <row r="343" spans="1:19" x14ac:dyDescent="0.35">
      <c r="A343" t="s">
        <v>1912</v>
      </c>
      <c r="B343" t="s">
        <v>416</v>
      </c>
      <c r="C343" s="1">
        <v>45474</v>
      </c>
      <c r="D343" t="s">
        <v>28</v>
      </c>
      <c r="E343" t="s">
        <v>98</v>
      </c>
      <c r="F343" t="s">
        <v>65</v>
      </c>
      <c r="G343" t="s">
        <v>18</v>
      </c>
      <c r="H343" t="s">
        <v>37</v>
      </c>
      <c r="I343" t="s">
        <v>20</v>
      </c>
      <c r="J343">
        <v>2</v>
      </c>
      <c r="K343">
        <v>159</v>
      </c>
      <c r="L343">
        <v>318</v>
      </c>
      <c r="M343">
        <v>44</v>
      </c>
      <c r="N343" t="s">
        <v>33</v>
      </c>
      <c r="O343">
        <v>3.2</v>
      </c>
      <c r="P343" s="2">
        <f>EOMONTH(Table1[[#This Row],[Order_Date]],0)</f>
        <v>45504</v>
      </c>
      <c r="Q343" s="3">
        <f>WEEKNUM(Table1[[#This Row],[Order_Date]])</f>
        <v>27</v>
      </c>
      <c r="R343">
        <f>YEAR(Table1[[#This Row],[Order_Date]])</f>
        <v>2024</v>
      </c>
      <c r="S343" t="str">
        <f>IF(Table1[[#This Row],[Quantity]]&gt;=3,"Promo","Regular")</f>
        <v>Regular</v>
      </c>
    </row>
    <row r="344" spans="1:19" x14ac:dyDescent="0.35">
      <c r="A344" t="s">
        <v>1912</v>
      </c>
      <c r="B344" t="s">
        <v>417</v>
      </c>
      <c r="C344" s="1">
        <v>45297</v>
      </c>
      <c r="D344" t="s">
        <v>57</v>
      </c>
      <c r="E344" t="s">
        <v>58</v>
      </c>
      <c r="F344" t="s">
        <v>35</v>
      </c>
      <c r="G344" t="s">
        <v>18</v>
      </c>
      <c r="H344" t="s">
        <v>53</v>
      </c>
      <c r="I344" t="s">
        <v>20</v>
      </c>
      <c r="J344">
        <v>3</v>
      </c>
      <c r="K344">
        <v>353</v>
      </c>
      <c r="L344">
        <v>1059</v>
      </c>
      <c r="M344">
        <v>20</v>
      </c>
      <c r="N344" t="s">
        <v>38</v>
      </c>
      <c r="O344">
        <v>4.9000000000000004</v>
      </c>
      <c r="P344" s="2">
        <f>EOMONTH(Table1[[#This Row],[Order_Date]],0)</f>
        <v>45322</v>
      </c>
      <c r="Q344" s="3">
        <f>WEEKNUM(Table1[[#This Row],[Order_Date]])</f>
        <v>1</v>
      </c>
      <c r="R344">
        <f>YEAR(Table1[[#This Row],[Order_Date]])</f>
        <v>2024</v>
      </c>
      <c r="S344" t="str">
        <f>IF(Table1[[#This Row],[Quantity]]&gt;=3,"Promo","Regular")</f>
        <v>Promo</v>
      </c>
    </row>
    <row r="345" spans="1:19" x14ac:dyDescent="0.35">
      <c r="A345" t="s">
        <v>1912</v>
      </c>
      <c r="B345" t="s">
        <v>418</v>
      </c>
      <c r="C345" s="1">
        <v>45465</v>
      </c>
      <c r="D345" t="s">
        <v>28</v>
      </c>
      <c r="E345" t="s">
        <v>98</v>
      </c>
      <c r="F345" t="s">
        <v>17</v>
      </c>
      <c r="G345" t="s">
        <v>46</v>
      </c>
      <c r="H345" t="s">
        <v>120</v>
      </c>
      <c r="I345" t="s">
        <v>60</v>
      </c>
      <c r="J345">
        <v>1</v>
      </c>
      <c r="K345">
        <v>302</v>
      </c>
      <c r="L345">
        <v>302</v>
      </c>
      <c r="M345">
        <v>20</v>
      </c>
      <c r="N345" t="s">
        <v>33</v>
      </c>
      <c r="O345">
        <v>4.2</v>
      </c>
      <c r="P345" s="2">
        <f>EOMONTH(Table1[[#This Row],[Order_Date]],0)</f>
        <v>45473</v>
      </c>
      <c r="Q345" s="3">
        <f>WEEKNUM(Table1[[#This Row],[Order_Date]])</f>
        <v>25</v>
      </c>
      <c r="R345">
        <f>YEAR(Table1[[#This Row],[Order_Date]])</f>
        <v>2024</v>
      </c>
      <c r="S345" t="str">
        <f>IF(Table1[[#This Row],[Quantity]]&gt;=3,"Promo","Regular")</f>
        <v>Regular</v>
      </c>
    </row>
    <row r="346" spans="1:19" x14ac:dyDescent="0.35">
      <c r="A346" t="s">
        <v>1912</v>
      </c>
      <c r="B346" t="s">
        <v>419</v>
      </c>
      <c r="C346" s="1">
        <v>45465</v>
      </c>
      <c r="D346" t="s">
        <v>43</v>
      </c>
      <c r="E346" t="s">
        <v>110</v>
      </c>
      <c r="F346" t="s">
        <v>17</v>
      </c>
      <c r="G346" t="s">
        <v>73</v>
      </c>
      <c r="H346" t="s">
        <v>50</v>
      </c>
      <c r="I346" t="s">
        <v>20</v>
      </c>
      <c r="J346">
        <v>3</v>
      </c>
      <c r="K346">
        <v>148</v>
      </c>
      <c r="L346">
        <v>444</v>
      </c>
      <c r="M346">
        <v>23</v>
      </c>
      <c r="N346" t="s">
        <v>33</v>
      </c>
      <c r="O346">
        <v>4.8</v>
      </c>
      <c r="P346" s="2">
        <f>EOMONTH(Table1[[#This Row],[Order_Date]],0)</f>
        <v>45473</v>
      </c>
      <c r="Q346" s="3">
        <f>WEEKNUM(Table1[[#This Row],[Order_Date]])</f>
        <v>25</v>
      </c>
      <c r="R346">
        <f>YEAR(Table1[[#This Row],[Order_Date]])</f>
        <v>2024</v>
      </c>
      <c r="S346" t="str">
        <f>IF(Table1[[#This Row],[Quantity]]&gt;=3,"Promo","Regular")</f>
        <v>Promo</v>
      </c>
    </row>
    <row r="347" spans="1:19" x14ac:dyDescent="0.35">
      <c r="A347" t="s">
        <v>1912</v>
      </c>
      <c r="B347" t="s">
        <v>420</v>
      </c>
      <c r="C347" s="1">
        <v>45509</v>
      </c>
      <c r="D347" t="s">
        <v>48</v>
      </c>
      <c r="E347" t="s">
        <v>68</v>
      </c>
      <c r="F347" t="s">
        <v>69</v>
      </c>
      <c r="G347" t="s">
        <v>31</v>
      </c>
      <c r="H347" t="s">
        <v>19</v>
      </c>
      <c r="I347" t="s">
        <v>20</v>
      </c>
      <c r="J347">
        <v>3</v>
      </c>
      <c r="K347">
        <v>360</v>
      </c>
      <c r="L347">
        <v>1080</v>
      </c>
      <c r="M347">
        <v>26</v>
      </c>
      <c r="N347" t="s">
        <v>33</v>
      </c>
      <c r="O347">
        <v>4.8</v>
      </c>
      <c r="P347" s="2">
        <f>EOMONTH(Table1[[#This Row],[Order_Date]],0)</f>
        <v>45535</v>
      </c>
      <c r="Q347" s="3">
        <f>WEEKNUM(Table1[[#This Row],[Order_Date]])</f>
        <v>32</v>
      </c>
      <c r="R347">
        <f>YEAR(Table1[[#This Row],[Order_Date]])</f>
        <v>2024</v>
      </c>
      <c r="S347" t="str">
        <f>IF(Table1[[#This Row],[Quantity]]&gt;=3,"Promo","Regular")</f>
        <v>Promo</v>
      </c>
    </row>
    <row r="348" spans="1:19" x14ac:dyDescent="0.35">
      <c r="A348" t="s">
        <v>1913</v>
      </c>
      <c r="B348" t="s">
        <v>421</v>
      </c>
      <c r="C348" s="1">
        <v>45453</v>
      </c>
      <c r="D348" t="s">
        <v>15</v>
      </c>
      <c r="E348" t="s">
        <v>103</v>
      </c>
      <c r="F348" t="s">
        <v>65</v>
      </c>
      <c r="G348" t="s">
        <v>18</v>
      </c>
      <c r="H348" t="s">
        <v>120</v>
      </c>
      <c r="I348" t="s">
        <v>60</v>
      </c>
      <c r="J348">
        <v>5</v>
      </c>
      <c r="K348">
        <v>147</v>
      </c>
      <c r="L348">
        <v>735</v>
      </c>
      <c r="M348">
        <v>28</v>
      </c>
      <c r="N348" t="s">
        <v>33</v>
      </c>
      <c r="O348">
        <v>4.7</v>
      </c>
      <c r="P348" s="2">
        <f>EOMONTH(Table1[[#This Row],[Order_Date]],0)</f>
        <v>45473</v>
      </c>
      <c r="Q348" s="3">
        <f>WEEKNUM(Table1[[#This Row],[Order_Date]])</f>
        <v>24</v>
      </c>
      <c r="R348">
        <f>YEAR(Table1[[#This Row],[Order_Date]])</f>
        <v>2024</v>
      </c>
      <c r="S348" t="str">
        <f>IF(Table1[[#This Row],[Quantity]]&gt;=3,"Promo","Regular")</f>
        <v>Promo</v>
      </c>
    </row>
    <row r="349" spans="1:19" x14ac:dyDescent="0.35">
      <c r="A349" t="s">
        <v>1913</v>
      </c>
      <c r="B349" t="s">
        <v>422</v>
      </c>
      <c r="C349" s="1">
        <v>45415</v>
      </c>
      <c r="D349" t="s">
        <v>57</v>
      </c>
      <c r="E349" t="s">
        <v>136</v>
      </c>
      <c r="F349" t="s">
        <v>24</v>
      </c>
      <c r="G349" t="s">
        <v>36</v>
      </c>
      <c r="H349" t="s">
        <v>53</v>
      </c>
      <c r="I349" t="s">
        <v>20</v>
      </c>
      <c r="J349">
        <v>5</v>
      </c>
      <c r="K349">
        <v>272</v>
      </c>
      <c r="L349">
        <v>1360</v>
      </c>
      <c r="M349">
        <v>60</v>
      </c>
      <c r="N349" t="s">
        <v>38</v>
      </c>
      <c r="O349">
        <v>3.8</v>
      </c>
      <c r="P349" s="2">
        <f>EOMONTH(Table1[[#This Row],[Order_Date]],0)</f>
        <v>45443</v>
      </c>
      <c r="Q349" s="3">
        <f>WEEKNUM(Table1[[#This Row],[Order_Date]])</f>
        <v>18</v>
      </c>
      <c r="R349">
        <f>YEAR(Table1[[#This Row],[Order_Date]])</f>
        <v>2024</v>
      </c>
      <c r="S349" t="str">
        <f>IF(Table1[[#This Row],[Quantity]]&gt;=3,"Promo","Regular")</f>
        <v>Promo</v>
      </c>
    </row>
    <row r="350" spans="1:19" x14ac:dyDescent="0.35">
      <c r="A350" t="s">
        <v>1913</v>
      </c>
      <c r="B350" t="s">
        <v>423</v>
      </c>
      <c r="C350" s="1">
        <v>45453</v>
      </c>
      <c r="D350" t="s">
        <v>57</v>
      </c>
      <c r="E350" t="s">
        <v>58</v>
      </c>
      <c r="F350" t="s">
        <v>35</v>
      </c>
      <c r="G350" t="s">
        <v>73</v>
      </c>
      <c r="H350" t="s">
        <v>50</v>
      </c>
      <c r="I350" t="s">
        <v>20</v>
      </c>
      <c r="J350">
        <v>4</v>
      </c>
      <c r="K350">
        <v>228</v>
      </c>
      <c r="L350">
        <v>912</v>
      </c>
      <c r="M350">
        <v>28</v>
      </c>
      <c r="N350" t="s">
        <v>21</v>
      </c>
      <c r="O350">
        <v>4.7</v>
      </c>
      <c r="P350" s="2">
        <f>EOMONTH(Table1[[#This Row],[Order_Date]],0)</f>
        <v>45473</v>
      </c>
      <c r="Q350" s="3">
        <f>WEEKNUM(Table1[[#This Row],[Order_Date]])</f>
        <v>24</v>
      </c>
      <c r="R350">
        <f>YEAR(Table1[[#This Row],[Order_Date]])</f>
        <v>2024</v>
      </c>
      <c r="S350" t="str">
        <f>IF(Table1[[#This Row],[Quantity]]&gt;=3,"Promo","Regular")</f>
        <v>Promo</v>
      </c>
    </row>
    <row r="351" spans="1:19" x14ac:dyDescent="0.35">
      <c r="A351" t="s">
        <v>1913</v>
      </c>
      <c r="B351" t="s">
        <v>424</v>
      </c>
      <c r="C351" s="1">
        <v>45320</v>
      </c>
      <c r="D351" t="s">
        <v>57</v>
      </c>
      <c r="E351" t="s">
        <v>58</v>
      </c>
      <c r="F351" t="s">
        <v>17</v>
      </c>
      <c r="G351" t="s">
        <v>25</v>
      </c>
      <c r="H351" t="s">
        <v>26</v>
      </c>
      <c r="I351" t="s">
        <v>20</v>
      </c>
      <c r="J351">
        <v>5</v>
      </c>
      <c r="K351">
        <v>125</v>
      </c>
      <c r="L351">
        <v>625</v>
      </c>
      <c r="M351">
        <v>33</v>
      </c>
      <c r="N351" t="s">
        <v>21</v>
      </c>
      <c r="O351">
        <v>3</v>
      </c>
      <c r="P351" s="2">
        <f>EOMONTH(Table1[[#This Row],[Order_Date]],0)</f>
        <v>45322</v>
      </c>
      <c r="Q351" s="3">
        <f>WEEKNUM(Table1[[#This Row],[Order_Date]])</f>
        <v>5</v>
      </c>
      <c r="R351">
        <f>YEAR(Table1[[#This Row],[Order_Date]])</f>
        <v>2024</v>
      </c>
      <c r="S351" t="str">
        <f>IF(Table1[[#This Row],[Quantity]]&gt;=3,"Promo","Regular")</f>
        <v>Promo</v>
      </c>
    </row>
    <row r="352" spans="1:19" x14ac:dyDescent="0.35">
      <c r="A352" t="s">
        <v>1913</v>
      </c>
      <c r="B352" t="s">
        <v>425</v>
      </c>
      <c r="C352" s="1">
        <v>45386</v>
      </c>
      <c r="D352" t="s">
        <v>28</v>
      </c>
      <c r="E352" t="s">
        <v>98</v>
      </c>
      <c r="F352" t="s">
        <v>41</v>
      </c>
      <c r="G352" t="s">
        <v>73</v>
      </c>
      <c r="H352" t="s">
        <v>50</v>
      </c>
      <c r="I352" t="s">
        <v>20</v>
      </c>
      <c r="J352">
        <v>3</v>
      </c>
      <c r="K352">
        <v>285</v>
      </c>
      <c r="L352">
        <v>855</v>
      </c>
      <c r="M352">
        <v>59</v>
      </c>
      <c r="N352" t="s">
        <v>33</v>
      </c>
      <c r="O352">
        <v>4.5</v>
      </c>
      <c r="P352" s="2">
        <f>EOMONTH(Table1[[#This Row],[Order_Date]],0)</f>
        <v>45412</v>
      </c>
      <c r="Q352" s="3">
        <f>WEEKNUM(Table1[[#This Row],[Order_Date]])</f>
        <v>14</v>
      </c>
      <c r="R352">
        <f>YEAR(Table1[[#This Row],[Order_Date]])</f>
        <v>2024</v>
      </c>
      <c r="S352" t="str">
        <f>IF(Table1[[#This Row],[Quantity]]&gt;=3,"Promo","Regular")</f>
        <v>Promo</v>
      </c>
    </row>
    <row r="353" spans="1:19" x14ac:dyDescent="0.35">
      <c r="A353" t="s">
        <v>1914</v>
      </c>
      <c r="B353" t="s">
        <v>426</v>
      </c>
      <c r="C353" s="1">
        <v>45480</v>
      </c>
      <c r="D353" t="s">
        <v>57</v>
      </c>
      <c r="E353" t="s">
        <v>58</v>
      </c>
      <c r="F353" t="s">
        <v>85</v>
      </c>
      <c r="G353" t="s">
        <v>46</v>
      </c>
      <c r="H353" t="s">
        <v>53</v>
      </c>
      <c r="I353" t="s">
        <v>20</v>
      </c>
      <c r="J353">
        <v>3</v>
      </c>
      <c r="K353">
        <v>198</v>
      </c>
      <c r="L353">
        <v>594</v>
      </c>
      <c r="M353">
        <v>53</v>
      </c>
      <c r="N353" t="s">
        <v>38</v>
      </c>
      <c r="O353">
        <v>3.3</v>
      </c>
      <c r="P353" s="2">
        <f>EOMONTH(Table1[[#This Row],[Order_Date]],0)</f>
        <v>45504</v>
      </c>
      <c r="Q353" s="3">
        <f>WEEKNUM(Table1[[#This Row],[Order_Date]])</f>
        <v>28</v>
      </c>
      <c r="R353">
        <f>YEAR(Table1[[#This Row],[Order_Date]])</f>
        <v>2024</v>
      </c>
      <c r="S353" t="str">
        <f>IF(Table1[[#This Row],[Quantity]]&gt;=3,"Promo","Regular")</f>
        <v>Promo</v>
      </c>
    </row>
    <row r="354" spans="1:19" x14ac:dyDescent="0.35">
      <c r="A354" t="s">
        <v>1914</v>
      </c>
      <c r="B354" t="s">
        <v>427</v>
      </c>
      <c r="C354" s="1">
        <v>45553</v>
      </c>
      <c r="D354" t="s">
        <v>57</v>
      </c>
      <c r="E354" t="s">
        <v>62</v>
      </c>
      <c r="F354" t="s">
        <v>41</v>
      </c>
      <c r="G354" t="s">
        <v>73</v>
      </c>
      <c r="H354" t="s">
        <v>26</v>
      </c>
      <c r="I354" t="s">
        <v>20</v>
      </c>
      <c r="J354">
        <v>1</v>
      </c>
      <c r="K354">
        <v>360</v>
      </c>
      <c r="L354">
        <v>360</v>
      </c>
      <c r="M354">
        <v>24</v>
      </c>
      <c r="N354" t="s">
        <v>33</v>
      </c>
      <c r="O354">
        <v>4.4000000000000004</v>
      </c>
      <c r="P354" s="2">
        <f>EOMONTH(Table1[[#This Row],[Order_Date]],0)</f>
        <v>45565</v>
      </c>
      <c r="Q354" s="3">
        <f>WEEKNUM(Table1[[#This Row],[Order_Date]])</f>
        <v>38</v>
      </c>
      <c r="R354">
        <f>YEAR(Table1[[#This Row],[Order_Date]])</f>
        <v>2024</v>
      </c>
      <c r="S354" t="str">
        <f>IF(Table1[[#This Row],[Quantity]]&gt;=3,"Promo","Regular")</f>
        <v>Regular</v>
      </c>
    </row>
    <row r="355" spans="1:19" x14ac:dyDescent="0.35">
      <c r="A355" t="s">
        <v>1914</v>
      </c>
      <c r="B355" t="s">
        <v>428</v>
      </c>
      <c r="C355" s="1">
        <v>45368</v>
      </c>
      <c r="D355" t="s">
        <v>48</v>
      </c>
      <c r="E355" t="s">
        <v>49</v>
      </c>
      <c r="F355" t="s">
        <v>30</v>
      </c>
      <c r="G355" t="s">
        <v>73</v>
      </c>
      <c r="H355" t="s">
        <v>37</v>
      </c>
      <c r="I355" t="s">
        <v>20</v>
      </c>
      <c r="J355">
        <v>2</v>
      </c>
      <c r="K355">
        <v>271</v>
      </c>
      <c r="L355">
        <v>542</v>
      </c>
      <c r="M355">
        <v>59</v>
      </c>
      <c r="N355" t="s">
        <v>21</v>
      </c>
      <c r="O355">
        <v>3.1</v>
      </c>
      <c r="P355" s="2">
        <f>EOMONTH(Table1[[#This Row],[Order_Date]],0)</f>
        <v>45382</v>
      </c>
      <c r="Q355" s="3">
        <f>WEEKNUM(Table1[[#This Row],[Order_Date]])</f>
        <v>12</v>
      </c>
      <c r="R355">
        <f>YEAR(Table1[[#This Row],[Order_Date]])</f>
        <v>2024</v>
      </c>
      <c r="S355" t="str">
        <f>IF(Table1[[#This Row],[Quantity]]&gt;=3,"Promo","Regular")</f>
        <v>Regular</v>
      </c>
    </row>
    <row r="356" spans="1:19" x14ac:dyDescent="0.35">
      <c r="A356" t="s">
        <v>1914</v>
      </c>
      <c r="B356" t="s">
        <v>429</v>
      </c>
      <c r="C356" s="1">
        <v>45364</v>
      </c>
      <c r="D356" t="s">
        <v>15</v>
      </c>
      <c r="E356" t="s">
        <v>16</v>
      </c>
      <c r="F356" t="s">
        <v>24</v>
      </c>
      <c r="G356" t="s">
        <v>18</v>
      </c>
      <c r="H356" t="s">
        <v>55</v>
      </c>
      <c r="I356" t="s">
        <v>20</v>
      </c>
      <c r="J356">
        <v>3</v>
      </c>
      <c r="K356">
        <v>318</v>
      </c>
      <c r="L356">
        <v>954</v>
      </c>
      <c r="M356">
        <v>43</v>
      </c>
      <c r="N356" t="s">
        <v>21</v>
      </c>
      <c r="O356">
        <v>3.3</v>
      </c>
      <c r="P356" s="2">
        <f>EOMONTH(Table1[[#This Row],[Order_Date]],0)</f>
        <v>45382</v>
      </c>
      <c r="Q356" s="3">
        <f>WEEKNUM(Table1[[#This Row],[Order_Date]])</f>
        <v>11</v>
      </c>
      <c r="R356">
        <f>YEAR(Table1[[#This Row],[Order_Date]])</f>
        <v>2024</v>
      </c>
      <c r="S356" t="str">
        <f>IF(Table1[[#This Row],[Quantity]]&gt;=3,"Promo","Regular")</f>
        <v>Promo</v>
      </c>
    </row>
    <row r="357" spans="1:19" x14ac:dyDescent="0.35">
      <c r="A357" t="s">
        <v>1914</v>
      </c>
      <c r="B357" t="s">
        <v>430</v>
      </c>
      <c r="C357" s="1">
        <v>45533</v>
      </c>
      <c r="D357" t="s">
        <v>15</v>
      </c>
      <c r="E357" t="s">
        <v>112</v>
      </c>
      <c r="F357" t="s">
        <v>30</v>
      </c>
      <c r="G357" t="s">
        <v>31</v>
      </c>
      <c r="H357" t="s">
        <v>50</v>
      </c>
      <c r="I357" t="s">
        <v>20</v>
      </c>
      <c r="J357">
        <v>1</v>
      </c>
      <c r="K357">
        <v>498</v>
      </c>
      <c r="L357">
        <v>498</v>
      </c>
      <c r="M357">
        <v>34</v>
      </c>
      <c r="N357" t="s">
        <v>21</v>
      </c>
      <c r="O357">
        <v>3.9</v>
      </c>
      <c r="P357" s="2">
        <f>EOMONTH(Table1[[#This Row],[Order_Date]],0)</f>
        <v>45535</v>
      </c>
      <c r="Q357" s="3">
        <f>WEEKNUM(Table1[[#This Row],[Order_Date]])</f>
        <v>35</v>
      </c>
      <c r="R357">
        <f>YEAR(Table1[[#This Row],[Order_Date]])</f>
        <v>2024</v>
      </c>
      <c r="S357" t="str">
        <f>IF(Table1[[#This Row],[Quantity]]&gt;=3,"Promo","Regular")</f>
        <v>Regular</v>
      </c>
    </row>
    <row r="358" spans="1:19" x14ac:dyDescent="0.35">
      <c r="A358" t="s">
        <v>1915</v>
      </c>
      <c r="B358" t="s">
        <v>431</v>
      </c>
      <c r="C358" s="1">
        <v>45577</v>
      </c>
      <c r="D358" t="s">
        <v>57</v>
      </c>
      <c r="E358" t="s">
        <v>105</v>
      </c>
      <c r="F358" t="s">
        <v>45</v>
      </c>
      <c r="G358" t="s">
        <v>73</v>
      </c>
      <c r="H358" t="s">
        <v>19</v>
      </c>
      <c r="I358" t="s">
        <v>20</v>
      </c>
      <c r="J358">
        <v>1</v>
      </c>
      <c r="K358">
        <v>144</v>
      </c>
      <c r="L358">
        <v>144</v>
      </c>
      <c r="M358">
        <v>24</v>
      </c>
      <c r="N358" t="s">
        <v>21</v>
      </c>
      <c r="O358">
        <v>4.3</v>
      </c>
      <c r="P358" s="2">
        <f>EOMONTH(Table1[[#This Row],[Order_Date]],0)</f>
        <v>45596</v>
      </c>
      <c r="Q358" s="3">
        <f>WEEKNUM(Table1[[#This Row],[Order_Date]])</f>
        <v>41</v>
      </c>
      <c r="R358">
        <f>YEAR(Table1[[#This Row],[Order_Date]])</f>
        <v>2024</v>
      </c>
      <c r="S358" t="str">
        <f>IF(Table1[[#This Row],[Quantity]]&gt;=3,"Promo","Regular")</f>
        <v>Regular</v>
      </c>
    </row>
    <row r="359" spans="1:19" x14ac:dyDescent="0.35">
      <c r="A359" t="s">
        <v>1915</v>
      </c>
      <c r="B359" t="s">
        <v>432</v>
      </c>
      <c r="C359" s="1">
        <v>45347</v>
      </c>
      <c r="D359" t="s">
        <v>28</v>
      </c>
      <c r="E359" t="s">
        <v>71</v>
      </c>
      <c r="F359" t="s">
        <v>35</v>
      </c>
      <c r="G359" t="s">
        <v>36</v>
      </c>
      <c r="H359" t="s">
        <v>19</v>
      </c>
      <c r="I359" t="s">
        <v>20</v>
      </c>
      <c r="J359">
        <v>5</v>
      </c>
      <c r="K359">
        <v>202</v>
      </c>
      <c r="L359">
        <v>1010</v>
      </c>
      <c r="M359">
        <v>40</v>
      </c>
      <c r="N359" t="s">
        <v>38</v>
      </c>
      <c r="O359">
        <v>5</v>
      </c>
      <c r="P359" s="2">
        <f>EOMONTH(Table1[[#This Row],[Order_Date]],0)</f>
        <v>45351</v>
      </c>
      <c r="Q359" s="3">
        <f>WEEKNUM(Table1[[#This Row],[Order_Date]])</f>
        <v>9</v>
      </c>
      <c r="R359">
        <f>YEAR(Table1[[#This Row],[Order_Date]])</f>
        <v>2024</v>
      </c>
      <c r="S359" t="str">
        <f>IF(Table1[[#This Row],[Quantity]]&gt;=3,"Promo","Regular")</f>
        <v>Promo</v>
      </c>
    </row>
    <row r="360" spans="1:19" x14ac:dyDescent="0.35">
      <c r="A360" t="s">
        <v>1916</v>
      </c>
      <c r="B360" t="s">
        <v>433</v>
      </c>
      <c r="C360" s="1">
        <v>45533</v>
      </c>
      <c r="D360" t="s">
        <v>28</v>
      </c>
      <c r="E360" t="s">
        <v>77</v>
      </c>
      <c r="F360" t="s">
        <v>69</v>
      </c>
      <c r="G360" t="s">
        <v>18</v>
      </c>
      <c r="H360" t="s">
        <v>32</v>
      </c>
      <c r="I360" t="s">
        <v>20</v>
      </c>
      <c r="J360">
        <v>2</v>
      </c>
      <c r="K360">
        <v>305</v>
      </c>
      <c r="L360">
        <v>610</v>
      </c>
      <c r="M360">
        <v>30</v>
      </c>
      <c r="N360" t="s">
        <v>38</v>
      </c>
      <c r="O360">
        <v>4.0999999999999996</v>
      </c>
      <c r="P360" s="2">
        <f>EOMONTH(Table1[[#This Row],[Order_Date]],0)</f>
        <v>45535</v>
      </c>
      <c r="Q360" s="3">
        <f>WEEKNUM(Table1[[#This Row],[Order_Date]])</f>
        <v>35</v>
      </c>
      <c r="R360">
        <f>YEAR(Table1[[#This Row],[Order_Date]])</f>
        <v>2024</v>
      </c>
      <c r="S360" t="str">
        <f>IF(Table1[[#This Row],[Quantity]]&gt;=3,"Promo","Regular")</f>
        <v>Regular</v>
      </c>
    </row>
    <row r="361" spans="1:19" x14ac:dyDescent="0.35">
      <c r="A361" t="s">
        <v>1916</v>
      </c>
      <c r="B361" t="s">
        <v>434</v>
      </c>
      <c r="C361" s="1">
        <v>45363</v>
      </c>
      <c r="D361" t="s">
        <v>43</v>
      </c>
      <c r="E361" t="s">
        <v>82</v>
      </c>
      <c r="F361" t="s">
        <v>45</v>
      </c>
      <c r="G361" t="s">
        <v>73</v>
      </c>
      <c r="H361" t="s">
        <v>55</v>
      </c>
      <c r="I361" t="s">
        <v>20</v>
      </c>
      <c r="J361">
        <v>3</v>
      </c>
      <c r="K361">
        <v>156</v>
      </c>
      <c r="L361">
        <v>468</v>
      </c>
      <c r="M361">
        <v>32</v>
      </c>
      <c r="N361" t="s">
        <v>38</v>
      </c>
      <c r="O361">
        <v>3.4</v>
      </c>
      <c r="P361" s="2">
        <f>EOMONTH(Table1[[#This Row],[Order_Date]],0)</f>
        <v>45382</v>
      </c>
      <c r="Q361" s="3">
        <f>WEEKNUM(Table1[[#This Row],[Order_Date]])</f>
        <v>11</v>
      </c>
      <c r="R361">
        <f>YEAR(Table1[[#This Row],[Order_Date]])</f>
        <v>2024</v>
      </c>
      <c r="S361" t="str">
        <f>IF(Table1[[#This Row],[Quantity]]&gt;=3,"Promo","Regular")</f>
        <v>Promo</v>
      </c>
    </row>
    <row r="362" spans="1:19" x14ac:dyDescent="0.35">
      <c r="A362" t="s">
        <v>1916</v>
      </c>
      <c r="B362" t="s">
        <v>435</v>
      </c>
      <c r="C362" s="1">
        <v>45442</v>
      </c>
      <c r="D362" t="s">
        <v>57</v>
      </c>
      <c r="E362" t="s">
        <v>136</v>
      </c>
      <c r="F362" t="s">
        <v>85</v>
      </c>
      <c r="G362" t="s">
        <v>25</v>
      </c>
      <c r="H362" t="s">
        <v>120</v>
      </c>
      <c r="I362" t="s">
        <v>60</v>
      </c>
      <c r="J362">
        <v>3</v>
      </c>
      <c r="K362">
        <v>296</v>
      </c>
      <c r="L362">
        <v>888</v>
      </c>
      <c r="M362">
        <v>41</v>
      </c>
      <c r="N362" t="s">
        <v>21</v>
      </c>
      <c r="O362">
        <v>3.5</v>
      </c>
      <c r="P362" s="2">
        <f>EOMONTH(Table1[[#This Row],[Order_Date]],0)</f>
        <v>45443</v>
      </c>
      <c r="Q362" s="3">
        <f>WEEKNUM(Table1[[#This Row],[Order_Date]])</f>
        <v>22</v>
      </c>
      <c r="R362">
        <f>YEAR(Table1[[#This Row],[Order_Date]])</f>
        <v>2024</v>
      </c>
      <c r="S362" t="str">
        <f>IF(Table1[[#This Row],[Quantity]]&gt;=3,"Promo","Regular")</f>
        <v>Promo</v>
      </c>
    </row>
    <row r="363" spans="1:19" x14ac:dyDescent="0.35">
      <c r="A363" t="s">
        <v>1916</v>
      </c>
      <c r="B363" t="s">
        <v>436</v>
      </c>
      <c r="C363" s="1">
        <v>45475</v>
      </c>
      <c r="D363" t="s">
        <v>43</v>
      </c>
      <c r="E363" t="s">
        <v>110</v>
      </c>
      <c r="F363" t="s">
        <v>41</v>
      </c>
      <c r="G363" t="s">
        <v>46</v>
      </c>
      <c r="H363" t="s">
        <v>32</v>
      </c>
      <c r="I363" t="s">
        <v>20</v>
      </c>
      <c r="J363">
        <v>2</v>
      </c>
      <c r="K363">
        <v>377</v>
      </c>
      <c r="L363">
        <v>754</v>
      </c>
      <c r="M363">
        <v>30</v>
      </c>
      <c r="N363" t="s">
        <v>38</v>
      </c>
      <c r="O363">
        <v>3.6</v>
      </c>
      <c r="P363" s="2">
        <f>EOMONTH(Table1[[#This Row],[Order_Date]],0)</f>
        <v>45504</v>
      </c>
      <c r="Q363" s="3">
        <f>WEEKNUM(Table1[[#This Row],[Order_Date]])</f>
        <v>27</v>
      </c>
      <c r="R363">
        <f>YEAR(Table1[[#This Row],[Order_Date]])</f>
        <v>2024</v>
      </c>
      <c r="S363" t="str">
        <f>IF(Table1[[#This Row],[Quantity]]&gt;=3,"Promo","Regular")</f>
        <v>Regular</v>
      </c>
    </row>
    <row r="364" spans="1:19" x14ac:dyDescent="0.35">
      <c r="A364" t="s">
        <v>1917</v>
      </c>
      <c r="B364" t="s">
        <v>437</v>
      </c>
      <c r="C364" s="1">
        <v>45494</v>
      </c>
      <c r="D364" t="s">
        <v>15</v>
      </c>
      <c r="E364" t="s">
        <v>103</v>
      </c>
      <c r="F364" t="s">
        <v>17</v>
      </c>
      <c r="G364" t="s">
        <v>36</v>
      </c>
      <c r="H364" t="s">
        <v>55</v>
      </c>
      <c r="I364" t="s">
        <v>20</v>
      </c>
      <c r="J364">
        <v>2</v>
      </c>
      <c r="K364">
        <v>483</v>
      </c>
      <c r="L364">
        <v>966</v>
      </c>
      <c r="M364">
        <v>43</v>
      </c>
      <c r="N364" t="s">
        <v>21</v>
      </c>
      <c r="O364">
        <v>3.6</v>
      </c>
      <c r="P364" s="2">
        <f>EOMONTH(Table1[[#This Row],[Order_Date]],0)</f>
        <v>45504</v>
      </c>
      <c r="Q364" s="3">
        <f>WEEKNUM(Table1[[#This Row],[Order_Date]])</f>
        <v>30</v>
      </c>
      <c r="R364">
        <f>YEAR(Table1[[#This Row],[Order_Date]])</f>
        <v>2024</v>
      </c>
      <c r="S364" t="str">
        <f>IF(Table1[[#This Row],[Quantity]]&gt;=3,"Promo","Regular")</f>
        <v>Regular</v>
      </c>
    </row>
    <row r="365" spans="1:19" x14ac:dyDescent="0.35">
      <c r="A365" t="s">
        <v>1917</v>
      </c>
      <c r="B365" t="s">
        <v>438</v>
      </c>
      <c r="C365" s="1">
        <v>45316</v>
      </c>
      <c r="D365" t="s">
        <v>28</v>
      </c>
      <c r="E365" t="s">
        <v>29</v>
      </c>
      <c r="F365" t="s">
        <v>45</v>
      </c>
      <c r="G365" t="s">
        <v>36</v>
      </c>
      <c r="H365" t="s">
        <v>19</v>
      </c>
      <c r="I365" t="s">
        <v>20</v>
      </c>
      <c r="J365">
        <v>3</v>
      </c>
      <c r="K365">
        <v>286</v>
      </c>
      <c r="L365">
        <v>858</v>
      </c>
      <c r="M365">
        <v>58</v>
      </c>
      <c r="N365" t="s">
        <v>21</v>
      </c>
      <c r="O365">
        <v>3.6</v>
      </c>
      <c r="P365" s="2">
        <f>EOMONTH(Table1[[#This Row],[Order_Date]],0)</f>
        <v>45322</v>
      </c>
      <c r="Q365" s="3">
        <f>WEEKNUM(Table1[[#This Row],[Order_Date]])</f>
        <v>4</v>
      </c>
      <c r="R365">
        <f>YEAR(Table1[[#This Row],[Order_Date]])</f>
        <v>2024</v>
      </c>
      <c r="S365" t="str">
        <f>IF(Table1[[#This Row],[Quantity]]&gt;=3,"Promo","Regular")</f>
        <v>Promo</v>
      </c>
    </row>
    <row r="366" spans="1:19" x14ac:dyDescent="0.35">
      <c r="A366" t="s">
        <v>1917</v>
      </c>
      <c r="B366" t="s">
        <v>439</v>
      </c>
      <c r="C366" s="1">
        <v>45498</v>
      </c>
      <c r="D366" t="s">
        <v>28</v>
      </c>
      <c r="E366" t="s">
        <v>29</v>
      </c>
      <c r="F366" t="s">
        <v>72</v>
      </c>
      <c r="G366" t="s">
        <v>36</v>
      </c>
      <c r="H366" t="s">
        <v>120</v>
      </c>
      <c r="I366" t="s">
        <v>60</v>
      </c>
      <c r="J366">
        <v>1</v>
      </c>
      <c r="K366">
        <v>496</v>
      </c>
      <c r="L366">
        <v>496</v>
      </c>
      <c r="M366">
        <v>41</v>
      </c>
      <c r="N366" t="s">
        <v>33</v>
      </c>
      <c r="O366">
        <v>3.7</v>
      </c>
      <c r="P366" s="2">
        <f>EOMONTH(Table1[[#This Row],[Order_Date]],0)</f>
        <v>45504</v>
      </c>
      <c r="Q366" s="3">
        <f>WEEKNUM(Table1[[#This Row],[Order_Date]])</f>
        <v>30</v>
      </c>
      <c r="R366">
        <f>YEAR(Table1[[#This Row],[Order_Date]])</f>
        <v>2024</v>
      </c>
      <c r="S366" t="str">
        <f>IF(Table1[[#This Row],[Quantity]]&gt;=3,"Promo","Regular")</f>
        <v>Regular</v>
      </c>
    </row>
    <row r="367" spans="1:19" x14ac:dyDescent="0.35">
      <c r="A367" t="s">
        <v>1918</v>
      </c>
      <c r="B367" t="s">
        <v>440</v>
      </c>
      <c r="C367" s="1">
        <v>45313</v>
      </c>
      <c r="D367" t="s">
        <v>28</v>
      </c>
      <c r="E367" t="s">
        <v>98</v>
      </c>
      <c r="F367" t="s">
        <v>45</v>
      </c>
      <c r="G367" t="s">
        <v>73</v>
      </c>
      <c r="H367" t="s">
        <v>19</v>
      </c>
      <c r="I367" t="s">
        <v>20</v>
      </c>
      <c r="J367">
        <v>4</v>
      </c>
      <c r="K367">
        <v>378</v>
      </c>
      <c r="L367">
        <v>1512</v>
      </c>
      <c r="M367">
        <v>33</v>
      </c>
      <c r="N367" t="s">
        <v>38</v>
      </c>
      <c r="O367">
        <v>4.2</v>
      </c>
      <c r="P367" s="2">
        <f>EOMONTH(Table1[[#This Row],[Order_Date]],0)</f>
        <v>45322</v>
      </c>
      <c r="Q367" s="3">
        <f>WEEKNUM(Table1[[#This Row],[Order_Date]])</f>
        <v>4</v>
      </c>
      <c r="R367">
        <f>YEAR(Table1[[#This Row],[Order_Date]])</f>
        <v>2024</v>
      </c>
      <c r="S367" t="str">
        <f>IF(Table1[[#This Row],[Quantity]]&gt;=3,"Promo","Regular")</f>
        <v>Promo</v>
      </c>
    </row>
    <row r="368" spans="1:19" x14ac:dyDescent="0.35">
      <c r="A368" t="s">
        <v>1918</v>
      </c>
      <c r="B368" t="s">
        <v>441</v>
      </c>
      <c r="C368" s="1">
        <v>45364</v>
      </c>
      <c r="D368" t="s">
        <v>15</v>
      </c>
      <c r="E368" t="s">
        <v>16</v>
      </c>
      <c r="F368" t="s">
        <v>17</v>
      </c>
      <c r="G368" t="s">
        <v>36</v>
      </c>
      <c r="H368" t="s">
        <v>26</v>
      </c>
      <c r="I368" t="s">
        <v>20</v>
      </c>
      <c r="J368">
        <v>2</v>
      </c>
      <c r="K368">
        <v>216</v>
      </c>
      <c r="L368">
        <v>432</v>
      </c>
      <c r="M368">
        <v>52</v>
      </c>
      <c r="N368" t="s">
        <v>38</v>
      </c>
      <c r="O368">
        <v>3.5</v>
      </c>
      <c r="P368" s="2">
        <f>EOMONTH(Table1[[#This Row],[Order_Date]],0)</f>
        <v>45382</v>
      </c>
      <c r="Q368" s="3">
        <f>WEEKNUM(Table1[[#This Row],[Order_Date]])</f>
        <v>11</v>
      </c>
      <c r="R368">
        <f>YEAR(Table1[[#This Row],[Order_Date]])</f>
        <v>2024</v>
      </c>
      <c r="S368" t="str">
        <f>IF(Table1[[#This Row],[Quantity]]&gt;=3,"Promo","Regular")</f>
        <v>Regular</v>
      </c>
    </row>
    <row r="369" spans="1:19" x14ac:dyDescent="0.35">
      <c r="A369" t="s">
        <v>1918</v>
      </c>
      <c r="B369" t="s">
        <v>442</v>
      </c>
      <c r="C369" s="1">
        <v>45301</v>
      </c>
      <c r="D369" t="s">
        <v>43</v>
      </c>
      <c r="E369" t="s">
        <v>93</v>
      </c>
      <c r="F369" t="s">
        <v>72</v>
      </c>
      <c r="G369" t="s">
        <v>18</v>
      </c>
      <c r="H369" t="s">
        <v>19</v>
      </c>
      <c r="I369" t="s">
        <v>20</v>
      </c>
      <c r="J369">
        <v>3</v>
      </c>
      <c r="K369">
        <v>203</v>
      </c>
      <c r="L369">
        <v>609</v>
      </c>
      <c r="M369">
        <v>25</v>
      </c>
      <c r="N369" t="s">
        <v>38</v>
      </c>
      <c r="O369">
        <v>3</v>
      </c>
      <c r="P369" s="2">
        <f>EOMONTH(Table1[[#This Row],[Order_Date]],0)</f>
        <v>45322</v>
      </c>
      <c r="Q369" s="3">
        <f>WEEKNUM(Table1[[#This Row],[Order_Date]])</f>
        <v>2</v>
      </c>
      <c r="R369">
        <f>YEAR(Table1[[#This Row],[Order_Date]])</f>
        <v>2024</v>
      </c>
      <c r="S369" t="str">
        <f>IF(Table1[[#This Row],[Quantity]]&gt;=3,"Promo","Regular")</f>
        <v>Promo</v>
      </c>
    </row>
    <row r="370" spans="1:19" x14ac:dyDescent="0.35">
      <c r="A370" t="s">
        <v>1918</v>
      </c>
      <c r="B370" t="s">
        <v>443</v>
      </c>
      <c r="C370" s="1">
        <v>45473</v>
      </c>
      <c r="D370" t="s">
        <v>43</v>
      </c>
      <c r="E370" t="s">
        <v>82</v>
      </c>
      <c r="F370" t="s">
        <v>69</v>
      </c>
      <c r="G370" t="s">
        <v>46</v>
      </c>
      <c r="H370" t="s">
        <v>19</v>
      </c>
      <c r="I370" t="s">
        <v>20</v>
      </c>
      <c r="J370">
        <v>1</v>
      </c>
      <c r="K370">
        <v>427</v>
      </c>
      <c r="L370">
        <v>427</v>
      </c>
      <c r="M370">
        <v>48</v>
      </c>
      <c r="N370" t="s">
        <v>33</v>
      </c>
      <c r="O370">
        <v>4.3</v>
      </c>
      <c r="P370" s="2">
        <f>EOMONTH(Table1[[#This Row],[Order_Date]],0)</f>
        <v>45473</v>
      </c>
      <c r="Q370" s="3">
        <f>WEEKNUM(Table1[[#This Row],[Order_Date]])</f>
        <v>27</v>
      </c>
      <c r="R370">
        <f>YEAR(Table1[[#This Row],[Order_Date]])</f>
        <v>2024</v>
      </c>
      <c r="S370" t="str">
        <f>IF(Table1[[#This Row],[Quantity]]&gt;=3,"Promo","Regular")</f>
        <v>Regular</v>
      </c>
    </row>
    <row r="371" spans="1:19" x14ac:dyDescent="0.35">
      <c r="A371" t="s">
        <v>1918</v>
      </c>
      <c r="B371" t="s">
        <v>444</v>
      </c>
      <c r="C371" s="1">
        <v>45428</v>
      </c>
      <c r="D371" t="s">
        <v>57</v>
      </c>
      <c r="E371" t="s">
        <v>75</v>
      </c>
      <c r="F371" t="s">
        <v>85</v>
      </c>
      <c r="G371" t="s">
        <v>18</v>
      </c>
      <c r="H371" t="s">
        <v>26</v>
      </c>
      <c r="I371" t="s">
        <v>20</v>
      </c>
      <c r="J371">
        <v>4</v>
      </c>
      <c r="K371">
        <v>314</v>
      </c>
      <c r="L371">
        <v>1256</v>
      </c>
      <c r="M371">
        <v>23</v>
      </c>
      <c r="N371" t="s">
        <v>38</v>
      </c>
      <c r="O371">
        <v>4.5999999999999996</v>
      </c>
      <c r="P371" s="2">
        <f>EOMONTH(Table1[[#This Row],[Order_Date]],0)</f>
        <v>45443</v>
      </c>
      <c r="Q371" s="3">
        <f>WEEKNUM(Table1[[#This Row],[Order_Date]])</f>
        <v>20</v>
      </c>
      <c r="R371">
        <f>YEAR(Table1[[#This Row],[Order_Date]])</f>
        <v>2024</v>
      </c>
      <c r="S371" t="str">
        <f>IF(Table1[[#This Row],[Quantity]]&gt;=3,"Promo","Regular")</f>
        <v>Promo</v>
      </c>
    </row>
    <row r="372" spans="1:19" x14ac:dyDescent="0.35">
      <c r="A372" t="s">
        <v>1919</v>
      </c>
      <c r="B372" t="s">
        <v>445</v>
      </c>
      <c r="C372" s="1">
        <v>45318</v>
      </c>
      <c r="D372" t="s">
        <v>57</v>
      </c>
      <c r="E372" t="s">
        <v>75</v>
      </c>
      <c r="F372" t="s">
        <v>85</v>
      </c>
      <c r="G372" t="s">
        <v>46</v>
      </c>
      <c r="H372" t="s">
        <v>50</v>
      </c>
      <c r="I372" t="s">
        <v>20</v>
      </c>
      <c r="J372">
        <v>4</v>
      </c>
      <c r="K372">
        <v>268</v>
      </c>
      <c r="L372">
        <v>1072</v>
      </c>
      <c r="M372">
        <v>50</v>
      </c>
      <c r="N372" t="s">
        <v>33</v>
      </c>
      <c r="O372">
        <v>3.8</v>
      </c>
      <c r="P372" s="2">
        <f>EOMONTH(Table1[[#This Row],[Order_Date]],0)</f>
        <v>45322</v>
      </c>
      <c r="Q372" s="3">
        <f>WEEKNUM(Table1[[#This Row],[Order_Date]])</f>
        <v>4</v>
      </c>
      <c r="R372">
        <f>YEAR(Table1[[#This Row],[Order_Date]])</f>
        <v>2024</v>
      </c>
      <c r="S372" t="str">
        <f>IF(Table1[[#This Row],[Quantity]]&gt;=3,"Promo","Regular")</f>
        <v>Promo</v>
      </c>
    </row>
    <row r="373" spans="1:19" x14ac:dyDescent="0.35">
      <c r="A373" t="s">
        <v>1919</v>
      </c>
      <c r="B373" t="s">
        <v>446</v>
      </c>
      <c r="C373" s="1">
        <v>45403</v>
      </c>
      <c r="D373" t="s">
        <v>48</v>
      </c>
      <c r="E373" t="s">
        <v>127</v>
      </c>
      <c r="F373" t="s">
        <v>35</v>
      </c>
      <c r="G373" t="s">
        <v>25</v>
      </c>
      <c r="H373" t="s">
        <v>26</v>
      </c>
      <c r="I373" t="s">
        <v>20</v>
      </c>
      <c r="J373">
        <v>2</v>
      </c>
      <c r="K373">
        <v>346</v>
      </c>
      <c r="L373">
        <v>692</v>
      </c>
      <c r="M373">
        <v>41</v>
      </c>
      <c r="N373" t="s">
        <v>38</v>
      </c>
      <c r="O373">
        <v>4.3</v>
      </c>
      <c r="P373" s="2">
        <f>EOMONTH(Table1[[#This Row],[Order_Date]],0)</f>
        <v>45412</v>
      </c>
      <c r="Q373" s="3">
        <f>WEEKNUM(Table1[[#This Row],[Order_Date]])</f>
        <v>17</v>
      </c>
      <c r="R373">
        <f>YEAR(Table1[[#This Row],[Order_Date]])</f>
        <v>2024</v>
      </c>
      <c r="S373" t="str">
        <f>IF(Table1[[#This Row],[Quantity]]&gt;=3,"Promo","Regular")</f>
        <v>Regular</v>
      </c>
    </row>
    <row r="374" spans="1:19" x14ac:dyDescent="0.35">
      <c r="A374" t="s">
        <v>1919</v>
      </c>
      <c r="B374" t="s">
        <v>447</v>
      </c>
      <c r="C374" s="1">
        <v>45312</v>
      </c>
      <c r="D374" t="s">
        <v>43</v>
      </c>
      <c r="E374" t="s">
        <v>82</v>
      </c>
      <c r="F374" t="s">
        <v>45</v>
      </c>
      <c r="G374" t="s">
        <v>31</v>
      </c>
      <c r="H374" t="s">
        <v>19</v>
      </c>
      <c r="I374" t="s">
        <v>20</v>
      </c>
      <c r="J374">
        <v>1</v>
      </c>
      <c r="K374">
        <v>193</v>
      </c>
      <c r="L374">
        <v>193</v>
      </c>
      <c r="M374">
        <v>53</v>
      </c>
      <c r="N374" t="s">
        <v>38</v>
      </c>
      <c r="O374">
        <v>4.4000000000000004</v>
      </c>
      <c r="P374" s="2">
        <f>EOMONTH(Table1[[#This Row],[Order_Date]],0)</f>
        <v>45322</v>
      </c>
      <c r="Q374" s="3">
        <f>WEEKNUM(Table1[[#This Row],[Order_Date]])</f>
        <v>4</v>
      </c>
      <c r="R374">
        <f>YEAR(Table1[[#This Row],[Order_Date]])</f>
        <v>2024</v>
      </c>
      <c r="S374" t="str">
        <f>IF(Table1[[#This Row],[Quantity]]&gt;=3,"Promo","Regular")</f>
        <v>Regular</v>
      </c>
    </row>
    <row r="375" spans="1:19" x14ac:dyDescent="0.35">
      <c r="A375" t="s">
        <v>1919</v>
      </c>
      <c r="B375" t="s">
        <v>448</v>
      </c>
      <c r="C375" s="1">
        <v>45469</v>
      </c>
      <c r="D375" t="s">
        <v>43</v>
      </c>
      <c r="E375" t="s">
        <v>52</v>
      </c>
      <c r="F375" t="s">
        <v>30</v>
      </c>
      <c r="G375" t="s">
        <v>46</v>
      </c>
      <c r="H375" t="s">
        <v>32</v>
      </c>
      <c r="I375" t="s">
        <v>20</v>
      </c>
      <c r="J375">
        <v>2</v>
      </c>
      <c r="K375">
        <v>490</v>
      </c>
      <c r="L375">
        <v>980</v>
      </c>
      <c r="M375">
        <v>22</v>
      </c>
      <c r="N375" t="s">
        <v>33</v>
      </c>
      <c r="O375">
        <v>3.9</v>
      </c>
      <c r="P375" s="2">
        <f>EOMONTH(Table1[[#This Row],[Order_Date]],0)</f>
        <v>45473</v>
      </c>
      <c r="Q375" s="3">
        <f>WEEKNUM(Table1[[#This Row],[Order_Date]])</f>
        <v>26</v>
      </c>
      <c r="R375">
        <f>YEAR(Table1[[#This Row],[Order_Date]])</f>
        <v>2024</v>
      </c>
      <c r="S375" t="str">
        <f>IF(Table1[[#This Row],[Quantity]]&gt;=3,"Promo","Regular")</f>
        <v>Regular</v>
      </c>
    </row>
    <row r="376" spans="1:19" x14ac:dyDescent="0.35">
      <c r="A376" t="s">
        <v>1920</v>
      </c>
      <c r="B376" t="s">
        <v>449</v>
      </c>
      <c r="C376" s="1">
        <v>45464</v>
      </c>
      <c r="D376" t="s">
        <v>48</v>
      </c>
      <c r="E376" t="s">
        <v>49</v>
      </c>
      <c r="F376" t="s">
        <v>41</v>
      </c>
      <c r="G376" t="s">
        <v>18</v>
      </c>
      <c r="H376" t="s">
        <v>66</v>
      </c>
      <c r="I376" t="s">
        <v>20</v>
      </c>
      <c r="J376">
        <v>4</v>
      </c>
      <c r="K376">
        <v>222</v>
      </c>
      <c r="L376">
        <v>888</v>
      </c>
      <c r="M376">
        <v>41</v>
      </c>
      <c r="N376" t="s">
        <v>21</v>
      </c>
      <c r="O376">
        <v>3.6</v>
      </c>
      <c r="P376" s="2">
        <f>EOMONTH(Table1[[#This Row],[Order_Date]],0)</f>
        <v>45473</v>
      </c>
      <c r="Q376" s="3">
        <f>WEEKNUM(Table1[[#This Row],[Order_Date]])</f>
        <v>25</v>
      </c>
      <c r="R376">
        <f>YEAR(Table1[[#This Row],[Order_Date]])</f>
        <v>2024</v>
      </c>
      <c r="S376" t="str">
        <f>IF(Table1[[#This Row],[Quantity]]&gt;=3,"Promo","Regular")</f>
        <v>Promo</v>
      </c>
    </row>
    <row r="377" spans="1:19" x14ac:dyDescent="0.35">
      <c r="A377" t="s">
        <v>1920</v>
      </c>
      <c r="B377" t="s">
        <v>450</v>
      </c>
      <c r="C377" s="1">
        <v>45332</v>
      </c>
      <c r="D377" t="s">
        <v>15</v>
      </c>
      <c r="E377" t="s">
        <v>103</v>
      </c>
      <c r="F377" t="s">
        <v>45</v>
      </c>
      <c r="G377" t="s">
        <v>25</v>
      </c>
      <c r="H377" t="s">
        <v>55</v>
      </c>
      <c r="I377" t="s">
        <v>20</v>
      </c>
      <c r="J377">
        <v>4</v>
      </c>
      <c r="K377">
        <v>426</v>
      </c>
      <c r="L377">
        <v>1704</v>
      </c>
      <c r="M377">
        <v>51</v>
      </c>
      <c r="N377" t="s">
        <v>21</v>
      </c>
      <c r="O377">
        <v>3.7</v>
      </c>
      <c r="P377" s="2">
        <f>EOMONTH(Table1[[#This Row],[Order_Date]],0)</f>
        <v>45351</v>
      </c>
      <c r="Q377" s="3">
        <f>WEEKNUM(Table1[[#This Row],[Order_Date]])</f>
        <v>6</v>
      </c>
      <c r="R377">
        <f>YEAR(Table1[[#This Row],[Order_Date]])</f>
        <v>2024</v>
      </c>
      <c r="S377" t="str">
        <f>IF(Table1[[#This Row],[Quantity]]&gt;=3,"Promo","Regular")</f>
        <v>Promo</v>
      </c>
    </row>
    <row r="378" spans="1:19" x14ac:dyDescent="0.35">
      <c r="A378" t="s">
        <v>1920</v>
      </c>
      <c r="B378" t="s">
        <v>451</v>
      </c>
      <c r="C378" s="1">
        <v>45522</v>
      </c>
      <c r="D378" t="s">
        <v>15</v>
      </c>
      <c r="E378" t="s">
        <v>103</v>
      </c>
      <c r="F378" t="s">
        <v>41</v>
      </c>
      <c r="G378" t="s">
        <v>36</v>
      </c>
      <c r="H378" t="s">
        <v>32</v>
      </c>
      <c r="I378" t="s">
        <v>20</v>
      </c>
      <c r="J378">
        <v>4</v>
      </c>
      <c r="K378">
        <v>285</v>
      </c>
      <c r="L378">
        <v>1140</v>
      </c>
      <c r="M378">
        <v>48</v>
      </c>
      <c r="N378" t="s">
        <v>38</v>
      </c>
      <c r="O378">
        <v>3.3</v>
      </c>
      <c r="P378" s="2">
        <f>EOMONTH(Table1[[#This Row],[Order_Date]],0)</f>
        <v>45535</v>
      </c>
      <c r="Q378" s="3">
        <f>WEEKNUM(Table1[[#This Row],[Order_Date]])</f>
        <v>34</v>
      </c>
      <c r="R378">
        <f>YEAR(Table1[[#This Row],[Order_Date]])</f>
        <v>2024</v>
      </c>
      <c r="S378" t="str">
        <f>IF(Table1[[#This Row],[Quantity]]&gt;=3,"Promo","Regular")</f>
        <v>Promo</v>
      </c>
    </row>
    <row r="379" spans="1:19" x14ac:dyDescent="0.35">
      <c r="A379" t="s">
        <v>1920</v>
      </c>
      <c r="B379" t="s">
        <v>452</v>
      </c>
      <c r="C379" s="1">
        <v>45426</v>
      </c>
      <c r="D379" t="s">
        <v>28</v>
      </c>
      <c r="E379" t="s">
        <v>98</v>
      </c>
      <c r="F379" t="s">
        <v>85</v>
      </c>
      <c r="G379" t="s">
        <v>73</v>
      </c>
      <c r="H379" t="s">
        <v>66</v>
      </c>
      <c r="I379" t="s">
        <v>20</v>
      </c>
      <c r="J379">
        <v>4</v>
      </c>
      <c r="K379">
        <v>158</v>
      </c>
      <c r="L379">
        <v>632</v>
      </c>
      <c r="M379">
        <v>49</v>
      </c>
      <c r="N379" t="s">
        <v>21</v>
      </c>
      <c r="O379">
        <v>4.4000000000000004</v>
      </c>
      <c r="P379" s="2">
        <f>EOMONTH(Table1[[#This Row],[Order_Date]],0)</f>
        <v>45443</v>
      </c>
      <c r="Q379" s="3">
        <f>WEEKNUM(Table1[[#This Row],[Order_Date]])</f>
        <v>20</v>
      </c>
      <c r="R379">
        <f>YEAR(Table1[[#This Row],[Order_Date]])</f>
        <v>2024</v>
      </c>
      <c r="S379" t="str">
        <f>IF(Table1[[#This Row],[Quantity]]&gt;=3,"Promo","Regular")</f>
        <v>Promo</v>
      </c>
    </row>
    <row r="380" spans="1:19" x14ac:dyDescent="0.35">
      <c r="A380" t="s">
        <v>1921</v>
      </c>
      <c r="B380" t="s">
        <v>453</v>
      </c>
      <c r="C380" s="1">
        <v>45574</v>
      </c>
      <c r="D380" t="s">
        <v>43</v>
      </c>
      <c r="E380" t="s">
        <v>110</v>
      </c>
      <c r="F380" t="s">
        <v>35</v>
      </c>
      <c r="G380" t="s">
        <v>46</v>
      </c>
      <c r="H380" t="s">
        <v>19</v>
      </c>
      <c r="I380" t="s">
        <v>20</v>
      </c>
      <c r="J380">
        <v>3</v>
      </c>
      <c r="K380">
        <v>357</v>
      </c>
      <c r="L380">
        <v>1071</v>
      </c>
      <c r="M380">
        <v>24</v>
      </c>
      <c r="N380" t="s">
        <v>21</v>
      </c>
      <c r="O380">
        <v>4.2</v>
      </c>
      <c r="P380" s="2">
        <f>EOMONTH(Table1[[#This Row],[Order_Date]],0)</f>
        <v>45596</v>
      </c>
      <c r="Q380" s="3">
        <f>WEEKNUM(Table1[[#This Row],[Order_Date]])</f>
        <v>41</v>
      </c>
      <c r="R380">
        <f>YEAR(Table1[[#This Row],[Order_Date]])</f>
        <v>2024</v>
      </c>
      <c r="S380" t="str">
        <f>IF(Table1[[#This Row],[Quantity]]&gt;=3,"Promo","Regular")</f>
        <v>Promo</v>
      </c>
    </row>
    <row r="381" spans="1:19" x14ac:dyDescent="0.35">
      <c r="A381" t="s">
        <v>1921</v>
      </c>
      <c r="B381" t="s">
        <v>454</v>
      </c>
      <c r="C381" s="1">
        <v>45401</v>
      </c>
      <c r="D381" t="s">
        <v>28</v>
      </c>
      <c r="E381" t="s">
        <v>29</v>
      </c>
      <c r="F381" t="s">
        <v>24</v>
      </c>
      <c r="G381" t="s">
        <v>73</v>
      </c>
      <c r="H381" t="s">
        <v>53</v>
      </c>
      <c r="I381" t="s">
        <v>20</v>
      </c>
      <c r="J381">
        <v>5</v>
      </c>
      <c r="K381">
        <v>171</v>
      </c>
      <c r="L381">
        <v>855</v>
      </c>
      <c r="M381">
        <v>29</v>
      </c>
      <c r="N381" t="s">
        <v>33</v>
      </c>
      <c r="O381">
        <v>4.9000000000000004</v>
      </c>
      <c r="P381" s="2">
        <f>EOMONTH(Table1[[#This Row],[Order_Date]],0)</f>
        <v>45412</v>
      </c>
      <c r="Q381" s="3">
        <f>WEEKNUM(Table1[[#This Row],[Order_Date]])</f>
        <v>16</v>
      </c>
      <c r="R381">
        <f>YEAR(Table1[[#This Row],[Order_Date]])</f>
        <v>2024</v>
      </c>
      <c r="S381" t="str">
        <f>IF(Table1[[#This Row],[Quantity]]&gt;=3,"Promo","Regular")</f>
        <v>Promo</v>
      </c>
    </row>
    <row r="382" spans="1:19" x14ac:dyDescent="0.35">
      <c r="A382" t="s">
        <v>1921</v>
      </c>
      <c r="B382" t="s">
        <v>455</v>
      </c>
      <c r="C382" s="1">
        <v>45418</v>
      </c>
      <c r="D382" t="s">
        <v>43</v>
      </c>
      <c r="E382" t="s">
        <v>93</v>
      </c>
      <c r="F382" t="s">
        <v>35</v>
      </c>
      <c r="G382" t="s">
        <v>25</v>
      </c>
      <c r="H382" t="s">
        <v>50</v>
      </c>
      <c r="I382" t="s">
        <v>20</v>
      </c>
      <c r="J382">
        <v>1</v>
      </c>
      <c r="K382">
        <v>189</v>
      </c>
      <c r="L382">
        <v>189</v>
      </c>
      <c r="M382">
        <v>26</v>
      </c>
      <c r="N382" t="s">
        <v>21</v>
      </c>
      <c r="O382">
        <v>3.6</v>
      </c>
      <c r="P382" s="2">
        <f>EOMONTH(Table1[[#This Row],[Order_Date]],0)</f>
        <v>45443</v>
      </c>
      <c r="Q382" s="3">
        <f>WEEKNUM(Table1[[#This Row],[Order_Date]])</f>
        <v>19</v>
      </c>
      <c r="R382">
        <f>YEAR(Table1[[#This Row],[Order_Date]])</f>
        <v>2024</v>
      </c>
      <c r="S382" t="str">
        <f>IF(Table1[[#This Row],[Quantity]]&gt;=3,"Promo","Regular")</f>
        <v>Regular</v>
      </c>
    </row>
    <row r="383" spans="1:19" x14ac:dyDescent="0.35">
      <c r="A383" t="s">
        <v>1921</v>
      </c>
      <c r="B383" t="s">
        <v>456</v>
      </c>
      <c r="C383" s="1">
        <v>45332</v>
      </c>
      <c r="D383" t="s">
        <v>43</v>
      </c>
      <c r="E383" t="s">
        <v>44</v>
      </c>
      <c r="F383" t="s">
        <v>35</v>
      </c>
      <c r="G383" t="s">
        <v>36</v>
      </c>
      <c r="H383" t="s">
        <v>66</v>
      </c>
      <c r="I383" t="s">
        <v>20</v>
      </c>
      <c r="J383">
        <v>1</v>
      </c>
      <c r="K383">
        <v>245</v>
      </c>
      <c r="L383">
        <v>245</v>
      </c>
      <c r="M383">
        <v>26</v>
      </c>
      <c r="N383" t="s">
        <v>21</v>
      </c>
      <c r="O383">
        <v>4.9000000000000004</v>
      </c>
      <c r="P383" s="2">
        <f>EOMONTH(Table1[[#This Row],[Order_Date]],0)</f>
        <v>45351</v>
      </c>
      <c r="Q383" s="3">
        <f>WEEKNUM(Table1[[#This Row],[Order_Date]])</f>
        <v>6</v>
      </c>
      <c r="R383">
        <f>YEAR(Table1[[#This Row],[Order_Date]])</f>
        <v>2024</v>
      </c>
      <c r="S383" t="str">
        <f>IF(Table1[[#This Row],[Quantity]]&gt;=3,"Promo","Regular")</f>
        <v>Regular</v>
      </c>
    </row>
    <row r="384" spans="1:19" x14ac:dyDescent="0.35">
      <c r="A384" t="s">
        <v>1921</v>
      </c>
      <c r="B384" t="s">
        <v>457</v>
      </c>
      <c r="C384" s="1">
        <v>45557</v>
      </c>
      <c r="D384" t="s">
        <v>43</v>
      </c>
      <c r="E384" t="s">
        <v>93</v>
      </c>
      <c r="F384" t="s">
        <v>30</v>
      </c>
      <c r="G384" t="s">
        <v>36</v>
      </c>
      <c r="H384" t="s">
        <v>120</v>
      </c>
      <c r="I384" t="s">
        <v>60</v>
      </c>
      <c r="J384">
        <v>3</v>
      </c>
      <c r="K384">
        <v>165</v>
      </c>
      <c r="L384">
        <v>495</v>
      </c>
      <c r="M384">
        <v>26</v>
      </c>
      <c r="N384" t="s">
        <v>21</v>
      </c>
      <c r="O384">
        <v>4.0999999999999996</v>
      </c>
      <c r="P384" s="2">
        <f>EOMONTH(Table1[[#This Row],[Order_Date]],0)</f>
        <v>45565</v>
      </c>
      <c r="Q384" s="3">
        <f>WEEKNUM(Table1[[#This Row],[Order_Date]])</f>
        <v>39</v>
      </c>
      <c r="R384">
        <f>YEAR(Table1[[#This Row],[Order_Date]])</f>
        <v>2024</v>
      </c>
      <c r="S384" t="str">
        <f>IF(Table1[[#This Row],[Quantity]]&gt;=3,"Promo","Regular")</f>
        <v>Promo</v>
      </c>
    </row>
    <row r="385" spans="1:19" x14ac:dyDescent="0.35">
      <c r="A385" t="s">
        <v>1922</v>
      </c>
      <c r="B385" t="s">
        <v>458</v>
      </c>
      <c r="C385" s="1">
        <v>45540</v>
      </c>
      <c r="D385" t="s">
        <v>48</v>
      </c>
      <c r="E385" t="s">
        <v>64</v>
      </c>
      <c r="F385" t="s">
        <v>41</v>
      </c>
      <c r="G385" t="s">
        <v>46</v>
      </c>
      <c r="H385" t="s">
        <v>26</v>
      </c>
      <c r="I385" t="s">
        <v>20</v>
      </c>
      <c r="J385">
        <v>4</v>
      </c>
      <c r="K385">
        <v>305</v>
      </c>
      <c r="L385">
        <v>1220</v>
      </c>
      <c r="M385">
        <v>25</v>
      </c>
      <c r="N385" t="s">
        <v>21</v>
      </c>
      <c r="O385">
        <v>3.8</v>
      </c>
      <c r="P385" s="2">
        <f>EOMONTH(Table1[[#This Row],[Order_Date]],0)</f>
        <v>45565</v>
      </c>
      <c r="Q385" s="3">
        <f>WEEKNUM(Table1[[#This Row],[Order_Date]])</f>
        <v>36</v>
      </c>
      <c r="R385">
        <f>YEAR(Table1[[#This Row],[Order_Date]])</f>
        <v>2024</v>
      </c>
      <c r="S385" t="str">
        <f>IF(Table1[[#This Row],[Quantity]]&gt;=3,"Promo","Regular")</f>
        <v>Promo</v>
      </c>
    </row>
    <row r="386" spans="1:19" x14ac:dyDescent="0.35">
      <c r="A386" t="s">
        <v>1922</v>
      </c>
      <c r="B386" t="s">
        <v>459</v>
      </c>
      <c r="C386" s="1">
        <v>45590</v>
      </c>
      <c r="D386" t="s">
        <v>57</v>
      </c>
      <c r="E386" t="s">
        <v>136</v>
      </c>
      <c r="F386" t="s">
        <v>35</v>
      </c>
      <c r="G386" t="s">
        <v>25</v>
      </c>
      <c r="H386" t="s">
        <v>37</v>
      </c>
      <c r="I386" t="s">
        <v>20</v>
      </c>
      <c r="J386">
        <v>4</v>
      </c>
      <c r="K386">
        <v>295</v>
      </c>
      <c r="L386">
        <v>1180</v>
      </c>
      <c r="M386">
        <v>36</v>
      </c>
      <c r="N386" t="s">
        <v>33</v>
      </c>
      <c r="O386">
        <v>3.2</v>
      </c>
      <c r="P386" s="2">
        <f>EOMONTH(Table1[[#This Row],[Order_Date]],0)</f>
        <v>45596</v>
      </c>
      <c r="Q386" s="3">
        <f>WEEKNUM(Table1[[#This Row],[Order_Date]])</f>
        <v>43</v>
      </c>
      <c r="R386">
        <f>YEAR(Table1[[#This Row],[Order_Date]])</f>
        <v>2024</v>
      </c>
      <c r="S386" t="str">
        <f>IF(Table1[[#This Row],[Quantity]]&gt;=3,"Promo","Regular")</f>
        <v>Promo</v>
      </c>
    </row>
    <row r="387" spans="1:19" x14ac:dyDescent="0.35">
      <c r="A387" t="s">
        <v>1922</v>
      </c>
      <c r="B387" t="s">
        <v>460</v>
      </c>
      <c r="C387" s="1">
        <v>45309</v>
      </c>
      <c r="D387" t="s">
        <v>15</v>
      </c>
      <c r="E387" t="s">
        <v>23</v>
      </c>
      <c r="F387" t="s">
        <v>69</v>
      </c>
      <c r="G387" t="s">
        <v>18</v>
      </c>
      <c r="H387" t="s">
        <v>66</v>
      </c>
      <c r="I387" t="s">
        <v>20</v>
      </c>
      <c r="J387">
        <v>2</v>
      </c>
      <c r="K387">
        <v>391</v>
      </c>
      <c r="L387">
        <v>782</v>
      </c>
      <c r="M387">
        <v>28</v>
      </c>
      <c r="N387" t="s">
        <v>21</v>
      </c>
      <c r="O387">
        <v>3.3</v>
      </c>
      <c r="P387" s="2">
        <f>EOMONTH(Table1[[#This Row],[Order_Date]],0)</f>
        <v>45322</v>
      </c>
      <c r="Q387" s="3">
        <f>WEEKNUM(Table1[[#This Row],[Order_Date]])</f>
        <v>3</v>
      </c>
      <c r="R387">
        <f>YEAR(Table1[[#This Row],[Order_Date]])</f>
        <v>2024</v>
      </c>
      <c r="S387" t="str">
        <f>IF(Table1[[#This Row],[Quantity]]&gt;=3,"Promo","Regular")</f>
        <v>Regular</v>
      </c>
    </row>
    <row r="388" spans="1:19" x14ac:dyDescent="0.35">
      <c r="A388" t="s">
        <v>1922</v>
      </c>
      <c r="B388" t="s">
        <v>461</v>
      </c>
      <c r="C388" s="1">
        <v>45462</v>
      </c>
      <c r="D388" t="s">
        <v>57</v>
      </c>
      <c r="E388" t="s">
        <v>136</v>
      </c>
      <c r="F388" t="s">
        <v>72</v>
      </c>
      <c r="G388" t="s">
        <v>25</v>
      </c>
      <c r="H388" t="s">
        <v>59</v>
      </c>
      <c r="I388" t="s">
        <v>60</v>
      </c>
      <c r="J388">
        <v>5</v>
      </c>
      <c r="K388">
        <v>350</v>
      </c>
      <c r="L388">
        <v>1750</v>
      </c>
      <c r="M388">
        <v>54</v>
      </c>
      <c r="N388" t="s">
        <v>33</v>
      </c>
      <c r="O388">
        <v>3.4</v>
      </c>
      <c r="P388" s="2">
        <f>EOMONTH(Table1[[#This Row],[Order_Date]],0)</f>
        <v>45473</v>
      </c>
      <c r="Q388" s="3">
        <f>WEEKNUM(Table1[[#This Row],[Order_Date]])</f>
        <v>25</v>
      </c>
      <c r="R388">
        <f>YEAR(Table1[[#This Row],[Order_Date]])</f>
        <v>2024</v>
      </c>
      <c r="S388" t="str">
        <f>IF(Table1[[#This Row],[Quantity]]&gt;=3,"Promo","Regular")</f>
        <v>Promo</v>
      </c>
    </row>
    <row r="389" spans="1:19" x14ac:dyDescent="0.35">
      <c r="A389" t="s">
        <v>1922</v>
      </c>
      <c r="B389" t="s">
        <v>462</v>
      </c>
      <c r="C389" s="1">
        <v>45553</v>
      </c>
      <c r="D389" t="s">
        <v>57</v>
      </c>
      <c r="E389" t="s">
        <v>136</v>
      </c>
      <c r="F389" t="s">
        <v>41</v>
      </c>
      <c r="G389" t="s">
        <v>25</v>
      </c>
      <c r="H389" t="s">
        <v>120</v>
      </c>
      <c r="I389" t="s">
        <v>60</v>
      </c>
      <c r="J389">
        <v>4</v>
      </c>
      <c r="K389">
        <v>463</v>
      </c>
      <c r="L389">
        <v>1852</v>
      </c>
      <c r="M389">
        <v>30</v>
      </c>
      <c r="N389" t="s">
        <v>38</v>
      </c>
      <c r="O389">
        <v>3</v>
      </c>
      <c r="P389" s="2">
        <f>EOMONTH(Table1[[#This Row],[Order_Date]],0)</f>
        <v>45565</v>
      </c>
      <c r="Q389" s="3">
        <f>WEEKNUM(Table1[[#This Row],[Order_Date]])</f>
        <v>38</v>
      </c>
      <c r="R389">
        <f>YEAR(Table1[[#This Row],[Order_Date]])</f>
        <v>2024</v>
      </c>
      <c r="S389" t="str">
        <f>IF(Table1[[#This Row],[Quantity]]&gt;=3,"Promo","Regular")</f>
        <v>Promo</v>
      </c>
    </row>
    <row r="390" spans="1:19" x14ac:dyDescent="0.35">
      <c r="A390" t="s">
        <v>1923</v>
      </c>
      <c r="B390" t="s">
        <v>463</v>
      </c>
      <c r="C390" s="1">
        <v>45450</v>
      </c>
      <c r="D390" t="s">
        <v>15</v>
      </c>
      <c r="E390" t="s">
        <v>23</v>
      </c>
      <c r="F390" t="s">
        <v>17</v>
      </c>
      <c r="G390" t="s">
        <v>36</v>
      </c>
      <c r="H390" t="s">
        <v>19</v>
      </c>
      <c r="I390" t="s">
        <v>20</v>
      </c>
      <c r="J390">
        <v>4</v>
      </c>
      <c r="K390">
        <v>445</v>
      </c>
      <c r="L390">
        <v>1780</v>
      </c>
      <c r="M390">
        <v>37</v>
      </c>
      <c r="N390" t="s">
        <v>38</v>
      </c>
      <c r="O390">
        <v>4.3</v>
      </c>
      <c r="P390" s="2">
        <f>EOMONTH(Table1[[#This Row],[Order_Date]],0)</f>
        <v>45473</v>
      </c>
      <c r="Q390" s="3">
        <f>WEEKNUM(Table1[[#This Row],[Order_Date]])</f>
        <v>23</v>
      </c>
      <c r="R390">
        <f>YEAR(Table1[[#This Row],[Order_Date]])</f>
        <v>2024</v>
      </c>
      <c r="S390" t="str">
        <f>IF(Table1[[#This Row],[Quantity]]&gt;=3,"Promo","Regular")</f>
        <v>Promo</v>
      </c>
    </row>
    <row r="391" spans="1:19" x14ac:dyDescent="0.35">
      <c r="A391" t="s">
        <v>1923</v>
      </c>
      <c r="B391" t="s">
        <v>464</v>
      </c>
      <c r="C391" s="1">
        <v>45325</v>
      </c>
      <c r="D391" t="s">
        <v>15</v>
      </c>
      <c r="E391" t="s">
        <v>16</v>
      </c>
      <c r="F391" t="s">
        <v>24</v>
      </c>
      <c r="G391" t="s">
        <v>18</v>
      </c>
      <c r="H391" t="s">
        <v>53</v>
      </c>
      <c r="I391" t="s">
        <v>20</v>
      </c>
      <c r="J391">
        <v>3</v>
      </c>
      <c r="K391">
        <v>384</v>
      </c>
      <c r="L391">
        <v>1152</v>
      </c>
      <c r="M391">
        <v>25</v>
      </c>
      <c r="N391" t="s">
        <v>33</v>
      </c>
      <c r="O391">
        <v>3</v>
      </c>
      <c r="P391" s="2">
        <f>EOMONTH(Table1[[#This Row],[Order_Date]],0)</f>
        <v>45351</v>
      </c>
      <c r="Q391" s="3">
        <f>WEEKNUM(Table1[[#This Row],[Order_Date]])</f>
        <v>5</v>
      </c>
      <c r="R391">
        <f>YEAR(Table1[[#This Row],[Order_Date]])</f>
        <v>2024</v>
      </c>
      <c r="S391" t="str">
        <f>IF(Table1[[#This Row],[Quantity]]&gt;=3,"Promo","Regular")</f>
        <v>Promo</v>
      </c>
    </row>
    <row r="392" spans="1:19" x14ac:dyDescent="0.35">
      <c r="A392" t="s">
        <v>1923</v>
      </c>
      <c r="B392" t="s">
        <v>465</v>
      </c>
      <c r="C392" s="1">
        <v>45489</v>
      </c>
      <c r="D392" t="s">
        <v>48</v>
      </c>
      <c r="E392" t="s">
        <v>132</v>
      </c>
      <c r="F392" t="s">
        <v>30</v>
      </c>
      <c r="G392" t="s">
        <v>18</v>
      </c>
      <c r="H392" t="s">
        <v>55</v>
      </c>
      <c r="I392" t="s">
        <v>20</v>
      </c>
      <c r="J392">
        <v>1</v>
      </c>
      <c r="K392">
        <v>260</v>
      </c>
      <c r="L392">
        <v>260</v>
      </c>
      <c r="M392">
        <v>59</v>
      </c>
      <c r="N392" t="s">
        <v>38</v>
      </c>
      <c r="O392">
        <v>4.0999999999999996</v>
      </c>
      <c r="P392" s="2">
        <f>EOMONTH(Table1[[#This Row],[Order_Date]],0)</f>
        <v>45504</v>
      </c>
      <c r="Q392" s="3">
        <f>WEEKNUM(Table1[[#This Row],[Order_Date]])</f>
        <v>29</v>
      </c>
      <c r="R392">
        <f>YEAR(Table1[[#This Row],[Order_Date]])</f>
        <v>2024</v>
      </c>
      <c r="S392" t="str">
        <f>IF(Table1[[#This Row],[Quantity]]&gt;=3,"Promo","Regular")</f>
        <v>Regular</v>
      </c>
    </row>
    <row r="393" spans="1:19" x14ac:dyDescent="0.35">
      <c r="A393" t="s">
        <v>1924</v>
      </c>
      <c r="B393" t="s">
        <v>466</v>
      </c>
      <c r="C393" s="1">
        <v>45508</v>
      </c>
      <c r="D393" t="s">
        <v>43</v>
      </c>
      <c r="E393" t="s">
        <v>110</v>
      </c>
      <c r="F393" t="s">
        <v>72</v>
      </c>
      <c r="G393" t="s">
        <v>46</v>
      </c>
      <c r="H393" t="s">
        <v>120</v>
      </c>
      <c r="I393" t="s">
        <v>60</v>
      </c>
      <c r="J393">
        <v>4</v>
      </c>
      <c r="K393">
        <v>131</v>
      </c>
      <c r="L393">
        <v>524</v>
      </c>
      <c r="M393">
        <v>48</v>
      </c>
      <c r="N393" t="s">
        <v>21</v>
      </c>
      <c r="O393">
        <v>4</v>
      </c>
      <c r="P393" s="2">
        <f>EOMONTH(Table1[[#This Row],[Order_Date]],0)</f>
        <v>45535</v>
      </c>
      <c r="Q393" s="3">
        <f>WEEKNUM(Table1[[#This Row],[Order_Date]])</f>
        <v>32</v>
      </c>
      <c r="R393">
        <f>YEAR(Table1[[#This Row],[Order_Date]])</f>
        <v>2024</v>
      </c>
      <c r="S393" t="str">
        <f>IF(Table1[[#This Row],[Quantity]]&gt;=3,"Promo","Regular")</f>
        <v>Promo</v>
      </c>
    </row>
    <row r="394" spans="1:19" x14ac:dyDescent="0.35">
      <c r="A394" t="s">
        <v>1924</v>
      </c>
      <c r="B394" t="s">
        <v>467</v>
      </c>
      <c r="C394" s="1">
        <v>45576</v>
      </c>
      <c r="D394" t="s">
        <v>48</v>
      </c>
      <c r="E394" t="s">
        <v>132</v>
      </c>
      <c r="F394" t="s">
        <v>30</v>
      </c>
      <c r="G394" t="s">
        <v>18</v>
      </c>
      <c r="H394" t="s">
        <v>55</v>
      </c>
      <c r="I394" t="s">
        <v>20</v>
      </c>
      <c r="J394">
        <v>2</v>
      </c>
      <c r="K394">
        <v>380</v>
      </c>
      <c r="L394">
        <v>760</v>
      </c>
      <c r="M394">
        <v>39</v>
      </c>
      <c r="N394" t="s">
        <v>38</v>
      </c>
      <c r="O394">
        <v>4.5999999999999996</v>
      </c>
      <c r="P394" s="2">
        <f>EOMONTH(Table1[[#This Row],[Order_Date]],0)</f>
        <v>45596</v>
      </c>
      <c r="Q394" s="3">
        <f>WEEKNUM(Table1[[#This Row],[Order_Date]])</f>
        <v>41</v>
      </c>
      <c r="R394">
        <f>YEAR(Table1[[#This Row],[Order_Date]])</f>
        <v>2024</v>
      </c>
      <c r="S394" t="str">
        <f>IF(Table1[[#This Row],[Quantity]]&gt;=3,"Promo","Regular")</f>
        <v>Regular</v>
      </c>
    </row>
    <row r="395" spans="1:19" x14ac:dyDescent="0.35">
      <c r="A395" t="s">
        <v>1924</v>
      </c>
      <c r="B395" t="s">
        <v>468</v>
      </c>
      <c r="C395" s="1">
        <v>45577</v>
      </c>
      <c r="D395" t="s">
        <v>28</v>
      </c>
      <c r="E395" t="s">
        <v>40</v>
      </c>
      <c r="F395" t="s">
        <v>85</v>
      </c>
      <c r="G395" t="s">
        <v>36</v>
      </c>
      <c r="H395" t="s">
        <v>59</v>
      </c>
      <c r="I395" t="s">
        <v>60</v>
      </c>
      <c r="J395">
        <v>5</v>
      </c>
      <c r="K395">
        <v>360</v>
      </c>
      <c r="L395">
        <v>1800</v>
      </c>
      <c r="M395">
        <v>44</v>
      </c>
      <c r="N395" t="s">
        <v>33</v>
      </c>
      <c r="O395">
        <v>4.5</v>
      </c>
      <c r="P395" s="2">
        <f>EOMONTH(Table1[[#This Row],[Order_Date]],0)</f>
        <v>45596</v>
      </c>
      <c r="Q395" s="3">
        <f>WEEKNUM(Table1[[#This Row],[Order_Date]])</f>
        <v>41</v>
      </c>
      <c r="R395">
        <f>YEAR(Table1[[#This Row],[Order_Date]])</f>
        <v>2024</v>
      </c>
      <c r="S395" t="str">
        <f>IF(Table1[[#This Row],[Quantity]]&gt;=3,"Promo","Regular")</f>
        <v>Promo</v>
      </c>
    </row>
    <row r="396" spans="1:19" x14ac:dyDescent="0.35">
      <c r="A396" t="s">
        <v>1924</v>
      </c>
      <c r="B396" t="s">
        <v>469</v>
      </c>
      <c r="C396" s="1">
        <v>45339</v>
      </c>
      <c r="D396" t="s">
        <v>28</v>
      </c>
      <c r="E396" t="s">
        <v>71</v>
      </c>
      <c r="F396" t="s">
        <v>69</v>
      </c>
      <c r="G396" t="s">
        <v>73</v>
      </c>
      <c r="H396" t="s">
        <v>26</v>
      </c>
      <c r="I396" t="s">
        <v>20</v>
      </c>
      <c r="J396">
        <v>4</v>
      </c>
      <c r="K396">
        <v>471</v>
      </c>
      <c r="L396">
        <v>1884</v>
      </c>
      <c r="M396">
        <v>45</v>
      </c>
      <c r="N396" t="s">
        <v>38</v>
      </c>
      <c r="O396">
        <v>4.0999999999999996</v>
      </c>
      <c r="P396" s="2">
        <f>EOMONTH(Table1[[#This Row],[Order_Date]],0)</f>
        <v>45351</v>
      </c>
      <c r="Q396" s="3">
        <f>WEEKNUM(Table1[[#This Row],[Order_Date]])</f>
        <v>7</v>
      </c>
      <c r="R396">
        <f>YEAR(Table1[[#This Row],[Order_Date]])</f>
        <v>2024</v>
      </c>
      <c r="S396" t="str">
        <f>IF(Table1[[#This Row],[Quantity]]&gt;=3,"Promo","Regular")</f>
        <v>Promo</v>
      </c>
    </row>
    <row r="397" spans="1:19" x14ac:dyDescent="0.35">
      <c r="A397" t="s">
        <v>1924</v>
      </c>
      <c r="B397" t="s">
        <v>470</v>
      </c>
      <c r="C397" s="1">
        <v>45378</v>
      </c>
      <c r="D397" t="s">
        <v>57</v>
      </c>
      <c r="E397" t="s">
        <v>62</v>
      </c>
      <c r="F397" t="s">
        <v>24</v>
      </c>
      <c r="G397" t="s">
        <v>18</v>
      </c>
      <c r="H397" t="s">
        <v>66</v>
      </c>
      <c r="I397" t="s">
        <v>20</v>
      </c>
      <c r="J397">
        <v>2</v>
      </c>
      <c r="K397">
        <v>472</v>
      </c>
      <c r="L397">
        <v>944</v>
      </c>
      <c r="M397">
        <v>21</v>
      </c>
      <c r="N397" t="s">
        <v>33</v>
      </c>
      <c r="O397">
        <v>3.3</v>
      </c>
      <c r="P397" s="2">
        <f>EOMONTH(Table1[[#This Row],[Order_Date]],0)</f>
        <v>45382</v>
      </c>
      <c r="Q397" s="3">
        <f>WEEKNUM(Table1[[#This Row],[Order_Date]])</f>
        <v>13</v>
      </c>
      <c r="R397">
        <f>YEAR(Table1[[#This Row],[Order_Date]])</f>
        <v>2024</v>
      </c>
      <c r="S397" t="str">
        <f>IF(Table1[[#This Row],[Quantity]]&gt;=3,"Promo","Regular")</f>
        <v>Regular</v>
      </c>
    </row>
    <row r="398" spans="1:19" x14ac:dyDescent="0.35">
      <c r="A398" t="s">
        <v>1925</v>
      </c>
      <c r="B398" t="s">
        <v>471</v>
      </c>
      <c r="C398" s="1">
        <v>45409</v>
      </c>
      <c r="D398" t="s">
        <v>43</v>
      </c>
      <c r="E398" t="s">
        <v>44</v>
      </c>
      <c r="F398" t="s">
        <v>24</v>
      </c>
      <c r="G398" t="s">
        <v>36</v>
      </c>
      <c r="H398" t="s">
        <v>26</v>
      </c>
      <c r="I398" t="s">
        <v>20</v>
      </c>
      <c r="J398">
        <v>4</v>
      </c>
      <c r="K398">
        <v>458</v>
      </c>
      <c r="L398">
        <v>1832</v>
      </c>
      <c r="M398">
        <v>55</v>
      </c>
      <c r="N398" t="s">
        <v>33</v>
      </c>
      <c r="O398">
        <v>3.6</v>
      </c>
      <c r="P398" s="2">
        <f>EOMONTH(Table1[[#This Row],[Order_Date]],0)</f>
        <v>45412</v>
      </c>
      <c r="Q398" s="3">
        <f>WEEKNUM(Table1[[#This Row],[Order_Date]])</f>
        <v>17</v>
      </c>
      <c r="R398">
        <f>YEAR(Table1[[#This Row],[Order_Date]])</f>
        <v>2024</v>
      </c>
      <c r="S398" t="str">
        <f>IF(Table1[[#This Row],[Quantity]]&gt;=3,"Promo","Regular")</f>
        <v>Promo</v>
      </c>
    </row>
    <row r="399" spans="1:19" x14ac:dyDescent="0.35">
      <c r="A399" t="s">
        <v>1925</v>
      </c>
      <c r="B399" t="s">
        <v>472</v>
      </c>
      <c r="C399" s="1">
        <v>45510</v>
      </c>
      <c r="D399" t="s">
        <v>15</v>
      </c>
      <c r="E399" t="s">
        <v>23</v>
      </c>
      <c r="F399" t="s">
        <v>35</v>
      </c>
      <c r="G399" t="s">
        <v>36</v>
      </c>
      <c r="H399" t="s">
        <v>50</v>
      </c>
      <c r="I399" t="s">
        <v>20</v>
      </c>
      <c r="J399">
        <v>5</v>
      </c>
      <c r="K399">
        <v>171</v>
      </c>
      <c r="L399">
        <v>855</v>
      </c>
      <c r="M399">
        <v>23</v>
      </c>
      <c r="N399" t="s">
        <v>38</v>
      </c>
      <c r="O399">
        <v>3.9</v>
      </c>
      <c r="P399" s="2">
        <f>EOMONTH(Table1[[#This Row],[Order_Date]],0)</f>
        <v>45535</v>
      </c>
      <c r="Q399" s="3">
        <f>WEEKNUM(Table1[[#This Row],[Order_Date]])</f>
        <v>32</v>
      </c>
      <c r="R399">
        <f>YEAR(Table1[[#This Row],[Order_Date]])</f>
        <v>2024</v>
      </c>
      <c r="S399" t="str">
        <f>IF(Table1[[#This Row],[Quantity]]&gt;=3,"Promo","Regular")</f>
        <v>Promo</v>
      </c>
    </row>
    <row r="400" spans="1:19" x14ac:dyDescent="0.35">
      <c r="A400" t="s">
        <v>1925</v>
      </c>
      <c r="B400" t="s">
        <v>473</v>
      </c>
      <c r="C400" s="1">
        <v>45353</v>
      </c>
      <c r="D400" t="s">
        <v>43</v>
      </c>
      <c r="E400" t="s">
        <v>82</v>
      </c>
      <c r="F400" t="s">
        <v>35</v>
      </c>
      <c r="G400" t="s">
        <v>18</v>
      </c>
      <c r="H400" t="s">
        <v>120</v>
      </c>
      <c r="I400" t="s">
        <v>60</v>
      </c>
      <c r="J400">
        <v>1</v>
      </c>
      <c r="K400">
        <v>473</v>
      </c>
      <c r="L400">
        <v>473</v>
      </c>
      <c r="M400">
        <v>23</v>
      </c>
      <c r="N400" t="s">
        <v>21</v>
      </c>
      <c r="O400">
        <v>3.4</v>
      </c>
      <c r="P400" s="2">
        <f>EOMONTH(Table1[[#This Row],[Order_Date]],0)</f>
        <v>45382</v>
      </c>
      <c r="Q400" s="3">
        <f>WEEKNUM(Table1[[#This Row],[Order_Date]])</f>
        <v>9</v>
      </c>
      <c r="R400">
        <f>YEAR(Table1[[#This Row],[Order_Date]])</f>
        <v>2024</v>
      </c>
      <c r="S400" t="str">
        <f>IF(Table1[[#This Row],[Quantity]]&gt;=3,"Promo","Regular")</f>
        <v>Regular</v>
      </c>
    </row>
    <row r="401" spans="1:19" x14ac:dyDescent="0.35">
      <c r="A401" t="s">
        <v>1925</v>
      </c>
      <c r="B401" t="s">
        <v>474</v>
      </c>
      <c r="C401" s="1">
        <v>45517</v>
      </c>
      <c r="D401" t="s">
        <v>15</v>
      </c>
      <c r="E401" t="s">
        <v>95</v>
      </c>
      <c r="F401" t="s">
        <v>85</v>
      </c>
      <c r="G401" t="s">
        <v>46</v>
      </c>
      <c r="H401" t="s">
        <v>55</v>
      </c>
      <c r="I401" t="s">
        <v>20</v>
      </c>
      <c r="J401">
        <v>5</v>
      </c>
      <c r="K401">
        <v>214</v>
      </c>
      <c r="L401">
        <v>1070</v>
      </c>
      <c r="M401">
        <v>53</v>
      </c>
      <c r="N401" t="s">
        <v>33</v>
      </c>
      <c r="O401">
        <v>3.6</v>
      </c>
      <c r="P401" s="2">
        <f>EOMONTH(Table1[[#This Row],[Order_Date]],0)</f>
        <v>45535</v>
      </c>
      <c r="Q401" s="3">
        <f>WEEKNUM(Table1[[#This Row],[Order_Date]])</f>
        <v>33</v>
      </c>
      <c r="R401">
        <f>YEAR(Table1[[#This Row],[Order_Date]])</f>
        <v>2024</v>
      </c>
      <c r="S401" t="str">
        <f>IF(Table1[[#This Row],[Quantity]]&gt;=3,"Promo","Regular")</f>
        <v>Promo</v>
      </c>
    </row>
    <row r="402" spans="1:19" x14ac:dyDescent="0.35">
      <c r="A402" t="s">
        <v>1925</v>
      </c>
      <c r="B402" t="s">
        <v>475</v>
      </c>
      <c r="C402" s="1">
        <v>45383</v>
      </c>
      <c r="D402" t="s">
        <v>28</v>
      </c>
      <c r="E402" t="s">
        <v>98</v>
      </c>
      <c r="F402" t="s">
        <v>30</v>
      </c>
      <c r="G402" t="s">
        <v>18</v>
      </c>
      <c r="H402" t="s">
        <v>59</v>
      </c>
      <c r="I402" t="s">
        <v>60</v>
      </c>
      <c r="J402">
        <v>5</v>
      </c>
      <c r="K402">
        <v>374</v>
      </c>
      <c r="L402">
        <v>1870</v>
      </c>
      <c r="M402">
        <v>50</v>
      </c>
      <c r="N402" t="s">
        <v>38</v>
      </c>
      <c r="O402">
        <v>4.3</v>
      </c>
      <c r="P402" s="2">
        <f>EOMONTH(Table1[[#This Row],[Order_Date]],0)</f>
        <v>45412</v>
      </c>
      <c r="Q402" s="3">
        <f>WEEKNUM(Table1[[#This Row],[Order_Date]])</f>
        <v>14</v>
      </c>
      <c r="R402">
        <f>YEAR(Table1[[#This Row],[Order_Date]])</f>
        <v>2024</v>
      </c>
      <c r="S402" t="str">
        <f>IF(Table1[[#This Row],[Quantity]]&gt;=3,"Promo","Regular")</f>
        <v>Promo</v>
      </c>
    </row>
    <row r="403" spans="1:19" x14ac:dyDescent="0.35">
      <c r="A403" t="s">
        <v>1926</v>
      </c>
      <c r="B403" t="s">
        <v>476</v>
      </c>
      <c r="C403" s="1">
        <v>45310</v>
      </c>
      <c r="D403" t="s">
        <v>57</v>
      </c>
      <c r="E403" t="s">
        <v>58</v>
      </c>
      <c r="F403" t="s">
        <v>17</v>
      </c>
      <c r="G403" t="s">
        <v>18</v>
      </c>
      <c r="H403" t="s">
        <v>53</v>
      </c>
      <c r="I403" t="s">
        <v>20</v>
      </c>
      <c r="J403">
        <v>5</v>
      </c>
      <c r="K403">
        <v>462</v>
      </c>
      <c r="L403">
        <v>2310</v>
      </c>
      <c r="M403">
        <v>59</v>
      </c>
      <c r="N403" t="s">
        <v>38</v>
      </c>
      <c r="O403">
        <v>3.7</v>
      </c>
      <c r="P403" s="2">
        <f>EOMONTH(Table1[[#This Row],[Order_Date]],0)</f>
        <v>45322</v>
      </c>
      <c r="Q403" s="3">
        <f>WEEKNUM(Table1[[#This Row],[Order_Date]])</f>
        <v>3</v>
      </c>
      <c r="R403">
        <f>YEAR(Table1[[#This Row],[Order_Date]])</f>
        <v>2024</v>
      </c>
      <c r="S403" t="str">
        <f>IF(Table1[[#This Row],[Quantity]]&gt;=3,"Promo","Regular")</f>
        <v>Promo</v>
      </c>
    </row>
    <row r="404" spans="1:19" x14ac:dyDescent="0.35">
      <c r="A404" t="s">
        <v>1926</v>
      </c>
      <c r="B404" t="s">
        <v>477</v>
      </c>
      <c r="C404" s="1">
        <v>45539</v>
      </c>
      <c r="D404" t="s">
        <v>57</v>
      </c>
      <c r="E404" t="s">
        <v>75</v>
      </c>
      <c r="F404" t="s">
        <v>65</v>
      </c>
      <c r="G404" t="s">
        <v>36</v>
      </c>
      <c r="H404" t="s">
        <v>53</v>
      </c>
      <c r="I404" t="s">
        <v>20</v>
      </c>
      <c r="J404">
        <v>1</v>
      </c>
      <c r="K404">
        <v>454</v>
      </c>
      <c r="L404">
        <v>454</v>
      </c>
      <c r="M404">
        <v>29</v>
      </c>
      <c r="N404" t="s">
        <v>33</v>
      </c>
      <c r="O404">
        <v>3.7</v>
      </c>
      <c r="P404" s="2">
        <f>EOMONTH(Table1[[#This Row],[Order_Date]],0)</f>
        <v>45565</v>
      </c>
      <c r="Q404" s="3">
        <f>WEEKNUM(Table1[[#This Row],[Order_Date]])</f>
        <v>36</v>
      </c>
      <c r="R404">
        <f>YEAR(Table1[[#This Row],[Order_Date]])</f>
        <v>2024</v>
      </c>
      <c r="S404" t="str">
        <f>IF(Table1[[#This Row],[Quantity]]&gt;=3,"Promo","Regular")</f>
        <v>Regular</v>
      </c>
    </row>
    <row r="405" spans="1:19" x14ac:dyDescent="0.35">
      <c r="A405" t="s">
        <v>1927</v>
      </c>
      <c r="B405" t="s">
        <v>478</v>
      </c>
      <c r="C405" s="1">
        <v>45361</v>
      </c>
      <c r="D405" t="s">
        <v>57</v>
      </c>
      <c r="E405" t="s">
        <v>136</v>
      </c>
      <c r="F405" t="s">
        <v>17</v>
      </c>
      <c r="G405" t="s">
        <v>25</v>
      </c>
      <c r="H405" t="s">
        <v>53</v>
      </c>
      <c r="I405" t="s">
        <v>20</v>
      </c>
      <c r="J405">
        <v>4</v>
      </c>
      <c r="K405">
        <v>116</v>
      </c>
      <c r="L405">
        <v>464</v>
      </c>
      <c r="M405">
        <v>20</v>
      </c>
      <c r="N405" t="s">
        <v>21</v>
      </c>
      <c r="O405">
        <v>4.0999999999999996</v>
      </c>
      <c r="P405" s="2">
        <f>EOMONTH(Table1[[#This Row],[Order_Date]],0)</f>
        <v>45382</v>
      </c>
      <c r="Q405" s="3">
        <f>WEEKNUM(Table1[[#This Row],[Order_Date]])</f>
        <v>11</v>
      </c>
      <c r="R405">
        <f>YEAR(Table1[[#This Row],[Order_Date]])</f>
        <v>2024</v>
      </c>
      <c r="S405" t="str">
        <f>IF(Table1[[#This Row],[Quantity]]&gt;=3,"Promo","Regular")</f>
        <v>Promo</v>
      </c>
    </row>
    <row r="406" spans="1:19" x14ac:dyDescent="0.35">
      <c r="A406" t="s">
        <v>1927</v>
      </c>
      <c r="B406" t="s">
        <v>479</v>
      </c>
      <c r="C406" s="1">
        <v>45353</v>
      </c>
      <c r="D406" t="s">
        <v>48</v>
      </c>
      <c r="E406" t="s">
        <v>64</v>
      </c>
      <c r="F406" t="s">
        <v>41</v>
      </c>
      <c r="G406" t="s">
        <v>73</v>
      </c>
      <c r="H406" t="s">
        <v>32</v>
      </c>
      <c r="I406" t="s">
        <v>20</v>
      </c>
      <c r="J406">
        <v>2</v>
      </c>
      <c r="K406">
        <v>195</v>
      </c>
      <c r="L406">
        <v>390</v>
      </c>
      <c r="M406">
        <v>58</v>
      </c>
      <c r="N406" t="s">
        <v>33</v>
      </c>
      <c r="O406">
        <v>4.3</v>
      </c>
      <c r="P406" s="2">
        <f>EOMONTH(Table1[[#This Row],[Order_Date]],0)</f>
        <v>45382</v>
      </c>
      <c r="Q406" s="3">
        <f>WEEKNUM(Table1[[#This Row],[Order_Date]])</f>
        <v>9</v>
      </c>
      <c r="R406">
        <f>YEAR(Table1[[#This Row],[Order_Date]])</f>
        <v>2024</v>
      </c>
      <c r="S406" t="str">
        <f>IF(Table1[[#This Row],[Quantity]]&gt;=3,"Promo","Regular")</f>
        <v>Regular</v>
      </c>
    </row>
    <row r="407" spans="1:19" x14ac:dyDescent="0.35">
      <c r="A407" t="s">
        <v>1927</v>
      </c>
      <c r="B407" t="s">
        <v>480</v>
      </c>
      <c r="C407" s="1">
        <v>45292</v>
      </c>
      <c r="D407" t="s">
        <v>48</v>
      </c>
      <c r="E407" t="s">
        <v>132</v>
      </c>
      <c r="F407" t="s">
        <v>41</v>
      </c>
      <c r="G407" t="s">
        <v>73</v>
      </c>
      <c r="H407" t="s">
        <v>50</v>
      </c>
      <c r="I407" t="s">
        <v>20</v>
      </c>
      <c r="J407">
        <v>2</v>
      </c>
      <c r="K407">
        <v>442</v>
      </c>
      <c r="L407">
        <v>884</v>
      </c>
      <c r="M407">
        <v>40</v>
      </c>
      <c r="N407" t="s">
        <v>38</v>
      </c>
      <c r="O407">
        <v>4.9000000000000004</v>
      </c>
      <c r="P407" s="2">
        <f>EOMONTH(Table1[[#This Row],[Order_Date]],0)</f>
        <v>45322</v>
      </c>
      <c r="Q407" s="3">
        <f>WEEKNUM(Table1[[#This Row],[Order_Date]])</f>
        <v>1</v>
      </c>
      <c r="R407">
        <f>YEAR(Table1[[#This Row],[Order_Date]])</f>
        <v>2024</v>
      </c>
      <c r="S407" t="str">
        <f>IF(Table1[[#This Row],[Quantity]]&gt;=3,"Promo","Regular")</f>
        <v>Regular</v>
      </c>
    </row>
    <row r="408" spans="1:19" x14ac:dyDescent="0.35">
      <c r="A408" t="s">
        <v>1927</v>
      </c>
      <c r="B408" t="s">
        <v>481</v>
      </c>
      <c r="C408" s="1">
        <v>45467</v>
      </c>
      <c r="D408" t="s">
        <v>48</v>
      </c>
      <c r="E408" t="s">
        <v>68</v>
      </c>
      <c r="F408" t="s">
        <v>30</v>
      </c>
      <c r="G408" t="s">
        <v>31</v>
      </c>
      <c r="H408" t="s">
        <v>53</v>
      </c>
      <c r="I408" t="s">
        <v>20</v>
      </c>
      <c r="J408">
        <v>1</v>
      </c>
      <c r="K408">
        <v>158</v>
      </c>
      <c r="L408">
        <v>158</v>
      </c>
      <c r="M408">
        <v>46</v>
      </c>
      <c r="N408" t="s">
        <v>21</v>
      </c>
      <c r="O408">
        <v>4.5</v>
      </c>
      <c r="P408" s="2">
        <f>EOMONTH(Table1[[#This Row],[Order_Date]],0)</f>
        <v>45473</v>
      </c>
      <c r="Q408" s="3">
        <f>WEEKNUM(Table1[[#This Row],[Order_Date]])</f>
        <v>26</v>
      </c>
      <c r="R408">
        <f>YEAR(Table1[[#This Row],[Order_Date]])</f>
        <v>2024</v>
      </c>
      <c r="S408" t="str">
        <f>IF(Table1[[#This Row],[Quantity]]&gt;=3,"Promo","Regular")</f>
        <v>Regular</v>
      </c>
    </row>
    <row r="409" spans="1:19" x14ac:dyDescent="0.35">
      <c r="A409" t="s">
        <v>1928</v>
      </c>
      <c r="B409" t="s">
        <v>482</v>
      </c>
      <c r="C409" s="1">
        <v>45422</v>
      </c>
      <c r="D409" t="s">
        <v>28</v>
      </c>
      <c r="E409" t="s">
        <v>29</v>
      </c>
      <c r="F409" t="s">
        <v>65</v>
      </c>
      <c r="G409" t="s">
        <v>31</v>
      </c>
      <c r="H409" t="s">
        <v>59</v>
      </c>
      <c r="I409" t="s">
        <v>60</v>
      </c>
      <c r="J409">
        <v>2</v>
      </c>
      <c r="K409">
        <v>274</v>
      </c>
      <c r="L409">
        <v>548</v>
      </c>
      <c r="M409">
        <v>36</v>
      </c>
      <c r="N409" t="s">
        <v>38</v>
      </c>
      <c r="O409">
        <v>4.0999999999999996</v>
      </c>
      <c r="P409" s="2">
        <f>EOMONTH(Table1[[#This Row],[Order_Date]],0)</f>
        <v>45443</v>
      </c>
      <c r="Q409" s="3">
        <f>WEEKNUM(Table1[[#This Row],[Order_Date]])</f>
        <v>19</v>
      </c>
      <c r="R409">
        <f>YEAR(Table1[[#This Row],[Order_Date]])</f>
        <v>2024</v>
      </c>
      <c r="S409" t="str">
        <f>IF(Table1[[#This Row],[Quantity]]&gt;=3,"Promo","Regular")</f>
        <v>Regular</v>
      </c>
    </row>
    <row r="410" spans="1:19" x14ac:dyDescent="0.35">
      <c r="A410" t="s">
        <v>1928</v>
      </c>
      <c r="B410" t="s">
        <v>483</v>
      </c>
      <c r="C410" s="1">
        <v>45538</v>
      </c>
      <c r="D410" t="s">
        <v>28</v>
      </c>
      <c r="E410" t="s">
        <v>98</v>
      </c>
      <c r="F410" t="s">
        <v>72</v>
      </c>
      <c r="G410" t="s">
        <v>25</v>
      </c>
      <c r="H410" t="s">
        <v>26</v>
      </c>
      <c r="I410" t="s">
        <v>20</v>
      </c>
      <c r="J410">
        <v>3</v>
      </c>
      <c r="K410">
        <v>359</v>
      </c>
      <c r="L410">
        <v>1077</v>
      </c>
      <c r="M410">
        <v>53</v>
      </c>
      <c r="N410" t="s">
        <v>38</v>
      </c>
      <c r="O410">
        <v>4.0999999999999996</v>
      </c>
      <c r="P410" s="2">
        <f>EOMONTH(Table1[[#This Row],[Order_Date]],0)</f>
        <v>45565</v>
      </c>
      <c r="Q410" s="3">
        <f>WEEKNUM(Table1[[#This Row],[Order_Date]])</f>
        <v>36</v>
      </c>
      <c r="R410">
        <f>YEAR(Table1[[#This Row],[Order_Date]])</f>
        <v>2024</v>
      </c>
      <c r="S410" t="str">
        <f>IF(Table1[[#This Row],[Quantity]]&gt;=3,"Promo","Regular")</f>
        <v>Promo</v>
      </c>
    </row>
    <row r="411" spans="1:19" x14ac:dyDescent="0.35">
      <c r="A411" t="s">
        <v>1928</v>
      </c>
      <c r="B411" t="s">
        <v>484</v>
      </c>
      <c r="C411" s="1">
        <v>45380</v>
      </c>
      <c r="D411" t="s">
        <v>57</v>
      </c>
      <c r="E411" t="s">
        <v>58</v>
      </c>
      <c r="F411" t="s">
        <v>24</v>
      </c>
      <c r="G411" t="s">
        <v>36</v>
      </c>
      <c r="H411" t="s">
        <v>19</v>
      </c>
      <c r="I411" t="s">
        <v>20</v>
      </c>
      <c r="J411">
        <v>1</v>
      </c>
      <c r="K411">
        <v>362</v>
      </c>
      <c r="L411">
        <v>362</v>
      </c>
      <c r="M411">
        <v>55</v>
      </c>
      <c r="N411" t="s">
        <v>21</v>
      </c>
      <c r="O411">
        <v>3.9</v>
      </c>
      <c r="P411" s="2">
        <f>EOMONTH(Table1[[#This Row],[Order_Date]],0)</f>
        <v>45382</v>
      </c>
      <c r="Q411" s="3">
        <f>WEEKNUM(Table1[[#This Row],[Order_Date]])</f>
        <v>13</v>
      </c>
      <c r="R411">
        <f>YEAR(Table1[[#This Row],[Order_Date]])</f>
        <v>2024</v>
      </c>
      <c r="S411" t="str">
        <f>IF(Table1[[#This Row],[Quantity]]&gt;=3,"Promo","Regular")</f>
        <v>Regular</v>
      </c>
    </row>
    <row r="412" spans="1:19" x14ac:dyDescent="0.35">
      <c r="A412" t="s">
        <v>1928</v>
      </c>
      <c r="B412" t="s">
        <v>485</v>
      </c>
      <c r="C412" s="1">
        <v>45357</v>
      </c>
      <c r="D412" t="s">
        <v>57</v>
      </c>
      <c r="E412" t="s">
        <v>62</v>
      </c>
      <c r="F412" t="s">
        <v>45</v>
      </c>
      <c r="G412" t="s">
        <v>31</v>
      </c>
      <c r="H412" t="s">
        <v>19</v>
      </c>
      <c r="I412" t="s">
        <v>20</v>
      </c>
      <c r="J412">
        <v>4</v>
      </c>
      <c r="K412">
        <v>431</v>
      </c>
      <c r="L412">
        <v>1724</v>
      </c>
      <c r="M412">
        <v>45</v>
      </c>
      <c r="N412" t="s">
        <v>38</v>
      </c>
      <c r="O412">
        <v>4.8</v>
      </c>
      <c r="P412" s="2">
        <f>EOMONTH(Table1[[#This Row],[Order_Date]],0)</f>
        <v>45382</v>
      </c>
      <c r="Q412" s="3">
        <f>WEEKNUM(Table1[[#This Row],[Order_Date]])</f>
        <v>10</v>
      </c>
      <c r="R412">
        <f>YEAR(Table1[[#This Row],[Order_Date]])</f>
        <v>2024</v>
      </c>
      <c r="S412" t="str">
        <f>IF(Table1[[#This Row],[Quantity]]&gt;=3,"Promo","Regular")</f>
        <v>Promo</v>
      </c>
    </row>
    <row r="413" spans="1:19" x14ac:dyDescent="0.35">
      <c r="A413" t="s">
        <v>1929</v>
      </c>
      <c r="B413" t="s">
        <v>486</v>
      </c>
      <c r="C413" s="1">
        <v>45567</v>
      </c>
      <c r="D413" t="s">
        <v>43</v>
      </c>
      <c r="E413" t="s">
        <v>52</v>
      </c>
      <c r="F413" t="s">
        <v>85</v>
      </c>
      <c r="G413" t="s">
        <v>46</v>
      </c>
      <c r="H413" t="s">
        <v>37</v>
      </c>
      <c r="I413" t="s">
        <v>20</v>
      </c>
      <c r="J413">
        <v>2</v>
      </c>
      <c r="K413">
        <v>407</v>
      </c>
      <c r="L413">
        <v>814</v>
      </c>
      <c r="M413">
        <v>52</v>
      </c>
      <c r="N413" t="s">
        <v>21</v>
      </c>
      <c r="O413">
        <v>4.3</v>
      </c>
      <c r="P413" s="2">
        <f>EOMONTH(Table1[[#This Row],[Order_Date]],0)</f>
        <v>45596</v>
      </c>
      <c r="Q413" s="3">
        <f>WEEKNUM(Table1[[#This Row],[Order_Date]])</f>
        <v>40</v>
      </c>
      <c r="R413">
        <f>YEAR(Table1[[#This Row],[Order_Date]])</f>
        <v>2024</v>
      </c>
      <c r="S413" t="str">
        <f>IF(Table1[[#This Row],[Quantity]]&gt;=3,"Promo","Regular")</f>
        <v>Regular</v>
      </c>
    </row>
    <row r="414" spans="1:19" x14ac:dyDescent="0.35">
      <c r="A414" t="s">
        <v>1929</v>
      </c>
      <c r="B414" t="s">
        <v>487</v>
      </c>
      <c r="C414" s="1">
        <v>45335</v>
      </c>
      <c r="D414" t="s">
        <v>28</v>
      </c>
      <c r="E414" t="s">
        <v>98</v>
      </c>
      <c r="F414" t="s">
        <v>85</v>
      </c>
      <c r="G414" t="s">
        <v>25</v>
      </c>
      <c r="H414" t="s">
        <v>53</v>
      </c>
      <c r="I414" t="s">
        <v>20</v>
      </c>
      <c r="J414">
        <v>2</v>
      </c>
      <c r="K414">
        <v>147</v>
      </c>
      <c r="L414">
        <v>294</v>
      </c>
      <c r="M414">
        <v>60</v>
      </c>
      <c r="N414" t="s">
        <v>21</v>
      </c>
      <c r="O414">
        <v>4.0999999999999996</v>
      </c>
      <c r="P414" s="2">
        <f>EOMONTH(Table1[[#This Row],[Order_Date]],0)</f>
        <v>45351</v>
      </c>
      <c r="Q414" s="3">
        <f>WEEKNUM(Table1[[#This Row],[Order_Date]])</f>
        <v>7</v>
      </c>
      <c r="R414">
        <f>YEAR(Table1[[#This Row],[Order_Date]])</f>
        <v>2024</v>
      </c>
      <c r="S414" t="str">
        <f>IF(Table1[[#This Row],[Quantity]]&gt;=3,"Promo","Regular")</f>
        <v>Regular</v>
      </c>
    </row>
    <row r="415" spans="1:19" x14ac:dyDescent="0.35">
      <c r="A415" t="s">
        <v>1929</v>
      </c>
      <c r="B415" t="s">
        <v>488</v>
      </c>
      <c r="C415" s="1">
        <v>45370</v>
      </c>
      <c r="D415" t="s">
        <v>43</v>
      </c>
      <c r="E415" t="s">
        <v>93</v>
      </c>
      <c r="F415" t="s">
        <v>69</v>
      </c>
      <c r="G415" t="s">
        <v>73</v>
      </c>
      <c r="H415" t="s">
        <v>66</v>
      </c>
      <c r="I415" t="s">
        <v>20</v>
      </c>
      <c r="J415">
        <v>2</v>
      </c>
      <c r="K415">
        <v>376</v>
      </c>
      <c r="L415">
        <v>752</v>
      </c>
      <c r="M415">
        <v>48</v>
      </c>
      <c r="N415" t="s">
        <v>21</v>
      </c>
      <c r="O415">
        <v>4.3</v>
      </c>
      <c r="P415" s="2">
        <f>EOMONTH(Table1[[#This Row],[Order_Date]],0)</f>
        <v>45382</v>
      </c>
      <c r="Q415" s="3">
        <f>WEEKNUM(Table1[[#This Row],[Order_Date]])</f>
        <v>12</v>
      </c>
      <c r="R415">
        <f>YEAR(Table1[[#This Row],[Order_Date]])</f>
        <v>2024</v>
      </c>
      <c r="S415" t="str">
        <f>IF(Table1[[#This Row],[Quantity]]&gt;=3,"Promo","Regular")</f>
        <v>Regular</v>
      </c>
    </row>
    <row r="416" spans="1:19" x14ac:dyDescent="0.35">
      <c r="A416" t="s">
        <v>1930</v>
      </c>
      <c r="B416" t="s">
        <v>489</v>
      </c>
      <c r="C416" s="1">
        <v>45412</v>
      </c>
      <c r="D416" t="s">
        <v>43</v>
      </c>
      <c r="E416" t="s">
        <v>52</v>
      </c>
      <c r="F416" t="s">
        <v>85</v>
      </c>
      <c r="G416" t="s">
        <v>18</v>
      </c>
      <c r="H416" t="s">
        <v>55</v>
      </c>
      <c r="I416" t="s">
        <v>20</v>
      </c>
      <c r="J416">
        <v>4</v>
      </c>
      <c r="K416">
        <v>482</v>
      </c>
      <c r="L416">
        <v>1928</v>
      </c>
      <c r="M416">
        <v>46</v>
      </c>
      <c r="N416" t="s">
        <v>33</v>
      </c>
      <c r="O416">
        <v>3.9</v>
      </c>
      <c r="P416" s="2">
        <f>EOMONTH(Table1[[#This Row],[Order_Date]],0)</f>
        <v>45412</v>
      </c>
      <c r="Q416" s="3">
        <f>WEEKNUM(Table1[[#This Row],[Order_Date]])</f>
        <v>18</v>
      </c>
      <c r="R416">
        <f>YEAR(Table1[[#This Row],[Order_Date]])</f>
        <v>2024</v>
      </c>
      <c r="S416" t="str">
        <f>IF(Table1[[#This Row],[Quantity]]&gt;=3,"Promo","Regular")</f>
        <v>Promo</v>
      </c>
    </row>
    <row r="417" spans="1:19" x14ac:dyDescent="0.35">
      <c r="A417" t="s">
        <v>1930</v>
      </c>
      <c r="B417" t="s">
        <v>490</v>
      </c>
      <c r="C417" s="1">
        <v>45547</v>
      </c>
      <c r="D417" t="s">
        <v>15</v>
      </c>
      <c r="E417" t="s">
        <v>23</v>
      </c>
      <c r="F417" t="s">
        <v>30</v>
      </c>
      <c r="G417" t="s">
        <v>31</v>
      </c>
      <c r="H417" t="s">
        <v>66</v>
      </c>
      <c r="I417" t="s">
        <v>20</v>
      </c>
      <c r="J417">
        <v>3</v>
      </c>
      <c r="K417">
        <v>293</v>
      </c>
      <c r="L417">
        <v>879</v>
      </c>
      <c r="M417">
        <v>51</v>
      </c>
      <c r="N417" t="s">
        <v>33</v>
      </c>
      <c r="O417">
        <v>4.5999999999999996</v>
      </c>
      <c r="P417" s="2">
        <f>EOMONTH(Table1[[#This Row],[Order_Date]],0)</f>
        <v>45565</v>
      </c>
      <c r="Q417" s="3">
        <f>WEEKNUM(Table1[[#This Row],[Order_Date]])</f>
        <v>37</v>
      </c>
      <c r="R417">
        <f>YEAR(Table1[[#This Row],[Order_Date]])</f>
        <v>2024</v>
      </c>
      <c r="S417" t="str">
        <f>IF(Table1[[#This Row],[Quantity]]&gt;=3,"Promo","Regular")</f>
        <v>Promo</v>
      </c>
    </row>
    <row r="418" spans="1:19" x14ac:dyDescent="0.35">
      <c r="A418" t="s">
        <v>1930</v>
      </c>
      <c r="B418" t="s">
        <v>491</v>
      </c>
      <c r="C418" s="1">
        <v>45505</v>
      </c>
      <c r="D418" t="s">
        <v>15</v>
      </c>
      <c r="E418" t="s">
        <v>112</v>
      </c>
      <c r="F418" t="s">
        <v>35</v>
      </c>
      <c r="G418" t="s">
        <v>18</v>
      </c>
      <c r="H418" t="s">
        <v>19</v>
      </c>
      <c r="I418" t="s">
        <v>20</v>
      </c>
      <c r="J418">
        <v>2</v>
      </c>
      <c r="K418">
        <v>157</v>
      </c>
      <c r="L418">
        <v>314</v>
      </c>
      <c r="M418">
        <v>59</v>
      </c>
      <c r="N418" t="s">
        <v>21</v>
      </c>
      <c r="O418">
        <v>4.9000000000000004</v>
      </c>
      <c r="P418" s="2">
        <f>EOMONTH(Table1[[#This Row],[Order_Date]],0)</f>
        <v>45535</v>
      </c>
      <c r="Q418" s="3">
        <f>WEEKNUM(Table1[[#This Row],[Order_Date]])</f>
        <v>31</v>
      </c>
      <c r="R418">
        <f>YEAR(Table1[[#This Row],[Order_Date]])</f>
        <v>2024</v>
      </c>
      <c r="S418" t="str">
        <f>IF(Table1[[#This Row],[Quantity]]&gt;=3,"Promo","Regular")</f>
        <v>Regular</v>
      </c>
    </row>
    <row r="419" spans="1:19" x14ac:dyDescent="0.35">
      <c r="A419" t="s">
        <v>1930</v>
      </c>
      <c r="B419" t="s">
        <v>492</v>
      </c>
      <c r="C419" s="1">
        <v>45334</v>
      </c>
      <c r="D419" t="s">
        <v>57</v>
      </c>
      <c r="E419" t="s">
        <v>75</v>
      </c>
      <c r="F419" t="s">
        <v>65</v>
      </c>
      <c r="G419" t="s">
        <v>31</v>
      </c>
      <c r="H419" t="s">
        <v>50</v>
      </c>
      <c r="I419" t="s">
        <v>20</v>
      </c>
      <c r="J419">
        <v>2</v>
      </c>
      <c r="K419">
        <v>268</v>
      </c>
      <c r="L419">
        <v>536</v>
      </c>
      <c r="M419">
        <v>57</v>
      </c>
      <c r="N419" t="s">
        <v>33</v>
      </c>
      <c r="O419">
        <v>4.5999999999999996</v>
      </c>
      <c r="P419" s="2">
        <f>EOMONTH(Table1[[#This Row],[Order_Date]],0)</f>
        <v>45351</v>
      </c>
      <c r="Q419" s="3">
        <f>WEEKNUM(Table1[[#This Row],[Order_Date]])</f>
        <v>7</v>
      </c>
      <c r="R419">
        <f>YEAR(Table1[[#This Row],[Order_Date]])</f>
        <v>2024</v>
      </c>
      <c r="S419" t="str">
        <f>IF(Table1[[#This Row],[Quantity]]&gt;=3,"Promo","Regular")</f>
        <v>Regular</v>
      </c>
    </row>
    <row r="420" spans="1:19" x14ac:dyDescent="0.35">
      <c r="A420" t="s">
        <v>1930</v>
      </c>
      <c r="B420" t="s">
        <v>493</v>
      </c>
      <c r="C420" s="1">
        <v>45313</v>
      </c>
      <c r="D420" t="s">
        <v>48</v>
      </c>
      <c r="E420" t="s">
        <v>68</v>
      </c>
      <c r="F420" t="s">
        <v>85</v>
      </c>
      <c r="G420" t="s">
        <v>73</v>
      </c>
      <c r="H420" t="s">
        <v>26</v>
      </c>
      <c r="I420" t="s">
        <v>20</v>
      </c>
      <c r="J420">
        <v>5</v>
      </c>
      <c r="K420">
        <v>169</v>
      </c>
      <c r="L420">
        <v>845</v>
      </c>
      <c r="M420">
        <v>53</v>
      </c>
      <c r="N420" t="s">
        <v>21</v>
      </c>
      <c r="O420">
        <v>3.7</v>
      </c>
      <c r="P420" s="2">
        <f>EOMONTH(Table1[[#This Row],[Order_Date]],0)</f>
        <v>45322</v>
      </c>
      <c r="Q420" s="3">
        <f>WEEKNUM(Table1[[#This Row],[Order_Date]])</f>
        <v>4</v>
      </c>
      <c r="R420">
        <f>YEAR(Table1[[#This Row],[Order_Date]])</f>
        <v>2024</v>
      </c>
      <c r="S420" t="str">
        <f>IF(Table1[[#This Row],[Quantity]]&gt;=3,"Promo","Regular")</f>
        <v>Promo</v>
      </c>
    </row>
    <row r="421" spans="1:19" x14ac:dyDescent="0.35">
      <c r="A421" t="s">
        <v>1931</v>
      </c>
      <c r="B421" t="s">
        <v>494</v>
      </c>
      <c r="C421" s="1">
        <v>45332</v>
      </c>
      <c r="D421" t="s">
        <v>43</v>
      </c>
      <c r="E421" t="s">
        <v>93</v>
      </c>
      <c r="F421" t="s">
        <v>17</v>
      </c>
      <c r="G421" t="s">
        <v>31</v>
      </c>
      <c r="H421" t="s">
        <v>59</v>
      </c>
      <c r="I421" t="s">
        <v>60</v>
      </c>
      <c r="J421">
        <v>1</v>
      </c>
      <c r="K421">
        <v>356</v>
      </c>
      <c r="L421">
        <v>356</v>
      </c>
      <c r="M421">
        <v>38</v>
      </c>
      <c r="N421" t="s">
        <v>21</v>
      </c>
      <c r="O421">
        <v>4.0999999999999996</v>
      </c>
      <c r="P421" s="2">
        <f>EOMONTH(Table1[[#This Row],[Order_Date]],0)</f>
        <v>45351</v>
      </c>
      <c r="Q421" s="3">
        <f>WEEKNUM(Table1[[#This Row],[Order_Date]])</f>
        <v>6</v>
      </c>
      <c r="R421">
        <f>YEAR(Table1[[#This Row],[Order_Date]])</f>
        <v>2024</v>
      </c>
      <c r="S421" t="str">
        <f>IF(Table1[[#This Row],[Quantity]]&gt;=3,"Promo","Regular")</f>
        <v>Regular</v>
      </c>
    </row>
    <row r="422" spans="1:19" x14ac:dyDescent="0.35">
      <c r="A422" t="s">
        <v>1931</v>
      </c>
      <c r="B422" t="s">
        <v>495</v>
      </c>
      <c r="C422" s="1">
        <v>45509</v>
      </c>
      <c r="D422" t="s">
        <v>57</v>
      </c>
      <c r="E422" t="s">
        <v>105</v>
      </c>
      <c r="F422" t="s">
        <v>35</v>
      </c>
      <c r="G422" t="s">
        <v>36</v>
      </c>
      <c r="H422" t="s">
        <v>59</v>
      </c>
      <c r="I422" t="s">
        <v>60</v>
      </c>
      <c r="J422">
        <v>2</v>
      </c>
      <c r="K422">
        <v>143</v>
      </c>
      <c r="L422">
        <v>286</v>
      </c>
      <c r="M422">
        <v>20</v>
      </c>
      <c r="N422" t="s">
        <v>21</v>
      </c>
      <c r="O422">
        <v>3.3</v>
      </c>
      <c r="P422" s="2">
        <f>EOMONTH(Table1[[#This Row],[Order_Date]],0)</f>
        <v>45535</v>
      </c>
      <c r="Q422" s="3">
        <f>WEEKNUM(Table1[[#This Row],[Order_Date]])</f>
        <v>32</v>
      </c>
      <c r="R422">
        <f>YEAR(Table1[[#This Row],[Order_Date]])</f>
        <v>2024</v>
      </c>
      <c r="S422" t="str">
        <f>IF(Table1[[#This Row],[Quantity]]&gt;=3,"Promo","Regular")</f>
        <v>Regular</v>
      </c>
    </row>
    <row r="423" spans="1:19" x14ac:dyDescent="0.35">
      <c r="A423" t="s">
        <v>1931</v>
      </c>
      <c r="B423" t="s">
        <v>496</v>
      </c>
      <c r="C423" s="1">
        <v>45371</v>
      </c>
      <c r="D423" t="s">
        <v>57</v>
      </c>
      <c r="E423" t="s">
        <v>136</v>
      </c>
      <c r="F423" t="s">
        <v>24</v>
      </c>
      <c r="G423" t="s">
        <v>18</v>
      </c>
      <c r="H423" t="s">
        <v>120</v>
      </c>
      <c r="I423" t="s">
        <v>60</v>
      </c>
      <c r="J423">
        <v>5</v>
      </c>
      <c r="K423">
        <v>391</v>
      </c>
      <c r="L423">
        <v>1955</v>
      </c>
      <c r="M423">
        <v>38</v>
      </c>
      <c r="N423" t="s">
        <v>21</v>
      </c>
      <c r="O423">
        <v>3.8</v>
      </c>
      <c r="P423" s="2">
        <f>EOMONTH(Table1[[#This Row],[Order_Date]],0)</f>
        <v>45382</v>
      </c>
      <c r="Q423" s="3">
        <f>WEEKNUM(Table1[[#This Row],[Order_Date]])</f>
        <v>12</v>
      </c>
      <c r="R423">
        <f>YEAR(Table1[[#This Row],[Order_Date]])</f>
        <v>2024</v>
      </c>
      <c r="S423" t="str">
        <f>IF(Table1[[#This Row],[Quantity]]&gt;=3,"Promo","Regular")</f>
        <v>Promo</v>
      </c>
    </row>
    <row r="424" spans="1:19" x14ac:dyDescent="0.35">
      <c r="A424" t="s">
        <v>1932</v>
      </c>
      <c r="B424" t="s">
        <v>497</v>
      </c>
      <c r="C424" s="1">
        <v>45338</v>
      </c>
      <c r="D424" t="s">
        <v>15</v>
      </c>
      <c r="E424" t="s">
        <v>23</v>
      </c>
      <c r="F424" t="s">
        <v>65</v>
      </c>
      <c r="G424" t="s">
        <v>73</v>
      </c>
      <c r="H424" t="s">
        <v>59</v>
      </c>
      <c r="I424" t="s">
        <v>60</v>
      </c>
      <c r="J424">
        <v>1</v>
      </c>
      <c r="K424">
        <v>490</v>
      </c>
      <c r="L424">
        <v>490</v>
      </c>
      <c r="M424">
        <v>39</v>
      </c>
      <c r="N424" t="s">
        <v>38</v>
      </c>
      <c r="O424">
        <v>3.8</v>
      </c>
      <c r="P424" s="2">
        <f>EOMONTH(Table1[[#This Row],[Order_Date]],0)</f>
        <v>45351</v>
      </c>
      <c r="Q424" s="3">
        <f>WEEKNUM(Table1[[#This Row],[Order_Date]])</f>
        <v>7</v>
      </c>
      <c r="R424">
        <f>YEAR(Table1[[#This Row],[Order_Date]])</f>
        <v>2024</v>
      </c>
      <c r="S424" t="str">
        <f>IF(Table1[[#This Row],[Quantity]]&gt;=3,"Promo","Regular")</f>
        <v>Regular</v>
      </c>
    </row>
    <row r="425" spans="1:19" x14ac:dyDescent="0.35">
      <c r="A425" t="s">
        <v>1932</v>
      </c>
      <c r="B425" t="s">
        <v>498</v>
      </c>
      <c r="C425" s="1">
        <v>45520</v>
      </c>
      <c r="D425" t="s">
        <v>43</v>
      </c>
      <c r="E425" t="s">
        <v>44</v>
      </c>
      <c r="F425" t="s">
        <v>85</v>
      </c>
      <c r="G425" t="s">
        <v>46</v>
      </c>
      <c r="H425" t="s">
        <v>55</v>
      </c>
      <c r="I425" t="s">
        <v>20</v>
      </c>
      <c r="J425">
        <v>3</v>
      </c>
      <c r="K425">
        <v>308</v>
      </c>
      <c r="L425">
        <v>924</v>
      </c>
      <c r="M425">
        <v>52</v>
      </c>
      <c r="N425" t="s">
        <v>21</v>
      </c>
      <c r="O425">
        <v>4.4000000000000004</v>
      </c>
      <c r="P425" s="2">
        <f>EOMONTH(Table1[[#This Row],[Order_Date]],0)</f>
        <v>45535</v>
      </c>
      <c r="Q425" s="3">
        <f>WEEKNUM(Table1[[#This Row],[Order_Date]])</f>
        <v>33</v>
      </c>
      <c r="R425">
        <f>YEAR(Table1[[#This Row],[Order_Date]])</f>
        <v>2024</v>
      </c>
      <c r="S425" t="str">
        <f>IF(Table1[[#This Row],[Quantity]]&gt;=3,"Promo","Regular")</f>
        <v>Promo</v>
      </c>
    </row>
    <row r="426" spans="1:19" x14ac:dyDescent="0.35">
      <c r="A426" t="s">
        <v>1932</v>
      </c>
      <c r="B426" t="s">
        <v>499</v>
      </c>
      <c r="C426" s="1">
        <v>45477</v>
      </c>
      <c r="D426" t="s">
        <v>43</v>
      </c>
      <c r="E426" t="s">
        <v>82</v>
      </c>
      <c r="F426" t="s">
        <v>24</v>
      </c>
      <c r="G426" t="s">
        <v>18</v>
      </c>
      <c r="H426" t="s">
        <v>66</v>
      </c>
      <c r="I426" t="s">
        <v>20</v>
      </c>
      <c r="J426">
        <v>5</v>
      </c>
      <c r="K426">
        <v>402</v>
      </c>
      <c r="L426">
        <v>2010</v>
      </c>
      <c r="M426">
        <v>57</v>
      </c>
      <c r="N426" t="s">
        <v>38</v>
      </c>
      <c r="O426">
        <v>4.9000000000000004</v>
      </c>
      <c r="P426" s="2">
        <f>EOMONTH(Table1[[#This Row],[Order_Date]],0)</f>
        <v>45504</v>
      </c>
      <c r="Q426" s="3">
        <f>WEEKNUM(Table1[[#This Row],[Order_Date]])</f>
        <v>27</v>
      </c>
      <c r="R426">
        <f>YEAR(Table1[[#This Row],[Order_Date]])</f>
        <v>2024</v>
      </c>
      <c r="S426" t="str">
        <f>IF(Table1[[#This Row],[Quantity]]&gt;=3,"Promo","Regular")</f>
        <v>Promo</v>
      </c>
    </row>
    <row r="427" spans="1:19" x14ac:dyDescent="0.35">
      <c r="A427" t="s">
        <v>1932</v>
      </c>
      <c r="B427" t="s">
        <v>500</v>
      </c>
      <c r="C427" s="1">
        <v>45415</v>
      </c>
      <c r="D427" t="s">
        <v>57</v>
      </c>
      <c r="E427" t="s">
        <v>105</v>
      </c>
      <c r="F427" t="s">
        <v>72</v>
      </c>
      <c r="G427" t="s">
        <v>18</v>
      </c>
      <c r="H427" t="s">
        <v>120</v>
      </c>
      <c r="I427" t="s">
        <v>60</v>
      </c>
      <c r="J427">
        <v>5</v>
      </c>
      <c r="K427">
        <v>162</v>
      </c>
      <c r="L427">
        <v>810</v>
      </c>
      <c r="M427">
        <v>46</v>
      </c>
      <c r="N427" t="s">
        <v>38</v>
      </c>
      <c r="O427">
        <v>3.3</v>
      </c>
      <c r="P427" s="2">
        <f>EOMONTH(Table1[[#This Row],[Order_Date]],0)</f>
        <v>45443</v>
      </c>
      <c r="Q427" s="3">
        <f>WEEKNUM(Table1[[#This Row],[Order_Date]])</f>
        <v>18</v>
      </c>
      <c r="R427">
        <f>YEAR(Table1[[#This Row],[Order_Date]])</f>
        <v>2024</v>
      </c>
      <c r="S427" t="str">
        <f>IF(Table1[[#This Row],[Quantity]]&gt;=3,"Promo","Regular")</f>
        <v>Promo</v>
      </c>
    </row>
    <row r="428" spans="1:19" x14ac:dyDescent="0.35">
      <c r="A428" t="s">
        <v>1932</v>
      </c>
      <c r="B428" t="s">
        <v>501</v>
      </c>
      <c r="C428" s="1">
        <v>45517</v>
      </c>
      <c r="D428" t="s">
        <v>15</v>
      </c>
      <c r="E428" t="s">
        <v>95</v>
      </c>
      <c r="F428" t="s">
        <v>24</v>
      </c>
      <c r="G428" t="s">
        <v>25</v>
      </c>
      <c r="H428" t="s">
        <v>66</v>
      </c>
      <c r="I428" t="s">
        <v>20</v>
      </c>
      <c r="J428">
        <v>5</v>
      </c>
      <c r="K428">
        <v>321</v>
      </c>
      <c r="L428">
        <v>1605</v>
      </c>
      <c r="M428">
        <v>55</v>
      </c>
      <c r="N428" t="s">
        <v>21</v>
      </c>
      <c r="O428">
        <v>3.7</v>
      </c>
      <c r="P428" s="2">
        <f>EOMONTH(Table1[[#This Row],[Order_Date]],0)</f>
        <v>45535</v>
      </c>
      <c r="Q428" s="3">
        <f>WEEKNUM(Table1[[#This Row],[Order_Date]])</f>
        <v>33</v>
      </c>
      <c r="R428">
        <f>YEAR(Table1[[#This Row],[Order_Date]])</f>
        <v>2024</v>
      </c>
      <c r="S428" t="str">
        <f>IF(Table1[[#This Row],[Quantity]]&gt;=3,"Promo","Regular")</f>
        <v>Promo</v>
      </c>
    </row>
    <row r="429" spans="1:19" x14ac:dyDescent="0.35">
      <c r="A429" t="s">
        <v>1933</v>
      </c>
      <c r="B429" t="s">
        <v>502</v>
      </c>
      <c r="C429" s="1">
        <v>45398</v>
      </c>
      <c r="D429" t="s">
        <v>57</v>
      </c>
      <c r="E429" t="s">
        <v>58</v>
      </c>
      <c r="F429" t="s">
        <v>41</v>
      </c>
      <c r="G429" t="s">
        <v>18</v>
      </c>
      <c r="H429" t="s">
        <v>120</v>
      </c>
      <c r="I429" t="s">
        <v>60</v>
      </c>
      <c r="J429">
        <v>1</v>
      </c>
      <c r="K429">
        <v>483</v>
      </c>
      <c r="L429">
        <v>483</v>
      </c>
      <c r="M429">
        <v>44</v>
      </c>
      <c r="N429" t="s">
        <v>21</v>
      </c>
      <c r="O429">
        <v>4.0999999999999996</v>
      </c>
      <c r="P429" s="2">
        <f>EOMONTH(Table1[[#This Row],[Order_Date]],0)</f>
        <v>45412</v>
      </c>
      <c r="Q429" s="3">
        <f>WEEKNUM(Table1[[#This Row],[Order_Date]])</f>
        <v>16</v>
      </c>
      <c r="R429">
        <f>YEAR(Table1[[#This Row],[Order_Date]])</f>
        <v>2024</v>
      </c>
      <c r="S429" t="str">
        <f>IF(Table1[[#This Row],[Quantity]]&gt;=3,"Promo","Regular")</f>
        <v>Regular</v>
      </c>
    </row>
    <row r="430" spans="1:19" x14ac:dyDescent="0.35">
      <c r="A430" t="s">
        <v>1933</v>
      </c>
      <c r="B430" t="s">
        <v>503</v>
      </c>
      <c r="C430" s="1">
        <v>45481</v>
      </c>
      <c r="D430" t="s">
        <v>57</v>
      </c>
      <c r="E430" t="s">
        <v>136</v>
      </c>
      <c r="F430" t="s">
        <v>72</v>
      </c>
      <c r="G430" t="s">
        <v>18</v>
      </c>
      <c r="H430" t="s">
        <v>59</v>
      </c>
      <c r="I430" t="s">
        <v>60</v>
      </c>
      <c r="J430">
        <v>3</v>
      </c>
      <c r="K430">
        <v>272</v>
      </c>
      <c r="L430">
        <v>816</v>
      </c>
      <c r="M430">
        <v>39</v>
      </c>
      <c r="N430" t="s">
        <v>33</v>
      </c>
      <c r="O430">
        <v>4.4000000000000004</v>
      </c>
      <c r="P430" s="2">
        <f>EOMONTH(Table1[[#This Row],[Order_Date]],0)</f>
        <v>45504</v>
      </c>
      <c r="Q430" s="3">
        <f>WEEKNUM(Table1[[#This Row],[Order_Date]])</f>
        <v>28</v>
      </c>
      <c r="R430">
        <f>YEAR(Table1[[#This Row],[Order_Date]])</f>
        <v>2024</v>
      </c>
      <c r="S430" t="str">
        <f>IF(Table1[[#This Row],[Quantity]]&gt;=3,"Promo","Regular")</f>
        <v>Promo</v>
      </c>
    </row>
    <row r="431" spans="1:19" x14ac:dyDescent="0.35">
      <c r="A431" t="s">
        <v>1933</v>
      </c>
      <c r="B431" t="s">
        <v>504</v>
      </c>
      <c r="C431" s="1">
        <v>45523</v>
      </c>
      <c r="D431" t="s">
        <v>28</v>
      </c>
      <c r="E431" t="s">
        <v>98</v>
      </c>
      <c r="F431" t="s">
        <v>45</v>
      </c>
      <c r="G431" t="s">
        <v>31</v>
      </c>
      <c r="H431" t="s">
        <v>55</v>
      </c>
      <c r="I431" t="s">
        <v>20</v>
      </c>
      <c r="J431">
        <v>5</v>
      </c>
      <c r="K431">
        <v>134</v>
      </c>
      <c r="L431">
        <v>670</v>
      </c>
      <c r="M431">
        <v>31</v>
      </c>
      <c r="N431" t="s">
        <v>33</v>
      </c>
      <c r="O431">
        <v>3.5</v>
      </c>
      <c r="P431" s="2">
        <f>EOMONTH(Table1[[#This Row],[Order_Date]],0)</f>
        <v>45535</v>
      </c>
      <c r="Q431" s="3">
        <f>WEEKNUM(Table1[[#This Row],[Order_Date]])</f>
        <v>34</v>
      </c>
      <c r="R431">
        <f>YEAR(Table1[[#This Row],[Order_Date]])</f>
        <v>2024</v>
      </c>
      <c r="S431" t="str">
        <f>IF(Table1[[#This Row],[Quantity]]&gt;=3,"Promo","Regular")</f>
        <v>Promo</v>
      </c>
    </row>
    <row r="432" spans="1:19" x14ac:dyDescent="0.35">
      <c r="A432" t="s">
        <v>1933</v>
      </c>
      <c r="B432" t="s">
        <v>505</v>
      </c>
      <c r="C432" s="1">
        <v>45417</v>
      </c>
      <c r="D432" t="s">
        <v>57</v>
      </c>
      <c r="E432" t="s">
        <v>105</v>
      </c>
      <c r="F432" t="s">
        <v>45</v>
      </c>
      <c r="G432" t="s">
        <v>73</v>
      </c>
      <c r="H432" t="s">
        <v>50</v>
      </c>
      <c r="I432" t="s">
        <v>20</v>
      </c>
      <c r="J432">
        <v>3</v>
      </c>
      <c r="K432">
        <v>263</v>
      </c>
      <c r="L432">
        <v>789</v>
      </c>
      <c r="M432">
        <v>31</v>
      </c>
      <c r="N432" t="s">
        <v>21</v>
      </c>
      <c r="O432">
        <v>4.9000000000000004</v>
      </c>
      <c r="P432" s="2">
        <f>EOMONTH(Table1[[#This Row],[Order_Date]],0)</f>
        <v>45443</v>
      </c>
      <c r="Q432" s="3">
        <f>WEEKNUM(Table1[[#This Row],[Order_Date]])</f>
        <v>19</v>
      </c>
      <c r="R432">
        <f>YEAR(Table1[[#This Row],[Order_Date]])</f>
        <v>2024</v>
      </c>
      <c r="S432" t="str">
        <f>IF(Table1[[#This Row],[Quantity]]&gt;=3,"Promo","Regular")</f>
        <v>Promo</v>
      </c>
    </row>
    <row r="433" spans="1:19" x14ac:dyDescent="0.35">
      <c r="A433" t="s">
        <v>1934</v>
      </c>
      <c r="B433" t="s">
        <v>506</v>
      </c>
      <c r="C433" s="1">
        <v>45335</v>
      </c>
      <c r="D433" t="s">
        <v>15</v>
      </c>
      <c r="E433" t="s">
        <v>16</v>
      </c>
      <c r="F433" t="s">
        <v>72</v>
      </c>
      <c r="G433" t="s">
        <v>25</v>
      </c>
      <c r="H433" t="s">
        <v>66</v>
      </c>
      <c r="I433" t="s">
        <v>20</v>
      </c>
      <c r="J433">
        <v>2</v>
      </c>
      <c r="K433">
        <v>456</v>
      </c>
      <c r="L433">
        <v>912</v>
      </c>
      <c r="M433">
        <v>44</v>
      </c>
      <c r="N433" t="s">
        <v>33</v>
      </c>
      <c r="O433">
        <v>3.5</v>
      </c>
      <c r="P433" s="2">
        <f>EOMONTH(Table1[[#This Row],[Order_Date]],0)</f>
        <v>45351</v>
      </c>
      <c r="Q433" s="3">
        <f>WEEKNUM(Table1[[#This Row],[Order_Date]])</f>
        <v>7</v>
      </c>
      <c r="R433">
        <f>YEAR(Table1[[#This Row],[Order_Date]])</f>
        <v>2024</v>
      </c>
      <c r="S433" t="str">
        <f>IF(Table1[[#This Row],[Quantity]]&gt;=3,"Promo","Regular")</f>
        <v>Regular</v>
      </c>
    </row>
    <row r="434" spans="1:19" x14ac:dyDescent="0.35">
      <c r="A434" t="s">
        <v>1934</v>
      </c>
      <c r="B434" t="s">
        <v>507</v>
      </c>
      <c r="C434" s="1">
        <v>45444</v>
      </c>
      <c r="D434" t="s">
        <v>15</v>
      </c>
      <c r="E434" t="s">
        <v>95</v>
      </c>
      <c r="F434" t="s">
        <v>24</v>
      </c>
      <c r="G434" t="s">
        <v>46</v>
      </c>
      <c r="H434" t="s">
        <v>66</v>
      </c>
      <c r="I434" t="s">
        <v>20</v>
      </c>
      <c r="J434">
        <v>3</v>
      </c>
      <c r="K434">
        <v>104</v>
      </c>
      <c r="L434">
        <v>312</v>
      </c>
      <c r="M434">
        <v>35</v>
      </c>
      <c r="N434" t="s">
        <v>33</v>
      </c>
      <c r="O434">
        <v>4.3</v>
      </c>
      <c r="P434" s="2">
        <f>EOMONTH(Table1[[#This Row],[Order_Date]],0)</f>
        <v>45473</v>
      </c>
      <c r="Q434" s="3">
        <f>WEEKNUM(Table1[[#This Row],[Order_Date]])</f>
        <v>22</v>
      </c>
      <c r="R434">
        <f>YEAR(Table1[[#This Row],[Order_Date]])</f>
        <v>2024</v>
      </c>
      <c r="S434" t="str">
        <f>IF(Table1[[#This Row],[Quantity]]&gt;=3,"Promo","Regular")</f>
        <v>Promo</v>
      </c>
    </row>
    <row r="435" spans="1:19" x14ac:dyDescent="0.35">
      <c r="A435" t="s">
        <v>1935</v>
      </c>
      <c r="B435" t="s">
        <v>508</v>
      </c>
      <c r="C435" s="1">
        <v>45497</v>
      </c>
      <c r="D435" t="s">
        <v>15</v>
      </c>
      <c r="E435" t="s">
        <v>103</v>
      </c>
      <c r="F435" t="s">
        <v>45</v>
      </c>
      <c r="G435" t="s">
        <v>31</v>
      </c>
      <c r="H435" t="s">
        <v>19</v>
      </c>
      <c r="I435" t="s">
        <v>20</v>
      </c>
      <c r="J435">
        <v>1</v>
      </c>
      <c r="K435">
        <v>103</v>
      </c>
      <c r="L435">
        <v>103</v>
      </c>
      <c r="M435">
        <v>42</v>
      </c>
      <c r="N435" t="s">
        <v>38</v>
      </c>
      <c r="O435">
        <v>3.3</v>
      </c>
      <c r="P435" s="2">
        <f>EOMONTH(Table1[[#This Row],[Order_Date]],0)</f>
        <v>45504</v>
      </c>
      <c r="Q435" s="3">
        <f>WEEKNUM(Table1[[#This Row],[Order_Date]])</f>
        <v>30</v>
      </c>
      <c r="R435">
        <f>YEAR(Table1[[#This Row],[Order_Date]])</f>
        <v>2024</v>
      </c>
      <c r="S435" t="str">
        <f>IF(Table1[[#This Row],[Quantity]]&gt;=3,"Promo","Regular")</f>
        <v>Regular</v>
      </c>
    </row>
    <row r="436" spans="1:19" x14ac:dyDescent="0.35">
      <c r="A436" t="s">
        <v>1935</v>
      </c>
      <c r="B436" t="s">
        <v>509</v>
      </c>
      <c r="C436" s="1">
        <v>45582</v>
      </c>
      <c r="D436" t="s">
        <v>57</v>
      </c>
      <c r="E436" t="s">
        <v>75</v>
      </c>
      <c r="F436" t="s">
        <v>35</v>
      </c>
      <c r="G436" t="s">
        <v>46</v>
      </c>
      <c r="H436" t="s">
        <v>53</v>
      </c>
      <c r="I436" t="s">
        <v>20</v>
      </c>
      <c r="J436">
        <v>1</v>
      </c>
      <c r="K436">
        <v>164</v>
      </c>
      <c r="L436">
        <v>164</v>
      </c>
      <c r="M436">
        <v>46</v>
      </c>
      <c r="N436" t="s">
        <v>38</v>
      </c>
      <c r="O436">
        <v>3.4</v>
      </c>
      <c r="P436" s="2">
        <f>EOMONTH(Table1[[#This Row],[Order_Date]],0)</f>
        <v>45596</v>
      </c>
      <c r="Q436" s="3">
        <f>WEEKNUM(Table1[[#This Row],[Order_Date]])</f>
        <v>42</v>
      </c>
      <c r="R436">
        <f>YEAR(Table1[[#This Row],[Order_Date]])</f>
        <v>2024</v>
      </c>
      <c r="S436" t="str">
        <f>IF(Table1[[#This Row],[Quantity]]&gt;=3,"Promo","Regular")</f>
        <v>Regular</v>
      </c>
    </row>
    <row r="437" spans="1:19" x14ac:dyDescent="0.35">
      <c r="A437" t="s">
        <v>1935</v>
      </c>
      <c r="B437" t="s">
        <v>510</v>
      </c>
      <c r="C437" s="1">
        <v>45588</v>
      </c>
      <c r="D437" t="s">
        <v>48</v>
      </c>
      <c r="E437" t="s">
        <v>64</v>
      </c>
      <c r="F437" t="s">
        <v>17</v>
      </c>
      <c r="G437" t="s">
        <v>36</v>
      </c>
      <c r="H437" t="s">
        <v>120</v>
      </c>
      <c r="I437" t="s">
        <v>60</v>
      </c>
      <c r="J437">
        <v>1</v>
      </c>
      <c r="K437">
        <v>277</v>
      </c>
      <c r="L437">
        <v>277</v>
      </c>
      <c r="M437">
        <v>20</v>
      </c>
      <c r="N437" t="s">
        <v>38</v>
      </c>
      <c r="O437">
        <v>3.5</v>
      </c>
      <c r="P437" s="2">
        <f>EOMONTH(Table1[[#This Row],[Order_Date]],0)</f>
        <v>45596</v>
      </c>
      <c r="Q437" s="3">
        <f>WEEKNUM(Table1[[#This Row],[Order_Date]])</f>
        <v>43</v>
      </c>
      <c r="R437">
        <f>YEAR(Table1[[#This Row],[Order_Date]])</f>
        <v>2024</v>
      </c>
      <c r="S437" t="str">
        <f>IF(Table1[[#This Row],[Quantity]]&gt;=3,"Promo","Regular")</f>
        <v>Regular</v>
      </c>
    </row>
    <row r="438" spans="1:19" x14ac:dyDescent="0.35">
      <c r="A438" t="s">
        <v>1936</v>
      </c>
      <c r="B438" t="s">
        <v>511</v>
      </c>
      <c r="C438" s="1">
        <v>45491</v>
      </c>
      <c r="D438" t="s">
        <v>57</v>
      </c>
      <c r="E438" t="s">
        <v>105</v>
      </c>
      <c r="F438" t="s">
        <v>65</v>
      </c>
      <c r="G438" t="s">
        <v>31</v>
      </c>
      <c r="H438" t="s">
        <v>120</v>
      </c>
      <c r="I438" t="s">
        <v>60</v>
      </c>
      <c r="J438">
        <v>5</v>
      </c>
      <c r="K438">
        <v>254</v>
      </c>
      <c r="L438">
        <v>1270</v>
      </c>
      <c r="M438">
        <v>29</v>
      </c>
      <c r="N438" t="s">
        <v>21</v>
      </c>
      <c r="O438">
        <v>4.2</v>
      </c>
      <c r="P438" s="2">
        <f>EOMONTH(Table1[[#This Row],[Order_Date]],0)</f>
        <v>45504</v>
      </c>
      <c r="Q438" s="3">
        <f>WEEKNUM(Table1[[#This Row],[Order_Date]])</f>
        <v>29</v>
      </c>
      <c r="R438">
        <f>YEAR(Table1[[#This Row],[Order_Date]])</f>
        <v>2024</v>
      </c>
      <c r="S438" t="str">
        <f>IF(Table1[[#This Row],[Quantity]]&gt;=3,"Promo","Regular")</f>
        <v>Promo</v>
      </c>
    </row>
    <row r="439" spans="1:19" x14ac:dyDescent="0.35">
      <c r="A439" t="s">
        <v>1936</v>
      </c>
      <c r="B439" t="s">
        <v>512</v>
      </c>
      <c r="C439" s="1">
        <v>45403</v>
      </c>
      <c r="D439" t="s">
        <v>15</v>
      </c>
      <c r="E439" t="s">
        <v>112</v>
      </c>
      <c r="F439" t="s">
        <v>45</v>
      </c>
      <c r="G439" t="s">
        <v>31</v>
      </c>
      <c r="H439" t="s">
        <v>50</v>
      </c>
      <c r="I439" t="s">
        <v>20</v>
      </c>
      <c r="J439">
        <v>1</v>
      </c>
      <c r="K439">
        <v>326</v>
      </c>
      <c r="L439">
        <v>326</v>
      </c>
      <c r="M439">
        <v>26</v>
      </c>
      <c r="N439" t="s">
        <v>38</v>
      </c>
      <c r="O439">
        <v>4.7</v>
      </c>
      <c r="P439" s="2">
        <f>EOMONTH(Table1[[#This Row],[Order_Date]],0)</f>
        <v>45412</v>
      </c>
      <c r="Q439" s="3">
        <f>WEEKNUM(Table1[[#This Row],[Order_Date]])</f>
        <v>17</v>
      </c>
      <c r="R439">
        <f>YEAR(Table1[[#This Row],[Order_Date]])</f>
        <v>2024</v>
      </c>
      <c r="S439" t="str">
        <f>IF(Table1[[#This Row],[Quantity]]&gt;=3,"Promo","Regular")</f>
        <v>Regular</v>
      </c>
    </row>
    <row r="440" spans="1:19" x14ac:dyDescent="0.35">
      <c r="A440" t="s">
        <v>1936</v>
      </c>
      <c r="B440" t="s">
        <v>513</v>
      </c>
      <c r="C440" s="1">
        <v>45390</v>
      </c>
      <c r="D440" t="s">
        <v>28</v>
      </c>
      <c r="E440" t="s">
        <v>71</v>
      </c>
      <c r="F440" t="s">
        <v>72</v>
      </c>
      <c r="G440" t="s">
        <v>73</v>
      </c>
      <c r="H440" t="s">
        <v>50</v>
      </c>
      <c r="I440" t="s">
        <v>20</v>
      </c>
      <c r="J440">
        <v>1</v>
      </c>
      <c r="K440">
        <v>391</v>
      </c>
      <c r="L440">
        <v>391</v>
      </c>
      <c r="M440">
        <v>41</v>
      </c>
      <c r="N440" t="s">
        <v>38</v>
      </c>
      <c r="O440">
        <v>4.5</v>
      </c>
      <c r="P440" s="2">
        <f>EOMONTH(Table1[[#This Row],[Order_Date]],0)</f>
        <v>45412</v>
      </c>
      <c r="Q440" s="3">
        <f>WEEKNUM(Table1[[#This Row],[Order_Date]])</f>
        <v>15</v>
      </c>
      <c r="R440">
        <f>YEAR(Table1[[#This Row],[Order_Date]])</f>
        <v>2024</v>
      </c>
      <c r="S440" t="str">
        <f>IF(Table1[[#This Row],[Quantity]]&gt;=3,"Promo","Regular")</f>
        <v>Regular</v>
      </c>
    </row>
    <row r="441" spans="1:19" x14ac:dyDescent="0.35">
      <c r="A441" t="s">
        <v>1937</v>
      </c>
      <c r="B441" t="s">
        <v>514</v>
      </c>
      <c r="C441" s="1">
        <v>45341</v>
      </c>
      <c r="D441" t="s">
        <v>28</v>
      </c>
      <c r="E441" t="s">
        <v>40</v>
      </c>
      <c r="F441" t="s">
        <v>24</v>
      </c>
      <c r="G441" t="s">
        <v>36</v>
      </c>
      <c r="H441" t="s">
        <v>37</v>
      </c>
      <c r="I441" t="s">
        <v>20</v>
      </c>
      <c r="J441">
        <v>2</v>
      </c>
      <c r="K441">
        <v>485</v>
      </c>
      <c r="L441">
        <v>970</v>
      </c>
      <c r="M441">
        <v>51</v>
      </c>
      <c r="N441" t="s">
        <v>21</v>
      </c>
      <c r="O441">
        <v>3.1</v>
      </c>
      <c r="P441" s="2">
        <f>EOMONTH(Table1[[#This Row],[Order_Date]],0)</f>
        <v>45351</v>
      </c>
      <c r="Q441" s="3">
        <f>WEEKNUM(Table1[[#This Row],[Order_Date]])</f>
        <v>8</v>
      </c>
      <c r="R441">
        <f>YEAR(Table1[[#This Row],[Order_Date]])</f>
        <v>2024</v>
      </c>
      <c r="S441" t="str">
        <f>IF(Table1[[#This Row],[Quantity]]&gt;=3,"Promo","Regular")</f>
        <v>Regular</v>
      </c>
    </row>
    <row r="442" spans="1:19" x14ac:dyDescent="0.35">
      <c r="A442" t="s">
        <v>1937</v>
      </c>
      <c r="B442" t="s">
        <v>515</v>
      </c>
      <c r="C442" s="1">
        <v>45338</v>
      </c>
      <c r="D442" t="s">
        <v>43</v>
      </c>
      <c r="E442" t="s">
        <v>93</v>
      </c>
      <c r="F442" t="s">
        <v>30</v>
      </c>
      <c r="G442" t="s">
        <v>18</v>
      </c>
      <c r="H442" t="s">
        <v>37</v>
      </c>
      <c r="I442" t="s">
        <v>20</v>
      </c>
      <c r="J442">
        <v>1</v>
      </c>
      <c r="K442">
        <v>321</v>
      </c>
      <c r="L442">
        <v>321</v>
      </c>
      <c r="M442">
        <v>33</v>
      </c>
      <c r="N442" t="s">
        <v>33</v>
      </c>
      <c r="O442">
        <v>4.9000000000000004</v>
      </c>
      <c r="P442" s="2">
        <f>EOMONTH(Table1[[#This Row],[Order_Date]],0)</f>
        <v>45351</v>
      </c>
      <c r="Q442" s="3">
        <f>WEEKNUM(Table1[[#This Row],[Order_Date]])</f>
        <v>7</v>
      </c>
      <c r="R442">
        <f>YEAR(Table1[[#This Row],[Order_Date]])</f>
        <v>2024</v>
      </c>
      <c r="S442" t="str">
        <f>IF(Table1[[#This Row],[Quantity]]&gt;=3,"Promo","Regular")</f>
        <v>Regular</v>
      </c>
    </row>
    <row r="443" spans="1:19" x14ac:dyDescent="0.35">
      <c r="A443" t="s">
        <v>1938</v>
      </c>
      <c r="B443" t="s">
        <v>516</v>
      </c>
      <c r="C443" s="1">
        <v>45547</v>
      </c>
      <c r="D443" t="s">
        <v>57</v>
      </c>
      <c r="E443" t="s">
        <v>75</v>
      </c>
      <c r="F443" t="s">
        <v>65</v>
      </c>
      <c r="G443" t="s">
        <v>36</v>
      </c>
      <c r="H443" t="s">
        <v>66</v>
      </c>
      <c r="I443" t="s">
        <v>20</v>
      </c>
      <c r="J443">
        <v>2</v>
      </c>
      <c r="K443">
        <v>205</v>
      </c>
      <c r="L443">
        <v>410</v>
      </c>
      <c r="M443">
        <v>36</v>
      </c>
      <c r="N443" t="s">
        <v>21</v>
      </c>
      <c r="O443">
        <v>4.3</v>
      </c>
      <c r="P443" s="2">
        <f>EOMONTH(Table1[[#This Row],[Order_Date]],0)</f>
        <v>45565</v>
      </c>
      <c r="Q443" s="3">
        <f>WEEKNUM(Table1[[#This Row],[Order_Date]])</f>
        <v>37</v>
      </c>
      <c r="R443">
        <f>YEAR(Table1[[#This Row],[Order_Date]])</f>
        <v>2024</v>
      </c>
      <c r="S443" t="str">
        <f>IF(Table1[[#This Row],[Quantity]]&gt;=3,"Promo","Regular")</f>
        <v>Regular</v>
      </c>
    </row>
    <row r="444" spans="1:19" x14ac:dyDescent="0.35">
      <c r="A444" t="s">
        <v>1938</v>
      </c>
      <c r="B444" t="s">
        <v>517</v>
      </c>
      <c r="C444" s="1">
        <v>45591</v>
      </c>
      <c r="D444" t="s">
        <v>28</v>
      </c>
      <c r="E444" t="s">
        <v>77</v>
      </c>
      <c r="F444" t="s">
        <v>69</v>
      </c>
      <c r="G444" t="s">
        <v>18</v>
      </c>
      <c r="H444" t="s">
        <v>26</v>
      </c>
      <c r="I444" t="s">
        <v>20</v>
      </c>
      <c r="J444">
        <v>4</v>
      </c>
      <c r="K444">
        <v>295</v>
      </c>
      <c r="L444">
        <v>1180</v>
      </c>
      <c r="M444">
        <v>36</v>
      </c>
      <c r="N444" t="s">
        <v>21</v>
      </c>
      <c r="O444">
        <v>3.1</v>
      </c>
      <c r="P444" s="2">
        <f>EOMONTH(Table1[[#This Row],[Order_Date]],0)</f>
        <v>45596</v>
      </c>
      <c r="Q444" s="3">
        <f>WEEKNUM(Table1[[#This Row],[Order_Date]])</f>
        <v>43</v>
      </c>
      <c r="R444">
        <f>YEAR(Table1[[#This Row],[Order_Date]])</f>
        <v>2024</v>
      </c>
      <c r="S444" t="str">
        <f>IF(Table1[[#This Row],[Quantity]]&gt;=3,"Promo","Regular")</f>
        <v>Promo</v>
      </c>
    </row>
    <row r="445" spans="1:19" x14ac:dyDescent="0.35">
      <c r="A445" t="s">
        <v>1938</v>
      </c>
      <c r="B445" t="s">
        <v>518</v>
      </c>
      <c r="C445" s="1">
        <v>45504</v>
      </c>
      <c r="D445" t="s">
        <v>28</v>
      </c>
      <c r="E445" t="s">
        <v>77</v>
      </c>
      <c r="F445" t="s">
        <v>45</v>
      </c>
      <c r="G445" t="s">
        <v>46</v>
      </c>
      <c r="H445" t="s">
        <v>37</v>
      </c>
      <c r="I445" t="s">
        <v>20</v>
      </c>
      <c r="J445">
        <v>4</v>
      </c>
      <c r="K445">
        <v>133</v>
      </c>
      <c r="L445">
        <v>532</v>
      </c>
      <c r="M445">
        <v>58</v>
      </c>
      <c r="N445" t="s">
        <v>21</v>
      </c>
      <c r="O445">
        <v>3.3</v>
      </c>
      <c r="P445" s="2">
        <f>EOMONTH(Table1[[#This Row],[Order_Date]],0)</f>
        <v>45504</v>
      </c>
      <c r="Q445" s="3">
        <f>WEEKNUM(Table1[[#This Row],[Order_Date]])</f>
        <v>31</v>
      </c>
      <c r="R445">
        <f>YEAR(Table1[[#This Row],[Order_Date]])</f>
        <v>2024</v>
      </c>
      <c r="S445" t="str">
        <f>IF(Table1[[#This Row],[Quantity]]&gt;=3,"Promo","Regular")</f>
        <v>Promo</v>
      </c>
    </row>
    <row r="446" spans="1:19" x14ac:dyDescent="0.35">
      <c r="A446" t="s">
        <v>1938</v>
      </c>
      <c r="B446" t="s">
        <v>519</v>
      </c>
      <c r="C446" s="1">
        <v>45302</v>
      </c>
      <c r="D446" t="s">
        <v>57</v>
      </c>
      <c r="E446" t="s">
        <v>105</v>
      </c>
      <c r="F446" t="s">
        <v>45</v>
      </c>
      <c r="G446" t="s">
        <v>25</v>
      </c>
      <c r="H446" t="s">
        <v>37</v>
      </c>
      <c r="I446" t="s">
        <v>20</v>
      </c>
      <c r="J446">
        <v>2</v>
      </c>
      <c r="K446">
        <v>323</v>
      </c>
      <c r="L446">
        <v>646</v>
      </c>
      <c r="M446">
        <v>35</v>
      </c>
      <c r="N446" t="s">
        <v>21</v>
      </c>
      <c r="O446">
        <v>4.8</v>
      </c>
      <c r="P446" s="2">
        <f>EOMONTH(Table1[[#This Row],[Order_Date]],0)</f>
        <v>45322</v>
      </c>
      <c r="Q446" s="3">
        <f>WEEKNUM(Table1[[#This Row],[Order_Date]])</f>
        <v>2</v>
      </c>
      <c r="R446">
        <f>YEAR(Table1[[#This Row],[Order_Date]])</f>
        <v>2024</v>
      </c>
      <c r="S446" t="str">
        <f>IF(Table1[[#This Row],[Quantity]]&gt;=3,"Promo","Regular")</f>
        <v>Regular</v>
      </c>
    </row>
    <row r="447" spans="1:19" x14ac:dyDescent="0.35">
      <c r="A447" t="s">
        <v>1939</v>
      </c>
      <c r="B447" t="s">
        <v>520</v>
      </c>
      <c r="C447" s="1">
        <v>45554</v>
      </c>
      <c r="D447" t="s">
        <v>15</v>
      </c>
      <c r="E447" t="s">
        <v>95</v>
      </c>
      <c r="F447" t="s">
        <v>65</v>
      </c>
      <c r="G447" t="s">
        <v>46</v>
      </c>
      <c r="H447" t="s">
        <v>59</v>
      </c>
      <c r="I447" t="s">
        <v>60</v>
      </c>
      <c r="J447">
        <v>5</v>
      </c>
      <c r="K447">
        <v>169</v>
      </c>
      <c r="L447">
        <v>845</v>
      </c>
      <c r="M447">
        <v>60</v>
      </c>
      <c r="N447" t="s">
        <v>38</v>
      </c>
      <c r="O447">
        <v>4.2</v>
      </c>
      <c r="P447" s="2">
        <f>EOMONTH(Table1[[#This Row],[Order_Date]],0)</f>
        <v>45565</v>
      </c>
      <c r="Q447" s="3">
        <f>WEEKNUM(Table1[[#This Row],[Order_Date]])</f>
        <v>38</v>
      </c>
      <c r="R447">
        <f>YEAR(Table1[[#This Row],[Order_Date]])</f>
        <v>2024</v>
      </c>
      <c r="S447" t="str">
        <f>IF(Table1[[#This Row],[Quantity]]&gt;=3,"Promo","Regular")</f>
        <v>Promo</v>
      </c>
    </row>
    <row r="448" spans="1:19" x14ac:dyDescent="0.35">
      <c r="A448" t="s">
        <v>1939</v>
      </c>
      <c r="B448" t="s">
        <v>521</v>
      </c>
      <c r="C448" s="1">
        <v>45378</v>
      </c>
      <c r="D448" t="s">
        <v>28</v>
      </c>
      <c r="E448" t="s">
        <v>77</v>
      </c>
      <c r="F448" t="s">
        <v>30</v>
      </c>
      <c r="G448" t="s">
        <v>18</v>
      </c>
      <c r="H448" t="s">
        <v>50</v>
      </c>
      <c r="I448" t="s">
        <v>20</v>
      </c>
      <c r="J448">
        <v>3</v>
      </c>
      <c r="K448">
        <v>105</v>
      </c>
      <c r="L448">
        <v>315</v>
      </c>
      <c r="M448">
        <v>24</v>
      </c>
      <c r="N448" t="s">
        <v>21</v>
      </c>
      <c r="O448">
        <v>4.5</v>
      </c>
      <c r="P448" s="2">
        <f>EOMONTH(Table1[[#This Row],[Order_Date]],0)</f>
        <v>45382</v>
      </c>
      <c r="Q448" s="3">
        <f>WEEKNUM(Table1[[#This Row],[Order_Date]])</f>
        <v>13</v>
      </c>
      <c r="R448">
        <f>YEAR(Table1[[#This Row],[Order_Date]])</f>
        <v>2024</v>
      </c>
      <c r="S448" t="str">
        <f>IF(Table1[[#This Row],[Quantity]]&gt;=3,"Promo","Regular")</f>
        <v>Promo</v>
      </c>
    </row>
    <row r="449" spans="1:19" x14ac:dyDescent="0.35">
      <c r="A449" t="s">
        <v>1939</v>
      </c>
      <c r="B449" t="s">
        <v>522</v>
      </c>
      <c r="C449" s="1">
        <v>45391</v>
      </c>
      <c r="D449" t="s">
        <v>57</v>
      </c>
      <c r="E449" t="s">
        <v>105</v>
      </c>
      <c r="F449" t="s">
        <v>72</v>
      </c>
      <c r="G449" t="s">
        <v>25</v>
      </c>
      <c r="H449" t="s">
        <v>26</v>
      </c>
      <c r="I449" t="s">
        <v>20</v>
      </c>
      <c r="J449">
        <v>2</v>
      </c>
      <c r="K449">
        <v>356</v>
      </c>
      <c r="L449">
        <v>712</v>
      </c>
      <c r="M449">
        <v>45</v>
      </c>
      <c r="N449" t="s">
        <v>38</v>
      </c>
      <c r="O449">
        <v>3.3</v>
      </c>
      <c r="P449" s="2">
        <f>EOMONTH(Table1[[#This Row],[Order_Date]],0)</f>
        <v>45412</v>
      </c>
      <c r="Q449" s="3">
        <f>WEEKNUM(Table1[[#This Row],[Order_Date]])</f>
        <v>15</v>
      </c>
      <c r="R449">
        <f>YEAR(Table1[[#This Row],[Order_Date]])</f>
        <v>2024</v>
      </c>
      <c r="S449" t="str">
        <f>IF(Table1[[#This Row],[Quantity]]&gt;=3,"Promo","Regular")</f>
        <v>Regular</v>
      </c>
    </row>
    <row r="450" spans="1:19" x14ac:dyDescent="0.35">
      <c r="A450" t="s">
        <v>1939</v>
      </c>
      <c r="B450" t="s">
        <v>523</v>
      </c>
      <c r="C450" s="1">
        <v>45311</v>
      </c>
      <c r="D450" t="s">
        <v>15</v>
      </c>
      <c r="E450" t="s">
        <v>103</v>
      </c>
      <c r="F450" t="s">
        <v>72</v>
      </c>
      <c r="G450" t="s">
        <v>36</v>
      </c>
      <c r="H450" t="s">
        <v>32</v>
      </c>
      <c r="I450" t="s">
        <v>20</v>
      </c>
      <c r="J450">
        <v>3</v>
      </c>
      <c r="K450">
        <v>224</v>
      </c>
      <c r="L450">
        <v>672</v>
      </c>
      <c r="M450">
        <v>22</v>
      </c>
      <c r="N450" t="s">
        <v>38</v>
      </c>
      <c r="O450">
        <v>4.3</v>
      </c>
      <c r="P450" s="2">
        <f>EOMONTH(Table1[[#This Row],[Order_Date]],0)</f>
        <v>45322</v>
      </c>
      <c r="Q450" s="3">
        <f>WEEKNUM(Table1[[#This Row],[Order_Date]])</f>
        <v>3</v>
      </c>
      <c r="R450">
        <f>YEAR(Table1[[#This Row],[Order_Date]])</f>
        <v>2024</v>
      </c>
      <c r="S450" t="str">
        <f>IF(Table1[[#This Row],[Quantity]]&gt;=3,"Promo","Regular")</f>
        <v>Promo</v>
      </c>
    </row>
    <row r="451" spans="1:19" x14ac:dyDescent="0.35">
      <c r="A451" t="s">
        <v>1940</v>
      </c>
      <c r="B451" t="s">
        <v>524</v>
      </c>
      <c r="C451" s="1">
        <v>45470</v>
      </c>
      <c r="D451" t="s">
        <v>57</v>
      </c>
      <c r="E451" t="s">
        <v>105</v>
      </c>
      <c r="F451" t="s">
        <v>69</v>
      </c>
      <c r="G451" t="s">
        <v>36</v>
      </c>
      <c r="H451" t="s">
        <v>59</v>
      </c>
      <c r="I451" t="s">
        <v>60</v>
      </c>
      <c r="J451">
        <v>2</v>
      </c>
      <c r="K451">
        <v>239</v>
      </c>
      <c r="L451">
        <v>478</v>
      </c>
      <c r="M451">
        <v>26</v>
      </c>
      <c r="N451" t="s">
        <v>21</v>
      </c>
      <c r="O451">
        <v>4.9000000000000004</v>
      </c>
      <c r="P451" s="2">
        <f>EOMONTH(Table1[[#This Row],[Order_Date]],0)</f>
        <v>45473</v>
      </c>
      <c r="Q451" s="3">
        <f>WEEKNUM(Table1[[#This Row],[Order_Date]])</f>
        <v>26</v>
      </c>
      <c r="R451">
        <f>YEAR(Table1[[#This Row],[Order_Date]])</f>
        <v>2024</v>
      </c>
      <c r="S451" t="str">
        <f>IF(Table1[[#This Row],[Quantity]]&gt;=3,"Promo","Regular")</f>
        <v>Regular</v>
      </c>
    </row>
    <row r="452" spans="1:19" x14ac:dyDescent="0.35">
      <c r="A452" t="s">
        <v>1940</v>
      </c>
      <c r="B452" t="s">
        <v>525</v>
      </c>
      <c r="C452" s="1">
        <v>45533</v>
      </c>
      <c r="D452" t="s">
        <v>15</v>
      </c>
      <c r="E452" t="s">
        <v>103</v>
      </c>
      <c r="F452" t="s">
        <v>30</v>
      </c>
      <c r="G452" t="s">
        <v>18</v>
      </c>
      <c r="H452" t="s">
        <v>19</v>
      </c>
      <c r="I452" t="s">
        <v>20</v>
      </c>
      <c r="J452">
        <v>5</v>
      </c>
      <c r="K452">
        <v>303</v>
      </c>
      <c r="L452">
        <v>1515</v>
      </c>
      <c r="M452">
        <v>43</v>
      </c>
      <c r="N452" t="s">
        <v>33</v>
      </c>
      <c r="O452">
        <v>3.1</v>
      </c>
      <c r="P452" s="2">
        <f>EOMONTH(Table1[[#This Row],[Order_Date]],0)</f>
        <v>45535</v>
      </c>
      <c r="Q452" s="3">
        <f>WEEKNUM(Table1[[#This Row],[Order_Date]])</f>
        <v>35</v>
      </c>
      <c r="R452">
        <f>YEAR(Table1[[#This Row],[Order_Date]])</f>
        <v>2024</v>
      </c>
      <c r="S452" t="str">
        <f>IF(Table1[[#This Row],[Quantity]]&gt;=3,"Promo","Regular")</f>
        <v>Promo</v>
      </c>
    </row>
    <row r="453" spans="1:19" x14ac:dyDescent="0.35">
      <c r="A453" t="s">
        <v>1940</v>
      </c>
      <c r="B453" t="s">
        <v>526</v>
      </c>
      <c r="C453" s="1">
        <v>45446</v>
      </c>
      <c r="D453" t="s">
        <v>15</v>
      </c>
      <c r="E453" t="s">
        <v>103</v>
      </c>
      <c r="F453" t="s">
        <v>65</v>
      </c>
      <c r="G453" t="s">
        <v>73</v>
      </c>
      <c r="H453" t="s">
        <v>53</v>
      </c>
      <c r="I453" t="s">
        <v>20</v>
      </c>
      <c r="J453">
        <v>3</v>
      </c>
      <c r="K453">
        <v>384</v>
      </c>
      <c r="L453">
        <v>1152</v>
      </c>
      <c r="M453">
        <v>38</v>
      </c>
      <c r="N453" t="s">
        <v>38</v>
      </c>
      <c r="O453">
        <v>3.3</v>
      </c>
      <c r="P453" s="2">
        <f>EOMONTH(Table1[[#This Row],[Order_Date]],0)</f>
        <v>45473</v>
      </c>
      <c r="Q453" s="3">
        <f>WEEKNUM(Table1[[#This Row],[Order_Date]])</f>
        <v>23</v>
      </c>
      <c r="R453">
        <f>YEAR(Table1[[#This Row],[Order_Date]])</f>
        <v>2024</v>
      </c>
      <c r="S453" t="str">
        <f>IF(Table1[[#This Row],[Quantity]]&gt;=3,"Promo","Regular")</f>
        <v>Promo</v>
      </c>
    </row>
    <row r="454" spans="1:19" x14ac:dyDescent="0.35">
      <c r="A454" t="s">
        <v>1940</v>
      </c>
      <c r="B454" t="s">
        <v>527</v>
      </c>
      <c r="C454" s="1">
        <v>45522</v>
      </c>
      <c r="D454" t="s">
        <v>43</v>
      </c>
      <c r="E454" t="s">
        <v>93</v>
      </c>
      <c r="F454" t="s">
        <v>17</v>
      </c>
      <c r="G454" t="s">
        <v>36</v>
      </c>
      <c r="H454" t="s">
        <v>19</v>
      </c>
      <c r="I454" t="s">
        <v>20</v>
      </c>
      <c r="J454">
        <v>4</v>
      </c>
      <c r="K454">
        <v>200</v>
      </c>
      <c r="L454">
        <v>800</v>
      </c>
      <c r="M454">
        <v>47</v>
      </c>
      <c r="N454" t="s">
        <v>21</v>
      </c>
      <c r="O454">
        <v>3</v>
      </c>
      <c r="P454" s="2">
        <f>EOMONTH(Table1[[#This Row],[Order_Date]],0)</f>
        <v>45535</v>
      </c>
      <c r="Q454" s="3">
        <f>WEEKNUM(Table1[[#This Row],[Order_Date]])</f>
        <v>34</v>
      </c>
      <c r="R454">
        <f>YEAR(Table1[[#This Row],[Order_Date]])</f>
        <v>2024</v>
      </c>
      <c r="S454" t="str">
        <f>IF(Table1[[#This Row],[Quantity]]&gt;=3,"Promo","Regular")</f>
        <v>Promo</v>
      </c>
    </row>
    <row r="455" spans="1:19" x14ac:dyDescent="0.35">
      <c r="A455" t="s">
        <v>1940</v>
      </c>
      <c r="B455" t="s">
        <v>528</v>
      </c>
      <c r="C455" s="1">
        <v>45557</v>
      </c>
      <c r="D455" t="s">
        <v>28</v>
      </c>
      <c r="E455" t="s">
        <v>98</v>
      </c>
      <c r="F455" t="s">
        <v>35</v>
      </c>
      <c r="G455" t="s">
        <v>36</v>
      </c>
      <c r="H455" t="s">
        <v>32</v>
      </c>
      <c r="I455" t="s">
        <v>20</v>
      </c>
      <c r="J455">
        <v>2</v>
      </c>
      <c r="K455">
        <v>161</v>
      </c>
      <c r="L455">
        <v>322</v>
      </c>
      <c r="M455">
        <v>54</v>
      </c>
      <c r="N455" t="s">
        <v>21</v>
      </c>
      <c r="O455">
        <v>4.5999999999999996</v>
      </c>
      <c r="P455" s="2">
        <f>EOMONTH(Table1[[#This Row],[Order_Date]],0)</f>
        <v>45565</v>
      </c>
      <c r="Q455" s="3">
        <f>WEEKNUM(Table1[[#This Row],[Order_Date]])</f>
        <v>39</v>
      </c>
      <c r="R455">
        <f>YEAR(Table1[[#This Row],[Order_Date]])</f>
        <v>2024</v>
      </c>
      <c r="S455" t="str">
        <f>IF(Table1[[#This Row],[Quantity]]&gt;=3,"Promo","Regular")</f>
        <v>Regular</v>
      </c>
    </row>
    <row r="456" spans="1:19" x14ac:dyDescent="0.35">
      <c r="A456" t="s">
        <v>1941</v>
      </c>
      <c r="B456" t="s">
        <v>529</v>
      </c>
      <c r="C456" s="1">
        <v>45294</v>
      </c>
      <c r="D456" t="s">
        <v>15</v>
      </c>
      <c r="E456" t="s">
        <v>16</v>
      </c>
      <c r="F456" t="s">
        <v>30</v>
      </c>
      <c r="G456" t="s">
        <v>46</v>
      </c>
      <c r="H456" t="s">
        <v>66</v>
      </c>
      <c r="I456" t="s">
        <v>20</v>
      </c>
      <c r="J456">
        <v>5</v>
      </c>
      <c r="K456">
        <v>365</v>
      </c>
      <c r="L456">
        <v>1825</v>
      </c>
      <c r="M456">
        <v>53</v>
      </c>
      <c r="N456" t="s">
        <v>38</v>
      </c>
      <c r="O456">
        <v>4.2</v>
      </c>
      <c r="P456" s="2">
        <f>EOMONTH(Table1[[#This Row],[Order_Date]],0)</f>
        <v>45322</v>
      </c>
      <c r="Q456" s="3">
        <f>WEEKNUM(Table1[[#This Row],[Order_Date]])</f>
        <v>1</v>
      </c>
      <c r="R456">
        <f>YEAR(Table1[[#This Row],[Order_Date]])</f>
        <v>2024</v>
      </c>
      <c r="S456" t="str">
        <f>IF(Table1[[#This Row],[Quantity]]&gt;=3,"Promo","Regular")</f>
        <v>Promo</v>
      </c>
    </row>
    <row r="457" spans="1:19" x14ac:dyDescent="0.35">
      <c r="A457" t="s">
        <v>1941</v>
      </c>
      <c r="B457" t="s">
        <v>530</v>
      </c>
      <c r="C457" s="1">
        <v>45504</v>
      </c>
      <c r="D457" t="s">
        <v>28</v>
      </c>
      <c r="E457" t="s">
        <v>71</v>
      </c>
      <c r="F457" t="s">
        <v>35</v>
      </c>
      <c r="G457" t="s">
        <v>31</v>
      </c>
      <c r="H457" t="s">
        <v>50</v>
      </c>
      <c r="I457" t="s">
        <v>20</v>
      </c>
      <c r="J457">
        <v>3</v>
      </c>
      <c r="K457">
        <v>156</v>
      </c>
      <c r="L457">
        <v>468</v>
      </c>
      <c r="M457">
        <v>22</v>
      </c>
      <c r="N457" t="s">
        <v>38</v>
      </c>
      <c r="O457">
        <v>4.3</v>
      </c>
      <c r="P457" s="2">
        <f>EOMONTH(Table1[[#This Row],[Order_Date]],0)</f>
        <v>45504</v>
      </c>
      <c r="Q457" s="3">
        <f>WEEKNUM(Table1[[#This Row],[Order_Date]])</f>
        <v>31</v>
      </c>
      <c r="R457">
        <f>YEAR(Table1[[#This Row],[Order_Date]])</f>
        <v>2024</v>
      </c>
      <c r="S457" t="str">
        <f>IF(Table1[[#This Row],[Quantity]]&gt;=3,"Promo","Regular")</f>
        <v>Promo</v>
      </c>
    </row>
    <row r="458" spans="1:19" x14ac:dyDescent="0.35">
      <c r="A458" t="s">
        <v>1942</v>
      </c>
      <c r="B458" t="s">
        <v>531</v>
      </c>
      <c r="C458" s="1">
        <v>45388</v>
      </c>
      <c r="D458" t="s">
        <v>28</v>
      </c>
      <c r="E458" t="s">
        <v>98</v>
      </c>
      <c r="F458" t="s">
        <v>24</v>
      </c>
      <c r="G458" t="s">
        <v>25</v>
      </c>
      <c r="H458" t="s">
        <v>37</v>
      </c>
      <c r="I458" t="s">
        <v>20</v>
      </c>
      <c r="J458">
        <v>2</v>
      </c>
      <c r="K458">
        <v>394</v>
      </c>
      <c r="L458">
        <v>788</v>
      </c>
      <c r="M458">
        <v>40</v>
      </c>
      <c r="N458" t="s">
        <v>21</v>
      </c>
      <c r="O458">
        <v>3.2</v>
      </c>
      <c r="P458" s="2">
        <f>EOMONTH(Table1[[#This Row],[Order_Date]],0)</f>
        <v>45412</v>
      </c>
      <c r="Q458" s="3">
        <f>WEEKNUM(Table1[[#This Row],[Order_Date]])</f>
        <v>14</v>
      </c>
      <c r="R458">
        <f>YEAR(Table1[[#This Row],[Order_Date]])</f>
        <v>2024</v>
      </c>
      <c r="S458" t="str">
        <f>IF(Table1[[#This Row],[Quantity]]&gt;=3,"Promo","Regular")</f>
        <v>Regular</v>
      </c>
    </row>
    <row r="459" spans="1:19" x14ac:dyDescent="0.35">
      <c r="A459" t="s">
        <v>1942</v>
      </c>
      <c r="B459" t="s">
        <v>532</v>
      </c>
      <c r="C459" s="1">
        <v>45337</v>
      </c>
      <c r="D459" t="s">
        <v>15</v>
      </c>
      <c r="E459" t="s">
        <v>103</v>
      </c>
      <c r="F459" t="s">
        <v>17</v>
      </c>
      <c r="G459" t="s">
        <v>31</v>
      </c>
      <c r="H459" t="s">
        <v>53</v>
      </c>
      <c r="I459" t="s">
        <v>20</v>
      </c>
      <c r="J459">
        <v>2</v>
      </c>
      <c r="K459">
        <v>200</v>
      </c>
      <c r="L459">
        <v>400</v>
      </c>
      <c r="M459">
        <v>50</v>
      </c>
      <c r="N459" t="s">
        <v>33</v>
      </c>
      <c r="O459">
        <v>4.8</v>
      </c>
      <c r="P459" s="2">
        <f>EOMONTH(Table1[[#This Row],[Order_Date]],0)</f>
        <v>45351</v>
      </c>
      <c r="Q459" s="3">
        <f>WEEKNUM(Table1[[#This Row],[Order_Date]])</f>
        <v>7</v>
      </c>
      <c r="R459">
        <f>YEAR(Table1[[#This Row],[Order_Date]])</f>
        <v>2024</v>
      </c>
      <c r="S459" t="str">
        <f>IF(Table1[[#This Row],[Quantity]]&gt;=3,"Promo","Regular")</f>
        <v>Regular</v>
      </c>
    </row>
    <row r="460" spans="1:19" x14ac:dyDescent="0.35">
      <c r="A460" t="s">
        <v>1942</v>
      </c>
      <c r="B460" t="s">
        <v>533</v>
      </c>
      <c r="C460" s="1">
        <v>45494</v>
      </c>
      <c r="D460" t="s">
        <v>28</v>
      </c>
      <c r="E460" t="s">
        <v>29</v>
      </c>
      <c r="F460" t="s">
        <v>17</v>
      </c>
      <c r="G460" t="s">
        <v>36</v>
      </c>
      <c r="H460" t="s">
        <v>53</v>
      </c>
      <c r="I460" t="s">
        <v>20</v>
      </c>
      <c r="J460">
        <v>1</v>
      </c>
      <c r="K460">
        <v>416</v>
      </c>
      <c r="L460">
        <v>416</v>
      </c>
      <c r="M460">
        <v>51</v>
      </c>
      <c r="N460" t="s">
        <v>38</v>
      </c>
      <c r="O460">
        <v>3.8</v>
      </c>
      <c r="P460" s="2">
        <f>EOMONTH(Table1[[#This Row],[Order_Date]],0)</f>
        <v>45504</v>
      </c>
      <c r="Q460" s="3">
        <f>WEEKNUM(Table1[[#This Row],[Order_Date]])</f>
        <v>30</v>
      </c>
      <c r="R460">
        <f>YEAR(Table1[[#This Row],[Order_Date]])</f>
        <v>2024</v>
      </c>
      <c r="S460" t="str">
        <f>IF(Table1[[#This Row],[Quantity]]&gt;=3,"Promo","Regular")</f>
        <v>Regular</v>
      </c>
    </row>
    <row r="461" spans="1:19" x14ac:dyDescent="0.35">
      <c r="A461" t="s">
        <v>1942</v>
      </c>
      <c r="B461" t="s">
        <v>534</v>
      </c>
      <c r="C461" s="1">
        <v>45454</v>
      </c>
      <c r="D461" t="s">
        <v>43</v>
      </c>
      <c r="E461" t="s">
        <v>110</v>
      </c>
      <c r="F461" t="s">
        <v>24</v>
      </c>
      <c r="G461" t="s">
        <v>25</v>
      </c>
      <c r="H461" t="s">
        <v>19</v>
      </c>
      <c r="I461" t="s">
        <v>20</v>
      </c>
      <c r="J461">
        <v>1</v>
      </c>
      <c r="K461">
        <v>180</v>
      </c>
      <c r="L461">
        <v>180</v>
      </c>
      <c r="M461">
        <v>51</v>
      </c>
      <c r="N461" t="s">
        <v>38</v>
      </c>
      <c r="O461">
        <v>4.4000000000000004</v>
      </c>
      <c r="P461" s="2">
        <f>EOMONTH(Table1[[#This Row],[Order_Date]],0)</f>
        <v>45473</v>
      </c>
      <c r="Q461" s="3">
        <f>WEEKNUM(Table1[[#This Row],[Order_Date]])</f>
        <v>24</v>
      </c>
      <c r="R461">
        <f>YEAR(Table1[[#This Row],[Order_Date]])</f>
        <v>2024</v>
      </c>
      <c r="S461" t="str">
        <f>IF(Table1[[#This Row],[Quantity]]&gt;=3,"Promo","Regular")</f>
        <v>Regular</v>
      </c>
    </row>
    <row r="462" spans="1:19" x14ac:dyDescent="0.35">
      <c r="A462" t="s">
        <v>1942</v>
      </c>
      <c r="B462" t="s">
        <v>535</v>
      </c>
      <c r="C462" s="1">
        <v>45577</v>
      </c>
      <c r="D462" t="s">
        <v>57</v>
      </c>
      <c r="E462" t="s">
        <v>62</v>
      </c>
      <c r="F462" t="s">
        <v>85</v>
      </c>
      <c r="G462" t="s">
        <v>36</v>
      </c>
      <c r="H462" t="s">
        <v>120</v>
      </c>
      <c r="I462" t="s">
        <v>60</v>
      </c>
      <c r="J462">
        <v>3</v>
      </c>
      <c r="K462">
        <v>288</v>
      </c>
      <c r="L462">
        <v>864</v>
      </c>
      <c r="M462">
        <v>48</v>
      </c>
      <c r="N462" t="s">
        <v>21</v>
      </c>
      <c r="O462">
        <v>4.5</v>
      </c>
      <c r="P462" s="2">
        <f>EOMONTH(Table1[[#This Row],[Order_Date]],0)</f>
        <v>45596</v>
      </c>
      <c r="Q462" s="3">
        <f>WEEKNUM(Table1[[#This Row],[Order_Date]])</f>
        <v>41</v>
      </c>
      <c r="R462">
        <f>YEAR(Table1[[#This Row],[Order_Date]])</f>
        <v>2024</v>
      </c>
      <c r="S462" t="str">
        <f>IF(Table1[[#This Row],[Quantity]]&gt;=3,"Promo","Regular")</f>
        <v>Promo</v>
      </c>
    </row>
    <row r="463" spans="1:19" x14ac:dyDescent="0.35">
      <c r="A463" t="s">
        <v>1943</v>
      </c>
      <c r="B463" t="s">
        <v>536</v>
      </c>
      <c r="C463" s="1">
        <v>45448</v>
      </c>
      <c r="D463" t="s">
        <v>43</v>
      </c>
      <c r="E463" t="s">
        <v>82</v>
      </c>
      <c r="F463" t="s">
        <v>45</v>
      </c>
      <c r="G463" t="s">
        <v>25</v>
      </c>
      <c r="H463" t="s">
        <v>59</v>
      </c>
      <c r="I463" t="s">
        <v>60</v>
      </c>
      <c r="J463">
        <v>4</v>
      </c>
      <c r="K463">
        <v>109</v>
      </c>
      <c r="L463">
        <v>436</v>
      </c>
      <c r="M463">
        <v>53</v>
      </c>
      <c r="N463" t="s">
        <v>33</v>
      </c>
      <c r="O463">
        <v>3.4</v>
      </c>
      <c r="P463" s="2">
        <f>EOMONTH(Table1[[#This Row],[Order_Date]],0)</f>
        <v>45473</v>
      </c>
      <c r="Q463" s="3">
        <f>WEEKNUM(Table1[[#This Row],[Order_Date]])</f>
        <v>23</v>
      </c>
      <c r="R463">
        <f>YEAR(Table1[[#This Row],[Order_Date]])</f>
        <v>2024</v>
      </c>
      <c r="S463" t="str">
        <f>IF(Table1[[#This Row],[Quantity]]&gt;=3,"Promo","Regular")</f>
        <v>Promo</v>
      </c>
    </row>
    <row r="464" spans="1:19" x14ac:dyDescent="0.35">
      <c r="A464" t="s">
        <v>1943</v>
      </c>
      <c r="B464" t="s">
        <v>537</v>
      </c>
      <c r="C464" s="1">
        <v>45456</v>
      </c>
      <c r="D464" t="s">
        <v>28</v>
      </c>
      <c r="E464" t="s">
        <v>29</v>
      </c>
      <c r="F464" t="s">
        <v>41</v>
      </c>
      <c r="G464" t="s">
        <v>36</v>
      </c>
      <c r="H464" t="s">
        <v>59</v>
      </c>
      <c r="I464" t="s">
        <v>60</v>
      </c>
      <c r="J464">
        <v>3</v>
      </c>
      <c r="K464">
        <v>104</v>
      </c>
      <c r="L464">
        <v>312</v>
      </c>
      <c r="M464">
        <v>27</v>
      </c>
      <c r="N464" t="s">
        <v>38</v>
      </c>
      <c r="O464">
        <v>4.4000000000000004</v>
      </c>
      <c r="P464" s="2">
        <f>EOMONTH(Table1[[#This Row],[Order_Date]],0)</f>
        <v>45473</v>
      </c>
      <c r="Q464" s="3">
        <f>WEEKNUM(Table1[[#This Row],[Order_Date]])</f>
        <v>24</v>
      </c>
      <c r="R464">
        <f>YEAR(Table1[[#This Row],[Order_Date]])</f>
        <v>2024</v>
      </c>
      <c r="S464" t="str">
        <f>IF(Table1[[#This Row],[Quantity]]&gt;=3,"Promo","Regular")</f>
        <v>Promo</v>
      </c>
    </row>
    <row r="465" spans="1:19" x14ac:dyDescent="0.35">
      <c r="A465" t="s">
        <v>1944</v>
      </c>
      <c r="B465" t="s">
        <v>538</v>
      </c>
      <c r="C465" s="1">
        <v>45569</v>
      </c>
      <c r="D465" t="s">
        <v>57</v>
      </c>
      <c r="E465" t="s">
        <v>105</v>
      </c>
      <c r="F465" t="s">
        <v>45</v>
      </c>
      <c r="G465" t="s">
        <v>18</v>
      </c>
      <c r="H465" t="s">
        <v>26</v>
      </c>
      <c r="I465" t="s">
        <v>20</v>
      </c>
      <c r="J465">
        <v>4</v>
      </c>
      <c r="K465">
        <v>225</v>
      </c>
      <c r="L465">
        <v>900</v>
      </c>
      <c r="M465">
        <v>25</v>
      </c>
      <c r="N465" t="s">
        <v>21</v>
      </c>
      <c r="O465">
        <v>3.8</v>
      </c>
      <c r="P465" s="2">
        <f>EOMONTH(Table1[[#This Row],[Order_Date]],0)</f>
        <v>45596</v>
      </c>
      <c r="Q465" s="3">
        <f>WEEKNUM(Table1[[#This Row],[Order_Date]])</f>
        <v>40</v>
      </c>
      <c r="R465">
        <f>YEAR(Table1[[#This Row],[Order_Date]])</f>
        <v>2024</v>
      </c>
      <c r="S465" t="str">
        <f>IF(Table1[[#This Row],[Quantity]]&gt;=3,"Promo","Regular")</f>
        <v>Promo</v>
      </c>
    </row>
    <row r="466" spans="1:19" x14ac:dyDescent="0.35">
      <c r="A466" t="s">
        <v>1944</v>
      </c>
      <c r="B466" t="s">
        <v>539</v>
      </c>
      <c r="C466" s="1">
        <v>45357</v>
      </c>
      <c r="D466" t="s">
        <v>43</v>
      </c>
      <c r="E466" t="s">
        <v>110</v>
      </c>
      <c r="F466" t="s">
        <v>35</v>
      </c>
      <c r="G466" t="s">
        <v>36</v>
      </c>
      <c r="H466" t="s">
        <v>55</v>
      </c>
      <c r="I466" t="s">
        <v>20</v>
      </c>
      <c r="J466">
        <v>2</v>
      </c>
      <c r="K466">
        <v>106</v>
      </c>
      <c r="L466">
        <v>212</v>
      </c>
      <c r="M466">
        <v>55</v>
      </c>
      <c r="N466" t="s">
        <v>33</v>
      </c>
      <c r="O466">
        <v>4.5999999999999996</v>
      </c>
      <c r="P466" s="2">
        <f>EOMONTH(Table1[[#This Row],[Order_Date]],0)</f>
        <v>45382</v>
      </c>
      <c r="Q466" s="3">
        <f>WEEKNUM(Table1[[#This Row],[Order_Date]])</f>
        <v>10</v>
      </c>
      <c r="R466">
        <f>YEAR(Table1[[#This Row],[Order_Date]])</f>
        <v>2024</v>
      </c>
      <c r="S466" t="str">
        <f>IF(Table1[[#This Row],[Quantity]]&gt;=3,"Promo","Regular")</f>
        <v>Regular</v>
      </c>
    </row>
    <row r="467" spans="1:19" x14ac:dyDescent="0.35">
      <c r="A467" t="s">
        <v>1944</v>
      </c>
      <c r="B467" t="s">
        <v>540</v>
      </c>
      <c r="C467" s="1">
        <v>45349</v>
      </c>
      <c r="D467" t="s">
        <v>43</v>
      </c>
      <c r="E467" t="s">
        <v>110</v>
      </c>
      <c r="F467" t="s">
        <v>45</v>
      </c>
      <c r="G467" t="s">
        <v>73</v>
      </c>
      <c r="H467" t="s">
        <v>53</v>
      </c>
      <c r="I467" t="s">
        <v>20</v>
      </c>
      <c r="J467">
        <v>5</v>
      </c>
      <c r="K467">
        <v>337</v>
      </c>
      <c r="L467">
        <v>1685</v>
      </c>
      <c r="M467">
        <v>20</v>
      </c>
      <c r="N467" t="s">
        <v>33</v>
      </c>
      <c r="O467">
        <v>3.1</v>
      </c>
      <c r="P467" s="2">
        <f>EOMONTH(Table1[[#This Row],[Order_Date]],0)</f>
        <v>45351</v>
      </c>
      <c r="Q467" s="3">
        <f>WEEKNUM(Table1[[#This Row],[Order_Date]])</f>
        <v>9</v>
      </c>
      <c r="R467">
        <f>YEAR(Table1[[#This Row],[Order_Date]])</f>
        <v>2024</v>
      </c>
      <c r="S467" t="str">
        <f>IF(Table1[[#This Row],[Quantity]]&gt;=3,"Promo","Regular")</f>
        <v>Promo</v>
      </c>
    </row>
    <row r="468" spans="1:19" x14ac:dyDescent="0.35">
      <c r="A468" t="s">
        <v>1944</v>
      </c>
      <c r="B468" t="s">
        <v>541</v>
      </c>
      <c r="C468" s="1">
        <v>45324</v>
      </c>
      <c r="D468" t="s">
        <v>48</v>
      </c>
      <c r="E468" t="s">
        <v>132</v>
      </c>
      <c r="F468" t="s">
        <v>85</v>
      </c>
      <c r="G468" t="s">
        <v>25</v>
      </c>
      <c r="H468" t="s">
        <v>19</v>
      </c>
      <c r="I468" t="s">
        <v>20</v>
      </c>
      <c r="J468">
        <v>3</v>
      </c>
      <c r="K468">
        <v>332</v>
      </c>
      <c r="L468">
        <v>996</v>
      </c>
      <c r="M468">
        <v>35</v>
      </c>
      <c r="N468" t="s">
        <v>21</v>
      </c>
      <c r="O468">
        <v>3</v>
      </c>
      <c r="P468" s="2">
        <f>EOMONTH(Table1[[#This Row],[Order_Date]],0)</f>
        <v>45351</v>
      </c>
      <c r="Q468" s="3">
        <f>WEEKNUM(Table1[[#This Row],[Order_Date]])</f>
        <v>5</v>
      </c>
      <c r="R468">
        <f>YEAR(Table1[[#This Row],[Order_Date]])</f>
        <v>2024</v>
      </c>
      <c r="S468" t="str">
        <f>IF(Table1[[#This Row],[Quantity]]&gt;=3,"Promo","Regular")</f>
        <v>Promo</v>
      </c>
    </row>
    <row r="469" spans="1:19" x14ac:dyDescent="0.35">
      <c r="A469" t="s">
        <v>1944</v>
      </c>
      <c r="B469" t="s">
        <v>542</v>
      </c>
      <c r="C469" s="1">
        <v>45426</v>
      </c>
      <c r="D469" t="s">
        <v>48</v>
      </c>
      <c r="E469" t="s">
        <v>127</v>
      </c>
      <c r="F469" t="s">
        <v>65</v>
      </c>
      <c r="G469" t="s">
        <v>25</v>
      </c>
      <c r="H469" t="s">
        <v>120</v>
      </c>
      <c r="I469" t="s">
        <v>60</v>
      </c>
      <c r="J469">
        <v>1</v>
      </c>
      <c r="K469">
        <v>344</v>
      </c>
      <c r="L469">
        <v>344</v>
      </c>
      <c r="M469">
        <v>26</v>
      </c>
      <c r="N469" t="s">
        <v>33</v>
      </c>
      <c r="O469">
        <v>4</v>
      </c>
      <c r="P469" s="2">
        <f>EOMONTH(Table1[[#This Row],[Order_Date]],0)</f>
        <v>45443</v>
      </c>
      <c r="Q469" s="3">
        <f>WEEKNUM(Table1[[#This Row],[Order_Date]])</f>
        <v>20</v>
      </c>
      <c r="R469">
        <f>YEAR(Table1[[#This Row],[Order_Date]])</f>
        <v>2024</v>
      </c>
      <c r="S469" t="str">
        <f>IF(Table1[[#This Row],[Quantity]]&gt;=3,"Promo","Regular")</f>
        <v>Regular</v>
      </c>
    </row>
    <row r="470" spans="1:19" x14ac:dyDescent="0.35">
      <c r="A470" t="s">
        <v>1945</v>
      </c>
      <c r="B470" t="s">
        <v>543</v>
      </c>
      <c r="C470" s="1">
        <v>45390</v>
      </c>
      <c r="D470" t="s">
        <v>15</v>
      </c>
      <c r="E470" t="s">
        <v>16</v>
      </c>
      <c r="F470" t="s">
        <v>17</v>
      </c>
      <c r="G470" t="s">
        <v>73</v>
      </c>
      <c r="H470" t="s">
        <v>55</v>
      </c>
      <c r="I470" t="s">
        <v>20</v>
      </c>
      <c r="J470">
        <v>1</v>
      </c>
      <c r="K470">
        <v>408</v>
      </c>
      <c r="L470">
        <v>408</v>
      </c>
      <c r="M470">
        <v>56</v>
      </c>
      <c r="N470" t="s">
        <v>21</v>
      </c>
      <c r="O470">
        <v>3.6</v>
      </c>
      <c r="P470" s="2">
        <f>EOMONTH(Table1[[#This Row],[Order_Date]],0)</f>
        <v>45412</v>
      </c>
      <c r="Q470" s="3">
        <f>WEEKNUM(Table1[[#This Row],[Order_Date]])</f>
        <v>15</v>
      </c>
      <c r="R470">
        <f>YEAR(Table1[[#This Row],[Order_Date]])</f>
        <v>2024</v>
      </c>
      <c r="S470" t="str">
        <f>IF(Table1[[#This Row],[Quantity]]&gt;=3,"Promo","Regular")</f>
        <v>Regular</v>
      </c>
    </row>
    <row r="471" spans="1:19" x14ac:dyDescent="0.35">
      <c r="A471" t="s">
        <v>1945</v>
      </c>
      <c r="B471" t="s">
        <v>544</v>
      </c>
      <c r="C471" s="1">
        <v>45568</v>
      </c>
      <c r="D471" t="s">
        <v>15</v>
      </c>
      <c r="E471" t="s">
        <v>16</v>
      </c>
      <c r="F471" t="s">
        <v>65</v>
      </c>
      <c r="G471" t="s">
        <v>46</v>
      </c>
      <c r="H471" t="s">
        <v>32</v>
      </c>
      <c r="I471" t="s">
        <v>20</v>
      </c>
      <c r="J471">
        <v>5</v>
      </c>
      <c r="K471">
        <v>187</v>
      </c>
      <c r="L471">
        <v>935</v>
      </c>
      <c r="M471">
        <v>36</v>
      </c>
      <c r="N471" t="s">
        <v>33</v>
      </c>
      <c r="O471">
        <v>4.4000000000000004</v>
      </c>
      <c r="P471" s="2">
        <f>EOMONTH(Table1[[#This Row],[Order_Date]],0)</f>
        <v>45596</v>
      </c>
      <c r="Q471" s="3">
        <f>WEEKNUM(Table1[[#This Row],[Order_Date]])</f>
        <v>40</v>
      </c>
      <c r="R471">
        <f>YEAR(Table1[[#This Row],[Order_Date]])</f>
        <v>2024</v>
      </c>
      <c r="S471" t="str">
        <f>IF(Table1[[#This Row],[Quantity]]&gt;=3,"Promo","Regular")</f>
        <v>Promo</v>
      </c>
    </row>
    <row r="472" spans="1:19" x14ac:dyDescent="0.35">
      <c r="A472" t="s">
        <v>1945</v>
      </c>
      <c r="B472" t="s">
        <v>545</v>
      </c>
      <c r="C472" s="1">
        <v>45354</v>
      </c>
      <c r="D472" t="s">
        <v>15</v>
      </c>
      <c r="E472" t="s">
        <v>95</v>
      </c>
      <c r="F472" t="s">
        <v>41</v>
      </c>
      <c r="G472" t="s">
        <v>36</v>
      </c>
      <c r="H472" t="s">
        <v>32</v>
      </c>
      <c r="I472" t="s">
        <v>20</v>
      </c>
      <c r="J472">
        <v>4</v>
      </c>
      <c r="K472">
        <v>222</v>
      </c>
      <c r="L472">
        <v>888</v>
      </c>
      <c r="M472">
        <v>31</v>
      </c>
      <c r="N472" t="s">
        <v>21</v>
      </c>
      <c r="O472">
        <v>4.8</v>
      </c>
      <c r="P472" s="2">
        <f>EOMONTH(Table1[[#This Row],[Order_Date]],0)</f>
        <v>45382</v>
      </c>
      <c r="Q472" s="3">
        <f>WEEKNUM(Table1[[#This Row],[Order_Date]])</f>
        <v>10</v>
      </c>
      <c r="R472">
        <f>YEAR(Table1[[#This Row],[Order_Date]])</f>
        <v>2024</v>
      </c>
      <c r="S472" t="str">
        <f>IF(Table1[[#This Row],[Quantity]]&gt;=3,"Promo","Regular")</f>
        <v>Promo</v>
      </c>
    </row>
    <row r="473" spans="1:19" x14ac:dyDescent="0.35">
      <c r="A473" t="s">
        <v>1945</v>
      </c>
      <c r="B473" t="s">
        <v>546</v>
      </c>
      <c r="C473" s="1">
        <v>45327</v>
      </c>
      <c r="D473" t="s">
        <v>57</v>
      </c>
      <c r="E473" t="s">
        <v>136</v>
      </c>
      <c r="F473" t="s">
        <v>65</v>
      </c>
      <c r="G473" t="s">
        <v>46</v>
      </c>
      <c r="H473" t="s">
        <v>26</v>
      </c>
      <c r="I473" t="s">
        <v>20</v>
      </c>
      <c r="J473">
        <v>1</v>
      </c>
      <c r="K473">
        <v>360</v>
      </c>
      <c r="L473">
        <v>360</v>
      </c>
      <c r="M473">
        <v>46</v>
      </c>
      <c r="N473" t="s">
        <v>21</v>
      </c>
      <c r="O473">
        <v>4</v>
      </c>
      <c r="P473" s="2">
        <f>EOMONTH(Table1[[#This Row],[Order_Date]],0)</f>
        <v>45351</v>
      </c>
      <c r="Q473" s="3">
        <f>WEEKNUM(Table1[[#This Row],[Order_Date]])</f>
        <v>6</v>
      </c>
      <c r="R473">
        <f>YEAR(Table1[[#This Row],[Order_Date]])</f>
        <v>2024</v>
      </c>
      <c r="S473" t="str">
        <f>IF(Table1[[#This Row],[Quantity]]&gt;=3,"Promo","Regular")</f>
        <v>Regular</v>
      </c>
    </row>
    <row r="474" spans="1:19" x14ac:dyDescent="0.35">
      <c r="A474" t="s">
        <v>1946</v>
      </c>
      <c r="B474" t="s">
        <v>547</v>
      </c>
      <c r="C474" s="1">
        <v>45560</v>
      </c>
      <c r="D474" t="s">
        <v>43</v>
      </c>
      <c r="E474" t="s">
        <v>44</v>
      </c>
      <c r="F474" t="s">
        <v>30</v>
      </c>
      <c r="G474" t="s">
        <v>25</v>
      </c>
      <c r="H474" t="s">
        <v>53</v>
      </c>
      <c r="I474" t="s">
        <v>20</v>
      </c>
      <c r="J474">
        <v>3</v>
      </c>
      <c r="K474">
        <v>425</v>
      </c>
      <c r="L474">
        <v>1275</v>
      </c>
      <c r="M474">
        <v>57</v>
      </c>
      <c r="N474" t="s">
        <v>21</v>
      </c>
      <c r="O474">
        <v>3.4</v>
      </c>
      <c r="P474" s="2">
        <f>EOMONTH(Table1[[#This Row],[Order_Date]],0)</f>
        <v>45565</v>
      </c>
      <c r="Q474" s="3">
        <f>WEEKNUM(Table1[[#This Row],[Order_Date]])</f>
        <v>39</v>
      </c>
      <c r="R474">
        <f>YEAR(Table1[[#This Row],[Order_Date]])</f>
        <v>2024</v>
      </c>
      <c r="S474" t="str">
        <f>IF(Table1[[#This Row],[Quantity]]&gt;=3,"Promo","Regular")</f>
        <v>Promo</v>
      </c>
    </row>
    <row r="475" spans="1:19" x14ac:dyDescent="0.35">
      <c r="A475" t="s">
        <v>1946</v>
      </c>
      <c r="B475" t="s">
        <v>548</v>
      </c>
      <c r="C475" s="1">
        <v>45422</v>
      </c>
      <c r="D475" t="s">
        <v>15</v>
      </c>
      <c r="E475" t="s">
        <v>95</v>
      </c>
      <c r="F475" t="s">
        <v>30</v>
      </c>
      <c r="G475" t="s">
        <v>18</v>
      </c>
      <c r="H475" t="s">
        <v>120</v>
      </c>
      <c r="I475" t="s">
        <v>60</v>
      </c>
      <c r="J475">
        <v>3</v>
      </c>
      <c r="K475">
        <v>398</v>
      </c>
      <c r="L475">
        <v>1194</v>
      </c>
      <c r="M475">
        <v>47</v>
      </c>
      <c r="N475" t="s">
        <v>33</v>
      </c>
      <c r="O475">
        <v>3.2</v>
      </c>
      <c r="P475" s="2">
        <f>EOMONTH(Table1[[#This Row],[Order_Date]],0)</f>
        <v>45443</v>
      </c>
      <c r="Q475" s="3">
        <f>WEEKNUM(Table1[[#This Row],[Order_Date]])</f>
        <v>19</v>
      </c>
      <c r="R475">
        <f>YEAR(Table1[[#This Row],[Order_Date]])</f>
        <v>2024</v>
      </c>
      <c r="S475" t="str">
        <f>IF(Table1[[#This Row],[Quantity]]&gt;=3,"Promo","Regular")</f>
        <v>Promo</v>
      </c>
    </row>
    <row r="476" spans="1:19" x14ac:dyDescent="0.35">
      <c r="A476" t="s">
        <v>1947</v>
      </c>
      <c r="B476" t="s">
        <v>549</v>
      </c>
      <c r="C476" s="1">
        <v>45576</v>
      </c>
      <c r="D476" t="s">
        <v>57</v>
      </c>
      <c r="E476" t="s">
        <v>58</v>
      </c>
      <c r="F476" t="s">
        <v>30</v>
      </c>
      <c r="G476" t="s">
        <v>46</v>
      </c>
      <c r="H476" t="s">
        <v>55</v>
      </c>
      <c r="I476" t="s">
        <v>20</v>
      </c>
      <c r="J476">
        <v>3</v>
      </c>
      <c r="K476">
        <v>172</v>
      </c>
      <c r="L476">
        <v>516</v>
      </c>
      <c r="M476">
        <v>47</v>
      </c>
      <c r="N476" t="s">
        <v>33</v>
      </c>
      <c r="O476">
        <v>3.8</v>
      </c>
      <c r="P476" s="2">
        <f>EOMONTH(Table1[[#This Row],[Order_Date]],0)</f>
        <v>45596</v>
      </c>
      <c r="Q476" s="3">
        <f>WEEKNUM(Table1[[#This Row],[Order_Date]])</f>
        <v>41</v>
      </c>
      <c r="R476">
        <f>YEAR(Table1[[#This Row],[Order_Date]])</f>
        <v>2024</v>
      </c>
      <c r="S476" t="str">
        <f>IF(Table1[[#This Row],[Quantity]]&gt;=3,"Promo","Regular")</f>
        <v>Promo</v>
      </c>
    </row>
    <row r="477" spans="1:19" x14ac:dyDescent="0.35">
      <c r="A477" t="s">
        <v>1947</v>
      </c>
      <c r="B477" t="s">
        <v>550</v>
      </c>
      <c r="C477" s="1">
        <v>45538</v>
      </c>
      <c r="D477" t="s">
        <v>57</v>
      </c>
      <c r="E477" t="s">
        <v>58</v>
      </c>
      <c r="F477" t="s">
        <v>24</v>
      </c>
      <c r="G477" t="s">
        <v>18</v>
      </c>
      <c r="H477" t="s">
        <v>66</v>
      </c>
      <c r="I477" t="s">
        <v>20</v>
      </c>
      <c r="J477">
        <v>1</v>
      </c>
      <c r="K477">
        <v>141</v>
      </c>
      <c r="L477">
        <v>141</v>
      </c>
      <c r="M477">
        <v>46</v>
      </c>
      <c r="N477" t="s">
        <v>38</v>
      </c>
      <c r="O477">
        <v>4.5</v>
      </c>
      <c r="P477" s="2">
        <f>EOMONTH(Table1[[#This Row],[Order_Date]],0)</f>
        <v>45565</v>
      </c>
      <c r="Q477" s="3">
        <f>WEEKNUM(Table1[[#This Row],[Order_Date]])</f>
        <v>36</v>
      </c>
      <c r="R477">
        <f>YEAR(Table1[[#This Row],[Order_Date]])</f>
        <v>2024</v>
      </c>
      <c r="S477" t="str">
        <f>IF(Table1[[#This Row],[Quantity]]&gt;=3,"Promo","Regular")</f>
        <v>Regular</v>
      </c>
    </row>
    <row r="478" spans="1:19" x14ac:dyDescent="0.35">
      <c r="A478" t="s">
        <v>1947</v>
      </c>
      <c r="B478" t="s">
        <v>551</v>
      </c>
      <c r="C478" s="1">
        <v>45314</v>
      </c>
      <c r="D478" t="s">
        <v>57</v>
      </c>
      <c r="E478" t="s">
        <v>75</v>
      </c>
      <c r="F478" t="s">
        <v>85</v>
      </c>
      <c r="G478" t="s">
        <v>31</v>
      </c>
      <c r="H478" t="s">
        <v>50</v>
      </c>
      <c r="I478" t="s">
        <v>20</v>
      </c>
      <c r="J478">
        <v>1</v>
      </c>
      <c r="K478">
        <v>158</v>
      </c>
      <c r="L478">
        <v>158</v>
      </c>
      <c r="M478">
        <v>53</v>
      </c>
      <c r="N478" t="s">
        <v>21</v>
      </c>
      <c r="O478">
        <v>4.0999999999999996</v>
      </c>
      <c r="P478" s="2">
        <f>EOMONTH(Table1[[#This Row],[Order_Date]],0)</f>
        <v>45322</v>
      </c>
      <c r="Q478" s="3">
        <f>WEEKNUM(Table1[[#This Row],[Order_Date]])</f>
        <v>4</v>
      </c>
      <c r="R478">
        <f>YEAR(Table1[[#This Row],[Order_Date]])</f>
        <v>2024</v>
      </c>
      <c r="S478" t="str">
        <f>IF(Table1[[#This Row],[Quantity]]&gt;=3,"Promo","Regular")</f>
        <v>Regular</v>
      </c>
    </row>
    <row r="479" spans="1:19" x14ac:dyDescent="0.35">
      <c r="A479" t="s">
        <v>1947</v>
      </c>
      <c r="B479" t="s">
        <v>552</v>
      </c>
      <c r="C479" s="1">
        <v>45303</v>
      </c>
      <c r="D479" t="s">
        <v>57</v>
      </c>
      <c r="E479" t="s">
        <v>75</v>
      </c>
      <c r="F479" t="s">
        <v>45</v>
      </c>
      <c r="G479" t="s">
        <v>73</v>
      </c>
      <c r="H479" t="s">
        <v>59</v>
      </c>
      <c r="I479" t="s">
        <v>60</v>
      </c>
      <c r="J479">
        <v>4</v>
      </c>
      <c r="K479">
        <v>284</v>
      </c>
      <c r="L479">
        <v>1136</v>
      </c>
      <c r="M479">
        <v>35</v>
      </c>
      <c r="N479" t="s">
        <v>38</v>
      </c>
      <c r="O479">
        <v>4.7</v>
      </c>
      <c r="P479" s="2">
        <f>EOMONTH(Table1[[#This Row],[Order_Date]],0)</f>
        <v>45322</v>
      </c>
      <c r="Q479" s="3">
        <f>WEEKNUM(Table1[[#This Row],[Order_Date]])</f>
        <v>2</v>
      </c>
      <c r="R479">
        <f>YEAR(Table1[[#This Row],[Order_Date]])</f>
        <v>2024</v>
      </c>
      <c r="S479" t="str">
        <f>IF(Table1[[#This Row],[Quantity]]&gt;=3,"Promo","Regular")</f>
        <v>Promo</v>
      </c>
    </row>
    <row r="480" spans="1:19" x14ac:dyDescent="0.35">
      <c r="A480" t="s">
        <v>1948</v>
      </c>
      <c r="B480" t="s">
        <v>553</v>
      </c>
      <c r="C480" s="1">
        <v>45398</v>
      </c>
      <c r="D480" t="s">
        <v>43</v>
      </c>
      <c r="E480" t="s">
        <v>82</v>
      </c>
      <c r="F480" t="s">
        <v>69</v>
      </c>
      <c r="G480" t="s">
        <v>31</v>
      </c>
      <c r="H480" t="s">
        <v>32</v>
      </c>
      <c r="I480" t="s">
        <v>20</v>
      </c>
      <c r="J480">
        <v>4</v>
      </c>
      <c r="K480">
        <v>498</v>
      </c>
      <c r="L480">
        <v>1992</v>
      </c>
      <c r="M480">
        <v>22</v>
      </c>
      <c r="N480" t="s">
        <v>33</v>
      </c>
      <c r="O480">
        <v>3.3</v>
      </c>
      <c r="P480" s="2">
        <f>EOMONTH(Table1[[#This Row],[Order_Date]],0)</f>
        <v>45412</v>
      </c>
      <c r="Q480" s="3">
        <f>WEEKNUM(Table1[[#This Row],[Order_Date]])</f>
        <v>16</v>
      </c>
      <c r="R480">
        <f>YEAR(Table1[[#This Row],[Order_Date]])</f>
        <v>2024</v>
      </c>
      <c r="S480" t="str">
        <f>IF(Table1[[#This Row],[Quantity]]&gt;=3,"Promo","Regular")</f>
        <v>Promo</v>
      </c>
    </row>
    <row r="481" spans="1:19" x14ac:dyDescent="0.35">
      <c r="A481" t="s">
        <v>1948</v>
      </c>
      <c r="B481" t="s">
        <v>554</v>
      </c>
      <c r="C481" s="1">
        <v>45342</v>
      </c>
      <c r="D481" t="s">
        <v>43</v>
      </c>
      <c r="E481" t="s">
        <v>93</v>
      </c>
      <c r="F481" t="s">
        <v>17</v>
      </c>
      <c r="G481" t="s">
        <v>18</v>
      </c>
      <c r="H481" t="s">
        <v>37</v>
      </c>
      <c r="I481" t="s">
        <v>20</v>
      </c>
      <c r="J481">
        <v>3</v>
      </c>
      <c r="K481">
        <v>298</v>
      </c>
      <c r="L481">
        <v>894</v>
      </c>
      <c r="M481">
        <v>20</v>
      </c>
      <c r="N481" t="s">
        <v>38</v>
      </c>
      <c r="O481">
        <v>4.4000000000000004</v>
      </c>
      <c r="P481" s="2">
        <f>EOMONTH(Table1[[#This Row],[Order_Date]],0)</f>
        <v>45351</v>
      </c>
      <c r="Q481" s="3">
        <f>WEEKNUM(Table1[[#This Row],[Order_Date]])</f>
        <v>8</v>
      </c>
      <c r="R481">
        <f>YEAR(Table1[[#This Row],[Order_Date]])</f>
        <v>2024</v>
      </c>
      <c r="S481" t="str">
        <f>IF(Table1[[#This Row],[Quantity]]&gt;=3,"Promo","Regular")</f>
        <v>Promo</v>
      </c>
    </row>
    <row r="482" spans="1:19" x14ac:dyDescent="0.35">
      <c r="A482" t="s">
        <v>1948</v>
      </c>
      <c r="B482" t="s">
        <v>555</v>
      </c>
      <c r="C482" s="1">
        <v>45317</v>
      </c>
      <c r="D482" t="s">
        <v>28</v>
      </c>
      <c r="E482" t="s">
        <v>40</v>
      </c>
      <c r="F482" t="s">
        <v>24</v>
      </c>
      <c r="G482" t="s">
        <v>25</v>
      </c>
      <c r="H482" t="s">
        <v>59</v>
      </c>
      <c r="I482" t="s">
        <v>60</v>
      </c>
      <c r="J482">
        <v>5</v>
      </c>
      <c r="K482">
        <v>390</v>
      </c>
      <c r="L482">
        <v>1950</v>
      </c>
      <c r="M482">
        <v>38</v>
      </c>
      <c r="N482" t="s">
        <v>38</v>
      </c>
      <c r="O482">
        <v>4.2</v>
      </c>
      <c r="P482" s="2">
        <f>EOMONTH(Table1[[#This Row],[Order_Date]],0)</f>
        <v>45322</v>
      </c>
      <c r="Q482" s="3">
        <f>WEEKNUM(Table1[[#This Row],[Order_Date]])</f>
        <v>4</v>
      </c>
      <c r="R482">
        <f>YEAR(Table1[[#This Row],[Order_Date]])</f>
        <v>2024</v>
      </c>
      <c r="S482" t="str">
        <f>IF(Table1[[#This Row],[Quantity]]&gt;=3,"Promo","Regular")</f>
        <v>Promo</v>
      </c>
    </row>
    <row r="483" spans="1:19" x14ac:dyDescent="0.35">
      <c r="A483" t="s">
        <v>1948</v>
      </c>
      <c r="B483" t="s">
        <v>556</v>
      </c>
      <c r="C483" s="1">
        <v>45495</v>
      </c>
      <c r="D483" t="s">
        <v>57</v>
      </c>
      <c r="E483" t="s">
        <v>58</v>
      </c>
      <c r="F483" t="s">
        <v>72</v>
      </c>
      <c r="G483" t="s">
        <v>36</v>
      </c>
      <c r="H483" t="s">
        <v>26</v>
      </c>
      <c r="I483" t="s">
        <v>20</v>
      </c>
      <c r="J483">
        <v>5</v>
      </c>
      <c r="K483">
        <v>180</v>
      </c>
      <c r="L483">
        <v>900</v>
      </c>
      <c r="M483">
        <v>37</v>
      </c>
      <c r="N483" t="s">
        <v>33</v>
      </c>
      <c r="O483">
        <v>4.7</v>
      </c>
      <c r="P483" s="2">
        <f>EOMONTH(Table1[[#This Row],[Order_Date]],0)</f>
        <v>45504</v>
      </c>
      <c r="Q483" s="3">
        <f>WEEKNUM(Table1[[#This Row],[Order_Date]])</f>
        <v>30</v>
      </c>
      <c r="R483">
        <f>YEAR(Table1[[#This Row],[Order_Date]])</f>
        <v>2024</v>
      </c>
      <c r="S483" t="str">
        <f>IF(Table1[[#This Row],[Quantity]]&gt;=3,"Promo","Regular")</f>
        <v>Promo</v>
      </c>
    </row>
    <row r="484" spans="1:19" x14ac:dyDescent="0.35">
      <c r="A484" t="s">
        <v>1949</v>
      </c>
      <c r="B484" t="s">
        <v>557</v>
      </c>
      <c r="C484" s="1">
        <v>45481</v>
      </c>
      <c r="D484" t="s">
        <v>57</v>
      </c>
      <c r="E484" t="s">
        <v>58</v>
      </c>
      <c r="F484" t="s">
        <v>69</v>
      </c>
      <c r="G484" t="s">
        <v>18</v>
      </c>
      <c r="H484" t="s">
        <v>120</v>
      </c>
      <c r="I484" t="s">
        <v>60</v>
      </c>
      <c r="J484">
        <v>1</v>
      </c>
      <c r="K484">
        <v>198</v>
      </c>
      <c r="L484">
        <v>198</v>
      </c>
      <c r="M484">
        <v>52</v>
      </c>
      <c r="N484" t="s">
        <v>38</v>
      </c>
      <c r="O484">
        <v>4.0999999999999996</v>
      </c>
      <c r="P484" s="2">
        <f>EOMONTH(Table1[[#This Row],[Order_Date]],0)</f>
        <v>45504</v>
      </c>
      <c r="Q484" s="3">
        <f>WEEKNUM(Table1[[#This Row],[Order_Date]])</f>
        <v>28</v>
      </c>
      <c r="R484">
        <f>YEAR(Table1[[#This Row],[Order_Date]])</f>
        <v>2024</v>
      </c>
      <c r="S484" t="str">
        <f>IF(Table1[[#This Row],[Quantity]]&gt;=3,"Promo","Regular")</f>
        <v>Regular</v>
      </c>
    </row>
    <row r="485" spans="1:19" x14ac:dyDescent="0.35">
      <c r="A485" t="s">
        <v>1949</v>
      </c>
      <c r="B485" t="s">
        <v>558</v>
      </c>
      <c r="C485" s="1">
        <v>45445</v>
      </c>
      <c r="D485" t="s">
        <v>28</v>
      </c>
      <c r="E485" t="s">
        <v>98</v>
      </c>
      <c r="F485" t="s">
        <v>72</v>
      </c>
      <c r="G485" t="s">
        <v>73</v>
      </c>
      <c r="H485" t="s">
        <v>53</v>
      </c>
      <c r="I485" t="s">
        <v>20</v>
      </c>
      <c r="J485">
        <v>3</v>
      </c>
      <c r="K485">
        <v>299</v>
      </c>
      <c r="L485">
        <v>897</v>
      </c>
      <c r="M485">
        <v>45</v>
      </c>
      <c r="N485" t="s">
        <v>38</v>
      </c>
      <c r="O485">
        <v>4.0999999999999996</v>
      </c>
      <c r="P485" s="2">
        <f>EOMONTH(Table1[[#This Row],[Order_Date]],0)</f>
        <v>45473</v>
      </c>
      <c r="Q485" s="3">
        <f>WEEKNUM(Table1[[#This Row],[Order_Date]])</f>
        <v>23</v>
      </c>
      <c r="R485">
        <f>YEAR(Table1[[#This Row],[Order_Date]])</f>
        <v>2024</v>
      </c>
      <c r="S485" t="str">
        <f>IF(Table1[[#This Row],[Quantity]]&gt;=3,"Promo","Regular")</f>
        <v>Promo</v>
      </c>
    </row>
    <row r="486" spans="1:19" x14ac:dyDescent="0.35">
      <c r="A486" t="s">
        <v>1950</v>
      </c>
      <c r="B486" t="s">
        <v>559</v>
      </c>
      <c r="C486" s="1">
        <v>45431</v>
      </c>
      <c r="D486" t="s">
        <v>57</v>
      </c>
      <c r="E486" t="s">
        <v>75</v>
      </c>
      <c r="F486" t="s">
        <v>85</v>
      </c>
      <c r="G486" t="s">
        <v>46</v>
      </c>
      <c r="H486" t="s">
        <v>53</v>
      </c>
      <c r="I486" t="s">
        <v>20</v>
      </c>
      <c r="J486">
        <v>2</v>
      </c>
      <c r="K486">
        <v>438</v>
      </c>
      <c r="L486">
        <v>876</v>
      </c>
      <c r="M486">
        <v>37</v>
      </c>
      <c r="N486" t="s">
        <v>38</v>
      </c>
      <c r="O486">
        <v>4.5</v>
      </c>
      <c r="P486" s="2">
        <f>EOMONTH(Table1[[#This Row],[Order_Date]],0)</f>
        <v>45443</v>
      </c>
      <c r="Q486" s="3">
        <f>WEEKNUM(Table1[[#This Row],[Order_Date]])</f>
        <v>21</v>
      </c>
      <c r="R486">
        <f>YEAR(Table1[[#This Row],[Order_Date]])</f>
        <v>2024</v>
      </c>
      <c r="S486" t="str">
        <f>IF(Table1[[#This Row],[Quantity]]&gt;=3,"Promo","Regular")</f>
        <v>Regular</v>
      </c>
    </row>
    <row r="487" spans="1:19" x14ac:dyDescent="0.35">
      <c r="A487" t="s">
        <v>1950</v>
      </c>
      <c r="B487" t="s">
        <v>560</v>
      </c>
      <c r="C487" s="1">
        <v>45495</v>
      </c>
      <c r="D487" t="s">
        <v>48</v>
      </c>
      <c r="E487" t="s">
        <v>68</v>
      </c>
      <c r="F487" t="s">
        <v>45</v>
      </c>
      <c r="G487" t="s">
        <v>25</v>
      </c>
      <c r="H487" t="s">
        <v>66</v>
      </c>
      <c r="I487" t="s">
        <v>20</v>
      </c>
      <c r="J487">
        <v>5</v>
      </c>
      <c r="K487">
        <v>257</v>
      </c>
      <c r="L487">
        <v>1285</v>
      </c>
      <c r="M487">
        <v>54</v>
      </c>
      <c r="N487" t="s">
        <v>21</v>
      </c>
      <c r="O487">
        <v>3.6</v>
      </c>
      <c r="P487" s="2">
        <f>EOMONTH(Table1[[#This Row],[Order_Date]],0)</f>
        <v>45504</v>
      </c>
      <c r="Q487" s="3">
        <f>WEEKNUM(Table1[[#This Row],[Order_Date]])</f>
        <v>30</v>
      </c>
      <c r="R487">
        <f>YEAR(Table1[[#This Row],[Order_Date]])</f>
        <v>2024</v>
      </c>
      <c r="S487" t="str">
        <f>IF(Table1[[#This Row],[Quantity]]&gt;=3,"Promo","Regular")</f>
        <v>Promo</v>
      </c>
    </row>
    <row r="488" spans="1:19" x14ac:dyDescent="0.35">
      <c r="A488" t="s">
        <v>1950</v>
      </c>
      <c r="B488" t="s">
        <v>561</v>
      </c>
      <c r="C488" s="1">
        <v>45324</v>
      </c>
      <c r="D488" t="s">
        <v>43</v>
      </c>
      <c r="E488" t="s">
        <v>44</v>
      </c>
      <c r="F488" t="s">
        <v>72</v>
      </c>
      <c r="G488" t="s">
        <v>73</v>
      </c>
      <c r="H488" t="s">
        <v>32</v>
      </c>
      <c r="I488" t="s">
        <v>20</v>
      </c>
      <c r="J488">
        <v>3</v>
      </c>
      <c r="K488">
        <v>272</v>
      </c>
      <c r="L488">
        <v>816</v>
      </c>
      <c r="M488">
        <v>30</v>
      </c>
      <c r="N488" t="s">
        <v>38</v>
      </c>
      <c r="O488">
        <v>5</v>
      </c>
      <c r="P488" s="2">
        <f>EOMONTH(Table1[[#This Row],[Order_Date]],0)</f>
        <v>45351</v>
      </c>
      <c r="Q488" s="3">
        <f>WEEKNUM(Table1[[#This Row],[Order_Date]])</f>
        <v>5</v>
      </c>
      <c r="R488">
        <f>YEAR(Table1[[#This Row],[Order_Date]])</f>
        <v>2024</v>
      </c>
      <c r="S488" t="str">
        <f>IF(Table1[[#This Row],[Quantity]]&gt;=3,"Promo","Regular")</f>
        <v>Promo</v>
      </c>
    </row>
    <row r="489" spans="1:19" x14ac:dyDescent="0.35">
      <c r="A489" t="s">
        <v>1951</v>
      </c>
      <c r="B489" t="s">
        <v>562</v>
      </c>
      <c r="C489" s="1">
        <v>45446</v>
      </c>
      <c r="D489" t="s">
        <v>28</v>
      </c>
      <c r="E489" t="s">
        <v>29</v>
      </c>
      <c r="F489" t="s">
        <v>41</v>
      </c>
      <c r="G489" t="s">
        <v>36</v>
      </c>
      <c r="H489" t="s">
        <v>19</v>
      </c>
      <c r="I489" t="s">
        <v>20</v>
      </c>
      <c r="J489">
        <v>2</v>
      </c>
      <c r="K489">
        <v>249</v>
      </c>
      <c r="L489">
        <v>498</v>
      </c>
      <c r="M489">
        <v>31</v>
      </c>
      <c r="N489" t="s">
        <v>21</v>
      </c>
      <c r="O489">
        <v>3.7</v>
      </c>
      <c r="P489" s="2">
        <f>EOMONTH(Table1[[#This Row],[Order_Date]],0)</f>
        <v>45473</v>
      </c>
      <c r="Q489" s="3">
        <f>WEEKNUM(Table1[[#This Row],[Order_Date]])</f>
        <v>23</v>
      </c>
      <c r="R489">
        <f>YEAR(Table1[[#This Row],[Order_Date]])</f>
        <v>2024</v>
      </c>
      <c r="S489" t="str">
        <f>IF(Table1[[#This Row],[Quantity]]&gt;=3,"Promo","Regular")</f>
        <v>Regular</v>
      </c>
    </row>
    <row r="490" spans="1:19" x14ac:dyDescent="0.35">
      <c r="A490" t="s">
        <v>1951</v>
      </c>
      <c r="B490" t="s">
        <v>563</v>
      </c>
      <c r="C490" s="1">
        <v>45310</v>
      </c>
      <c r="D490" t="s">
        <v>15</v>
      </c>
      <c r="E490" t="s">
        <v>16</v>
      </c>
      <c r="F490" t="s">
        <v>65</v>
      </c>
      <c r="G490" t="s">
        <v>25</v>
      </c>
      <c r="H490" t="s">
        <v>59</v>
      </c>
      <c r="I490" t="s">
        <v>60</v>
      </c>
      <c r="J490">
        <v>5</v>
      </c>
      <c r="K490">
        <v>297</v>
      </c>
      <c r="L490">
        <v>1485</v>
      </c>
      <c r="M490">
        <v>21</v>
      </c>
      <c r="N490" t="s">
        <v>33</v>
      </c>
      <c r="O490">
        <v>3.4</v>
      </c>
      <c r="P490" s="2">
        <f>EOMONTH(Table1[[#This Row],[Order_Date]],0)</f>
        <v>45322</v>
      </c>
      <c r="Q490" s="3">
        <f>WEEKNUM(Table1[[#This Row],[Order_Date]])</f>
        <v>3</v>
      </c>
      <c r="R490">
        <f>YEAR(Table1[[#This Row],[Order_Date]])</f>
        <v>2024</v>
      </c>
      <c r="S490" t="str">
        <f>IF(Table1[[#This Row],[Quantity]]&gt;=3,"Promo","Regular")</f>
        <v>Promo</v>
      </c>
    </row>
    <row r="491" spans="1:19" x14ac:dyDescent="0.35">
      <c r="A491" t="s">
        <v>1951</v>
      </c>
      <c r="B491" t="s">
        <v>564</v>
      </c>
      <c r="C491" s="1">
        <v>45356</v>
      </c>
      <c r="D491" t="s">
        <v>57</v>
      </c>
      <c r="E491" t="s">
        <v>58</v>
      </c>
      <c r="F491" t="s">
        <v>72</v>
      </c>
      <c r="G491" t="s">
        <v>31</v>
      </c>
      <c r="H491" t="s">
        <v>50</v>
      </c>
      <c r="I491" t="s">
        <v>20</v>
      </c>
      <c r="J491">
        <v>4</v>
      </c>
      <c r="K491">
        <v>402</v>
      </c>
      <c r="L491">
        <v>1608</v>
      </c>
      <c r="M491">
        <v>22</v>
      </c>
      <c r="N491" t="s">
        <v>21</v>
      </c>
      <c r="O491">
        <v>3</v>
      </c>
      <c r="P491" s="2">
        <f>EOMONTH(Table1[[#This Row],[Order_Date]],0)</f>
        <v>45382</v>
      </c>
      <c r="Q491" s="3">
        <f>WEEKNUM(Table1[[#This Row],[Order_Date]])</f>
        <v>10</v>
      </c>
      <c r="R491">
        <f>YEAR(Table1[[#This Row],[Order_Date]])</f>
        <v>2024</v>
      </c>
      <c r="S491" t="str">
        <f>IF(Table1[[#This Row],[Quantity]]&gt;=3,"Promo","Regular")</f>
        <v>Promo</v>
      </c>
    </row>
    <row r="492" spans="1:19" x14ac:dyDescent="0.35">
      <c r="A492" t="s">
        <v>1952</v>
      </c>
      <c r="B492" t="s">
        <v>565</v>
      </c>
      <c r="C492" s="1">
        <v>45417</v>
      </c>
      <c r="D492" t="s">
        <v>15</v>
      </c>
      <c r="E492" t="s">
        <v>112</v>
      </c>
      <c r="F492" t="s">
        <v>24</v>
      </c>
      <c r="G492" t="s">
        <v>18</v>
      </c>
      <c r="H492" t="s">
        <v>120</v>
      </c>
      <c r="I492" t="s">
        <v>60</v>
      </c>
      <c r="J492">
        <v>2</v>
      </c>
      <c r="K492">
        <v>266</v>
      </c>
      <c r="L492">
        <v>532</v>
      </c>
      <c r="M492">
        <v>51</v>
      </c>
      <c r="N492" t="s">
        <v>21</v>
      </c>
      <c r="O492">
        <v>3.9</v>
      </c>
      <c r="P492" s="2">
        <f>EOMONTH(Table1[[#This Row],[Order_Date]],0)</f>
        <v>45443</v>
      </c>
      <c r="Q492" s="3">
        <f>WEEKNUM(Table1[[#This Row],[Order_Date]])</f>
        <v>19</v>
      </c>
      <c r="R492">
        <f>YEAR(Table1[[#This Row],[Order_Date]])</f>
        <v>2024</v>
      </c>
      <c r="S492" t="str">
        <f>IF(Table1[[#This Row],[Quantity]]&gt;=3,"Promo","Regular")</f>
        <v>Regular</v>
      </c>
    </row>
    <row r="493" spans="1:19" x14ac:dyDescent="0.35">
      <c r="A493" t="s">
        <v>1952</v>
      </c>
      <c r="B493" t="s">
        <v>566</v>
      </c>
      <c r="C493" s="1">
        <v>45466</v>
      </c>
      <c r="D493" t="s">
        <v>57</v>
      </c>
      <c r="E493" t="s">
        <v>136</v>
      </c>
      <c r="F493" t="s">
        <v>24</v>
      </c>
      <c r="G493" t="s">
        <v>25</v>
      </c>
      <c r="H493" t="s">
        <v>120</v>
      </c>
      <c r="I493" t="s">
        <v>60</v>
      </c>
      <c r="J493">
        <v>5</v>
      </c>
      <c r="K493">
        <v>336</v>
      </c>
      <c r="L493">
        <v>1680</v>
      </c>
      <c r="M493">
        <v>53</v>
      </c>
      <c r="N493" t="s">
        <v>21</v>
      </c>
      <c r="O493">
        <v>3.1</v>
      </c>
      <c r="P493" s="2">
        <f>EOMONTH(Table1[[#This Row],[Order_Date]],0)</f>
        <v>45473</v>
      </c>
      <c r="Q493" s="3">
        <f>WEEKNUM(Table1[[#This Row],[Order_Date]])</f>
        <v>26</v>
      </c>
      <c r="R493">
        <f>YEAR(Table1[[#This Row],[Order_Date]])</f>
        <v>2024</v>
      </c>
      <c r="S493" t="str">
        <f>IF(Table1[[#This Row],[Quantity]]&gt;=3,"Promo","Regular")</f>
        <v>Promo</v>
      </c>
    </row>
    <row r="494" spans="1:19" x14ac:dyDescent="0.35">
      <c r="A494" t="s">
        <v>1952</v>
      </c>
      <c r="B494" t="s">
        <v>567</v>
      </c>
      <c r="C494" s="1">
        <v>45367</v>
      </c>
      <c r="D494" t="s">
        <v>15</v>
      </c>
      <c r="E494" t="s">
        <v>112</v>
      </c>
      <c r="F494" t="s">
        <v>17</v>
      </c>
      <c r="G494" t="s">
        <v>31</v>
      </c>
      <c r="H494" t="s">
        <v>53</v>
      </c>
      <c r="I494" t="s">
        <v>20</v>
      </c>
      <c r="J494">
        <v>1</v>
      </c>
      <c r="K494">
        <v>139</v>
      </c>
      <c r="L494">
        <v>139</v>
      </c>
      <c r="M494">
        <v>59</v>
      </c>
      <c r="N494" t="s">
        <v>21</v>
      </c>
      <c r="O494">
        <v>5</v>
      </c>
      <c r="P494" s="2">
        <f>EOMONTH(Table1[[#This Row],[Order_Date]],0)</f>
        <v>45382</v>
      </c>
      <c r="Q494" s="3">
        <f>WEEKNUM(Table1[[#This Row],[Order_Date]])</f>
        <v>11</v>
      </c>
      <c r="R494">
        <f>YEAR(Table1[[#This Row],[Order_Date]])</f>
        <v>2024</v>
      </c>
      <c r="S494" t="str">
        <f>IF(Table1[[#This Row],[Quantity]]&gt;=3,"Promo","Regular")</f>
        <v>Regular</v>
      </c>
    </row>
    <row r="495" spans="1:19" x14ac:dyDescent="0.35">
      <c r="A495" t="s">
        <v>1952</v>
      </c>
      <c r="B495" t="s">
        <v>568</v>
      </c>
      <c r="C495" s="1">
        <v>45523</v>
      </c>
      <c r="D495" t="s">
        <v>28</v>
      </c>
      <c r="E495" t="s">
        <v>98</v>
      </c>
      <c r="F495" t="s">
        <v>30</v>
      </c>
      <c r="G495" t="s">
        <v>31</v>
      </c>
      <c r="H495" t="s">
        <v>120</v>
      </c>
      <c r="I495" t="s">
        <v>60</v>
      </c>
      <c r="J495">
        <v>4</v>
      </c>
      <c r="K495">
        <v>194</v>
      </c>
      <c r="L495">
        <v>776</v>
      </c>
      <c r="M495">
        <v>56</v>
      </c>
      <c r="N495" t="s">
        <v>21</v>
      </c>
      <c r="O495">
        <v>4.4000000000000004</v>
      </c>
      <c r="P495" s="2">
        <f>EOMONTH(Table1[[#This Row],[Order_Date]],0)</f>
        <v>45535</v>
      </c>
      <c r="Q495" s="3">
        <f>WEEKNUM(Table1[[#This Row],[Order_Date]])</f>
        <v>34</v>
      </c>
      <c r="R495">
        <f>YEAR(Table1[[#This Row],[Order_Date]])</f>
        <v>2024</v>
      </c>
      <c r="S495" t="str">
        <f>IF(Table1[[#This Row],[Quantity]]&gt;=3,"Promo","Regular")</f>
        <v>Promo</v>
      </c>
    </row>
    <row r="496" spans="1:19" x14ac:dyDescent="0.35">
      <c r="A496" t="s">
        <v>1953</v>
      </c>
      <c r="B496" t="s">
        <v>569</v>
      </c>
      <c r="C496" s="1">
        <v>45338</v>
      </c>
      <c r="D496" t="s">
        <v>28</v>
      </c>
      <c r="E496" t="s">
        <v>29</v>
      </c>
      <c r="F496" t="s">
        <v>72</v>
      </c>
      <c r="G496" t="s">
        <v>25</v>
      </c>
      <c r="H496" t="s">
        <v>120</v>
      </c>
      <c r="I496" t="s">
        <v>60</v>
      </c>
      <c r="J496">
        <v>2</v>
      </c>
      <c r="K496">
        <v>245</v>
      </c>
      <c r="L496">
        <v>490</v>
      </c>
      <c r="M496">
        <v>25</v>
      </c>
      <c r="N496" t="s">
        <v>33</v>
      </c>
      <c r="O496">
        <v>4</v>
      </c>
      <c r="P496" s="2">
        <f>EOMONTH(Table1[[#This Row],[Order_Date]],0)</f>
        <v>45351</v>
      </c>
      <c r="Q496" s="3">
        <f>WEEKNUM(Table1[[#This Row],[Order_Date]])</f>
        <v>7</v>
      </c>
      <c r="R496">
        <f>YEAR(Table1[[#This Row],[Order_Date]])</f>
        <v>2024</v>
      </c>
      <c r="S496" t="str">
        <f>IF(Table1[[#This Row],[Quantity]]&gt;=3,"Promo","Regular")</f>
        <v>Regular</v>
      </c>
    </row>
    <row r="497" spans="1:19" x14ac:dyDescent="0.35">
      <c r="A497" t="s">
        <v>1953</v>
      </c>
      <c r="B497" t="s">
        <v>570</v>
      </c>
      <c r="C497" s="1">
        <v>45399</v>
      </c>
      <c r="D497" t="s">
        <v>15</v>
      </c>
      <c r="E497" t="s">
        <v>95</v>
      </c>
      <c r="F497" t="s">
        <v>41</v>
      </c>
      <c r="G497" t="s">
        <v>18</v>
      </c>
      <c r="H497" t="s">
        <v>19</v>
      </c>
      <c r="I497" t="s">
        <v>20</v>
      </c>
      <c r="J497">
        <v>2</v>
      </c>
      <c r="K497">
        <v>308</v>
      </c>
      <c r="L497">
        <v>616</v>
      </c>
      <c r="M497">
        <v>28</v>
      </c>
      <c r="N497" t="s">
        <v>38</v>
      </c>
      <c r="O497">
        <v>3.5</v>
      </c>
      <c r="P497" s="2">
        <f>EOMONTH(Table1[[#This Row],[Order_Date]],0)</f>
        <v>45412</v>
      </c>
      <c r="Q497" s="3">
        <f>WEEKNUM(Table1[[#This Row],[Order_Date]])</f>
        <v>16</v>
      </c>
      <c r="R497">
        <f>YEAR(Table1[[#This Row],[Order_Date]])</f>
        <v>2024</v>
      </c>
      <c r="S497" t="str">
        <f>IF(Table1[[#This Row],[Quantity]]&gt;=3,"Promo","Regular")</f>
        <v>Regular</v>
      </c>
    </row>
    <row r="498" spans="1:19" x14ac:dyDescent="0.35">
      <c r="A498" t="s">
        <v>1954</v>
      </c>
      <c r="B498" t="s">
        <v>571</v>
      </c>
      <c r="C498" s="1">
        <v>45558</v>
      </c>
      <c r="D498" t="s">
        <v>43</v>
      </c>
      <c r="E498" t="s">
        <v>82</v>
      </c>
      <c r="F498" t="s">
        <v>65</v>
      </c>
      <c r="G498" t="s">
        <v>18</v>
      </c>
      <c r="H498" t="s">
        <v>26</v>
      </c>
      <c r="I498" t="s">
        <v>20</v>
      </c>
      <c r="J498">
        <v>3</v>
      </c>
      <c r="K498">
        <v>167</v>
      </c>
      <c r="L498">
        <v>501</v>
      </c>
      <c r="M498">
        <v>48</v>
      </c>
      <c r="N498" t="s">
        <v>33</v>
      </c>
      <c r="O498">
        <v>3.1</v>
      </c>
      <c r="P498" s="2">
        <f>EOMONTH(Table1[[#This Row],[Order_Date]],0)</f>
        <v>45565</v>
      </c>
      <c r="Q498" s="3">
        <f>WEEKNUM(Table1[[#This Row],[Order_Date]])</f>
        <v>39</v>
      </c>
      <c r="R498">
        <f>YEAR(Table1[[#This Row],[Order_Date]])</f>
        <v>2024</v>
      </c>
      <c r="S498" t="str">
        <f>IF(Table1[[#This Row],[Quantity]]&gt;=3,"Promo","Regular")</f>
        <v>Promo</v>
      </c>
    </row>
    <row r="499" spans="1:19" x14ac:dyDescent="0.35">
      <c r="A499" t="s">
        <v>1954</v>
      </c>
      <c r="B499" t="s">
        <v>572</v>
      </c>
      <c r="C499" s="1">
        <v>45308</v>
      </c>
      <c r="D499" t="s">
        <v>43</v>
      </c>
      <c r="E499" t="s">
        <v>110</v>
      </c>
      <c r="F499" t="s">
        <v>35</v>
      </c>
      <c r="G499" t="s">
        <v>36</v>
      </c>
      <c r="H499" t="s">
        <v>26</v>
      </c>
      <c r="I499" t="s">
        <v>20</v>
      </c>
      <c r="J499">
        <v>3</v>
      </c>
      <c r="K499">
        <v>122</v>
      </c>
      <c r="L499">
        <v>366</v>
      </c>
      <c r="M499">
        <v>28</v>
      </c>
      <c r="N499" t="s">
        <v>38</v>
      </c>
      <c r="O499">
        <v>3.9</v>
      </c>
      <c r="P499" s="2">
        <f>EOMONTH(Table1[[#This Row],[Order_Date]],0)</f>
        <v>45322</v>
      </c>
      <c r="Q499" s="3">
        <f>WEEKNUM(Table1[[#This Row],[Order_Date]])</f>
        <v>3</v>
      </c>
      <c r="R499">
        <f>YEAR(Table1[[#This Row],[Order_Date]])</f>
        <v>2024</v>
      </c>
      <c r="S499" t="str">
        <f>IF(Table1[[#This Row],[Quantity]]&gt;=3,"Promo","Regular")</f>
        <v>Promo</v>
      </c>
    </row>
    <row r="500" spans="1:19" x14ac:dyDescent="0.35">
      <c r="A500" t="s">
        <v>1955</v>
      </c>
      <c r="B500" t="s">
        <v>573</v>
      </c>
      <c r="C500" s="1">
        <v>45299</v>
      </c>
      <c r="D500" t="s">
        <v>15</v>
      </c>
      <c r="E500" t="s">
        <v>95</v>
      </c>
      <c r="F500" t="s">
        <v>65</v>
      </c>
      <c r="G500" t="s">
        <v>73</v>
      </c>
      <c r="H500" t="s">
        <v>53</v>
      </c>
      <c r="I500" t="s">
        <v>20</v>
      </c>
      <c r="J500">
        <v>4</v>
      </c>
      <c r="K500">
        <v>298</v>
      </c>
      <c r="L500">
        <v>1192</v>
      </c>
      <c r="M500">
        <v>20</v>
      </c>
      <c r="N500" t="s">
        <v>21</v>
      </c>
      <c r="O500">
        <v>3.9</v>
      </c>
      <c r="P500" s="2">
        <f>EOMONTH(Table1[[#This Row],[Order_Date]],0)</f>
        <v>45322</v>
      </c>
      <c r="Q500" s="3">
        <f>WEEKNUM(Table1[[#This Row],[Order_Date]])</f>
        <v>2</v>
      </c>
      <c r="R500">
        <f>YEAR(Table1[[#This Row],[Order_Date]])</f>
        <v>2024</v>
      </c>
      <c r="S500" t="str">
        <f>IF(Table1[[#This Row],[Quantity]]&gt;=3,"Promo","Regular")</f>
        <v>Promo</v>
      </c>
    </row>
    <row r="501" spans="1:19" x14ac:dyDescent="0.35">
      <c r="A501" t="s">
        <v>1955</v>
      </c>
      <c r="B501" t="s">
        <v>574</v>
      </c>
      <c r="C501" s="1">
        <v>45414</v>
      </c>
      <c r="D501" t="s">
        <v>57</v>
      </c>
      <c r="E501" t="s">
        <v>136</v>
      </c>
      <c r="F501" t="s">
        <v>30</v>
      </c>
      <c r="G501" t="s">
        <v>36</v>
      </c>
      <c r="H501" t="s">
        <v>55</v>
      </c>
      <c r="I501" t="s">
        <v>20</v>
      </c>
      <c r="J501">
        <v>1</v>
      </c>
      <c r="K501">
        <v>458</v>
      </c>
      <c r="L501">
        <v>458</v>
      </c>
      <c r="M501">
        <v>49</v>
      </c>
      <c r="N501" t="s">
        <v>21</v>
      </c>
      <c r="O501">
        <v>3.1</v>
      </c>
      <c r="P501" s="2">
        <f>EOMONTH(Table1[[#This Row],[Order_Date]],0)</f>
        <v>45443</v>
      </c>
      <c r="Q501" s="3">
        <f>WEEKNUM(Table1[[#This Row],[Order_Date]])</f>
        <v>18</v>
      </c>
      <c r="R501">
        <f>YEAR(Table1[[#This Row],[Order_Date]])</f>
        <v>2024</v>
      </c>
      <c r="S501" t="str">
        <f>IF(Table1[[#This Row],[Quantity]]&gt;=3,"Promo","Regular")</f>
        <v>Regular</v>
      </c>
    </row>
    <row r="502" spans="1:19" x14ac:dyDescent="0.35">
      <c r="A502" t="s">
        <v>1956</v>
      </c>
      <c r="B502" t="s">
        <v>575</v>
      </c>
      <c r="C502" s="1">
        <v>45579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 t="s">
        <v>20</v>
      </c>
      <c r="J502">
        <v>1</v>
      </c>
      <c r="K502">
        <v>461</v>
      </c>
      <c r="L502">
        <v>461</v>
      </c>
      <c r="M502">
        <v>30</v>
      </c>
      <c r="N502" t="s">
        <v>21</v>
      </c>
      <c r="O502">
        <v>4.0999999999999996</v>
      </c>
      <c r="P502" s="2">
        <f>EOMONTH(Table1[[#This Row],[Order_Date]],0)</f>
        <v>45596</v>
      </c>
      <c r="Q502" s="3">
        <f>WEEKNUM(Table1[[#This Row],[Order_Date]])</f>
        <v>42</v>
      </c>
      <c r="R502">
        <f>YEAR(Table1[[#This Row],[Order_Date]])</f>
        <v>2024</v>
      </c>
      <c r="S502" t="str">
        <f>IF(Table1[[#This Row],[Quantity]]&gt;=3,"Promo","Regular")</f>
        <v>Regular</v>
      </c>
    </row>
    <row r="503" spans="1:19" x14ac:dyDescent="0.35">
      <c r="A503" t="s">
        <v>1956</v>
      </c>
      <c r="B503" t="s">
        <v>576</v>
      </c>
      <c r="C503" s="1">
        <v>45488</v>
      </c>
      <c r="D503" t="s">
        <v>15</v>
      </c>
      <c r="E503" t="s">
        <v>23</v>
      </c>
      <c r="F503" t="s">
        <v>24</v>
      </c>
      <c r="G503" t="s">
        <v>25</v>
      </c>
      <c r="H503" t="s">
        <v>26</v>
      </c>
      <c r="I503" t="s">
        <v>20</v>
      </c>
      <c r="J503">
        <v>3</v>
      </c>
      <c r="K503">
        <v>457</v>
      </c>
      <c r="L503">
        <v>1371</v>
      </c>
      <c r="M503">
        <v>42</v>
      </c>
      <c r="N503" t="s">
        <v>21</v>
      </c>
      <c r="O503">
        <v>3.4</v>
      </c>
      <c r="P503" s="2">
        <f>EOMONTH(Table1[[#This Row],[Order_Date]],0)</f>
        <v>45504</v>
      </c>
      <c r="Q503" s="3">
        <f>WEEKNUM(Table1[[#This Row],[Order_Date]])</f>
        <v>29</v>
      </c>
      <c r="R503">
        <f>YEAR(Table1[[#This Row],[Order_Date]])</f>
        <v>2024</v>
      </c>
      <c r="S503" t="str">
        <f>IF(Table1[[#This Row],[Quantity]]&gt;=3,"Promo","Regular")</f>
        <v>Promo</v>
      </c>
    </row>
    <row r="504" spans="1:19" x14ac:dyDescent="0.35">
      <c r="A504" t="s">
        <v>1956</v>
      </c>
      <c r="B504" t="s">
        <v>577</v>
      </c>
      <c r="C504" s="1">
        <v>45412</v>
      </c>
      <c r="D504" t="s">
        <v>28</v>
      </c>
      <c r="E504" t="s">
        <v>29</v>
      </c>
      <c r="F504" t="s">
        <v>30</v>
      </c>
      <c r="G504" t="s">
        <v>31</v>
      </c>
      <c r="H504" t="s">
        <v>32</v>
      </c>
      <c r="I504" t="s">
        <v>20</v>
      </c>
      <c r="J504">
        <v>3</v>
      </c>
      <c r="K504">
        <v>373</v>
      </c>
      <c r="L504">
        <v>1119</v>
      </c>
      <c r="M504">
        <v>32</v>
      </c>
      <c r="N504" t="s">
        <v>33</v>
      </c>
      <c r="O504">
        <v>4.3</v>
      </c>
      <c r="P504" s="2">
        <f>EOMONTH(Table1[[#This Row],[Order_Date]],0)</f>
        <v>45412</v>
      </c>
      <c r="Q504" s="3">
        <f>WEEKNUM(Table1[[#This Row],[Order_Date]])</f>
        <v>18</v>
      </c>
      <c r="R504">
        <f>YEAR(Table1[[#This Row],[Order_Date]])</f>
        <v>2024</v>
      </c>
      <c r="S504" t="str">
        <f>IF(Table1[[#This Row],[Quantity]]&gt;=3,"Promo","Regular")</f>
        <v>Promo</v>
      </c>
    </row>
    <row r="505" spans="1:19" x14ac:dyDescent="0.35">
      <c r="A505" t="s">
        <v>1956</v>
      </c>
      <c r="B505" t="s">
        <v>578</v>
      </c>
      <c r="C505" s="1">
        <v>45555</v>
      </c>
      <c r="D505" t="s">
        <v>15</v>
      </c>
      <c r="E505" t="s">
        <v>23</v>
      </c>
      <c r="F505" t="s">
        <v>35</v>
      </c>
      <c r="G505" t="s">
        <v>36</v>
      </c>
      <c r="H505" t="s">
        <v>37</v>
      </c>
      <c r="I505" t="s">
        <v>20</v>
      </c>
      <c r="J505">
        <v>3</v>
      </c>
      <c r="K505">
        <v>424</v>
      </c>
      <c r="L505">
        <v>1272</v>
      </c>
      <c r="M505">
        <v>44</v>
      </c>
      <c r="N505" t="s">
        <v>38</v>
      </c>
      <c r="O505">
        <v>4.0999999999999996</v>
      </c>
      <c r="P505" s="2">
        <f>EOMONTH(Table1[[#This Row],[Order_Date]],0)</f>
        <v>45565</v>
      </c>
      <c r="Q505" s="3">
        <f>WEEKNUM(Table1[[#This Row],[Order_Date]])</f>
        <v>38</v>
      </c>
      <c r="R505">
        <f>YEAR(Table1[[#This Row],[Order_Date]])</f>
        <v>2024</v>
      </c>
      <c r="S505" t="str">
        <f>IF(Table1[[#This Row],[Quantity]]&gt;=3,"Promo","Regular")</f>
        <v>Promo</v>
      </c>
    </row>
    <row r="506" spans="1:19" x14ac:dyDescent="0.35">
      <c r="A506" t="s">
        <v>1957</v>
      </c>
      <c r="B506" t="s">
        <v>579</v>
      </c>
      <c r="C506" s="1">
        <v>45359</v>
      </c>
      <c r="D506" t="s">
        <v>28</v>
      </c>
      <c r="E506" t="s">
        <v>40</v>
      </c>
      <c r="F506" t="s">
        <v>41</v>
      </c>
      <c r="G506" t="s">
        <v>25</v>
      </c>
      <c r="H506" t="s">
        <v>19</v>
      </c>
      <c r="I506" t="s">
        <v>20</v>
      </c>
      <c r="J506">
        <v>5</v>
      </c>
      <c r="K506">
        <v>313</v>
      </c>
      <c r="L506">
        <v>1565</v>
      </c>
      <c r="M506">
        <v>30</v>
      </c>
      <c r="N506" t="s">
        <v>33</v>
      </c>
      <c r="O506">
        <v>4.7</v>
      </c>
      <c r="P506" s="2">
        <f>EOMONTH(Table1[[#This Row],[Order_Date]],0)</f>
        <v>45382</v>
      </c>
      <c r="Q506" s="3">
        <f>WEEKNUM(Table1[[#This Row],[Order_Date]])</f>
        <v>10</v>
      </c>
      <c r="R506">
        <f>YEAR(Table1[[#This Row],[Order_Date]])</f>
        <v>2024</v>
      </c>
      <c r="S506" t="str">
        <f>IF(Table1[[#This Row],[Quantity]]&gt;=3,"Promo","Regular")</f>
        <v>Promo</v>
      </c>
    </row>
    <row r="507" spans="1:19" x14ac:dyDescent="0.35">
      <c r="A507" t="s">
        <v>1957</v>
      </c>
      <c r="B507" t="s">
        <v>580</v>
      </c>
      <c r="C507" s="1">
        <v>45538</v>
      </c>
      <c r="D507" t="s">
        <v>43</v>
      </c>
      <c r="E507" t="s">
        <v>44</v>
      </c>
      <c r="F507" t="s">
        <v>45</v>
      </c>
      <c r="G507" t="s">
        <v>46</v>
      </c>
      <c r="H507" t="s">
        <v>19</v>
      </c>
      <c r="I507" t="s">
        <v>20</v>
      </c>
      <c r="J507">
        <v>1</v>
      </c>
      <c r="K507">
        <v>431</v>
      </c>
      <c r="L507">
        <v>431</v>
      </c>
      <c r="M507">
        <v>54</v>
      </c>
      <c r="N507" t="s">
        <v>38</v>
      </c>
      <c r="O507">
        <v>3</v>
      </c>
      <c r="P507" s="2">
        <f>EOMONTH(Table1[[#This Row],[Order_Date]],0)</f>
        <v>45565</v>
      </c>
      <c r="Q507" s="3">
        <f>WEEKNUM(Table1[[#This Row],[Order_Date]])</f>
        <v>36</v>
      </c>
      <c r="R507">
        <f>YEAR(Table1[[#This Row],[Order_Date]])</f>
        <v>2024</v>
      </c>
      <c r="S507" t="str">
        <f>IF(Table1[[#This Row],[Quantity]]&gt;=3,"Promo","Regular")</f>
        <v>Regular</v>
      </c>
    </row>
    <row r="508" spans="1:19" x14ac:dyDescent="0.35">
      <c r="A508" t="s">
        <v>1957</v>
      </c>
      <c r="B508" t="s">
        <v>581</v>
      </c>
      <c r="C508" s="1">
        <v>45432</v>
      </c>
      <c r="D508" t="s">
        <v>48</v>
      </c>
      <c r="E508" t="s">
        <v>49</v>
      </c>
      <c r="F508" t="s">
        <v>17</v>
      </c>
      <c r="G508" t="s">
        <v>36</v>
      </c>
      <c r="H508" t="s">
        <v>50</v>
      </c>
      <c r="I508" t="s">
        <v>20</v>
      </c>
      <c r="J508">
        <v>4</v>
      </c>
      <c r="K508">
        <v>495</v>
      </c>
      <c r="L508">
        <v>1980</v>
      </c>
      <c r="M508">
        <v>33</v>
      </c>
      <c r="N508" t="s">
        <v>33</v>
      </c>
      <c r="O508">
        <v>4</v>
      </c>
      <c r="P508" s="2">
        <f>EOMONTH(Table1[[#This Row],[Order_Date]],0)</f>
        <v>45443</v>
      </c>
      <c r="Q508" s="3">
        <f>WEEKNUM(Table1[[#This Row],[Order_Date]])</f>
        <v>21</v>
      </c>
      <c r="R508">
        <f>YEAR(Table1[[#This Row],[Order_Date]])</f>
        <v>2024</v>
      </c>
      <c r="S508" t="str">
        <f>IF(Table1[[#This Row],[Quantity]]&gt;=3,"Promo","Regular")</f>
        <v>Promo</v>
      </c>
    </row>
    <row r="509" spans="1:19" x14ac:dyDescent="0.35">
      <c r="A509" t="s">
        <v>1957</v>
      </c>
      <c r="B509" t="s">
        <v>582</v>
      </c>
      <c r="C509" s="1">
        <v>45375</v>
      </c>
      <c r="D509" t="s">
        <v>43</v>
      </c>
      <c r="E509" t="s">
        <v>52</v>
      </c>
      <c r="F509" t="s">
        <v>24</v>
      </c>
      <c r="G509" t="s">
        <v>18</v>
      </c>
      <c r="H509" t="s">
        <v>53</v>
      </c>
      <c r="I509" t="s">
        <v>20</v>
      </c>
      <c r="J509">
        <v>4</v>
      </c>
      <c r="K509">
        <v>318</v>
      </c>
      <c r="L509">
        <v>1272</v>
      </c>
      <c r="M509">
        <v>46</v>
      </c>
      <c r="N509" t="s">
        <v>33</v>
      </c>
      <c r="O509">
        <v>3.7</v>
      </c>
      <c r="P509" s="2">
        <f>EOMONTH(Table1[[#This Row],[Order_Date]],0)</f>
        <v>45382</v>
      </c>
      <c r="Q509" s="3">
        <f>WEEKNUM(Table1[[#This Row],[Order_Date]])</f>
        <v>13</v>
      </c>
      <c r="R509">
        <f>YEAR(Table1[[#This Row],[Order_Date]])</f>
        <v>2024</v>
      </c>
      <c r="S509" t="str">
        <f>IF(Table1[[#This Row],[Quantity]]&gt;=3,"Promo","Regular")</f>
        <v>Promo</v>
      </c>
    </row>
    <row r="510" spans="1:19" x14ac:dyDescent="0.35">
      <c r="A510" t="s">
        <v>1957</v>
      </c>
      <c r="B510" t="s">
        <v>583</v>
      </c>
      <c r="C510" s="1">
        <v>45310</v>
      </c>
      <c r="D510" t="s">
        <v>28</v>
      </c>
      <c r="E510" t="s">
        <v>40</v>
      </c>
      <c r="F510" t="s">
        <v>17</v>
      </c>
      <c r="G510" t="s">
        <v>25</v>
      </c>
      <c r="H510" t="s">
        <v>55</v>
      </c>
      <c r="I510" t="s">
        <v>20</v>
      </c>
      <c r="J510">
        <v>2</v>
      </c>
      <c r="K510">
        <v>220</v>
      </c>
      <c r="L510">
        <v>440</v>
      </c>
      <c r="M510">
        <v>46</v>
      </c>
      <c r="N510" t="s">
        <v>21</v>
      </c>
      <c r="O510">
        <v>4.2</v>
      </c>
      <c r="P510" s="2">
        <f>EOMONTH(Table1[[#This Row],[Order_Date]],0)</f>
        <v>45322</v>
      </c>
      <c r="Q510" s="3">
        <f>WEEKNUM(Table1[[#This Row],[Order_Date]])</f>
        <v>3</v>
      </c>
      <c r="R510">
        <f>YEAR(Table1[[#This Row],[Order_Date]])</f>
        <v>2024</v>
      </c>
      <c r="S510" t="str">
        <f>IF(Table1[[#This Row],[Quantity]]&gt;=3,"Promo","Regular")</f>
        <v>Regular</v>
      </c>
    </row>
    <row r="511" spans="1:19" x14ac:dyDescent="0.35">
      <c r="A511" t="s">
        <v>1958</v>
      </c>
      <c r="B511" t="s">
        <v>584</v>
      </c>
      <c r="C511" s="1">
        <v>45383</v>
      </c>
      <c r="D511" t="s">
        <v>57</v>
      </c>
      <c r="E511" t="s">
        <v>58</v>
      </c>
      <c r="F511" t="s">
        <v>45</v>
      </c>
      <c r="G511" t="s">
        <v>31</v>
      </c>
      <c r="H511" t="s">
        <v>59</v>
      </c>
      <c r="I511" t="s">
        <v>60</v>
      </c>
      <c r="J511">
        <v>5</v>
      </c>
      <c r="K511">
        <v>158</v>
      </c>
      <c r="L511">
        <v>790</v>
      </c>
      <c r="M511">
        <v>46</v>
      </c>
      <c r="N511" t="s">
        <v>33</v>
      </c>
      <c r="O511">
        <v>3.2</v>
      </c>
      <c r="P511" s="2">
        <f>EOMONTH(Table1[[#This Row],[Order_Date]],0)</f>
        <v>45412</v>
      </c>
      <c r="Q511" s="3">
        <f>WEEKNUM(Table1[[#This Row],[Order_Date]])</f>
        <v>14</v>
      </c>
      <c r="R511">
        <f>YEAR(Table1[[#This Row],[Order_Date]])</f>
        <v>2024</v>
      </c>
      <c r="S511" t="str">
        <f>IF(Table1[[#This Row],[Quantity]]&gt;=3,"Promo","Regular")</f>
        <v>Promo</v>
      </c>
    </row>
    <row r="512" spans="1:19" x14ac:dyDescent="0.35">
      <c r="A512" t="s">
        <v>1958</v>
      </c>
      <c r="B512" t="s">
        <v>585</v>
      </c>
      <c r="C512" s="1">
        <v>45580</v>
      </c>
      <c r="D512" t="s">
        <v>57</v>
      </c>
      <c r="E512" t="s">
        <v>62</v>
      </c>
      <c r="F512" t="s">
        <v>41</v>
      </c>
      <c r="G512" t="s">
        <v>18</v>
      </c>
      <c r="H512" t="s">
        <v>26</v>
      </c>
      <c r="I512" t="s">
        <v>20</v>
      </c>
      <c r="J512">
        <v>3</v>
      </c>
      <c r="K512">
        <v>264</v>
      </c>
      <c r="L512">
        <v>792</v>
      </c>
      <c r="M512">
        <v>21</v>
      </c>
      <c r="N512" t="s">
        <v>21</v>
      </c>
      <c r="O512">
        <v>3.9</v>
      </c>
      <c r="P512" s="2">
        <f>EOMONTH(Table1[[#This Row],[Order_Date]],0)</f>
        <v>45596</v>
      </c>
      <c r="Q512" s="3">
        <f>WEEKNUM(Table1[[#This Row],[Order_Date]])</f>
        <v>42</v>
      </c>
      <c r="R512">
        <f>YEAR(Table1[[#This Row],[Order_Date]])</f>
        <v>2024</v>
      </c>
      <c r="S512" t="str">
        <f>IF(Table1[[#This Row],[Quantity]]&gt;=3,"Promo","Regular")</f>
        <v>Promo</v>
      </c>
    </row>
    <row r="513" spans="1:19" x14ac:dyDescent="0.35">
      <c r="A513" t="s">
        <v>1958</v>
      </c>
      <c r="B513" t="s">
        <v>586</v>
      </c>
      <c r="C513" s="1">
        <v>45441</v>
      </c>
      <c r="D513" t="s">
        <v>48</v>
      </c>
      <c r="E513" t="s">
        <v>64</v>
      </c>
      <c r="F513" t="s">
        <v>65</v>
      </c>
      <c r="G513" t="s">
        <v>36</v>
      </c>
      <c r="H513" t="s">
        <v>66</v>
      </c>
      <c r="I513" t="s">
        <v>20</v>
      </c>
      <c r="J513">
        <v>4</v>
      </c>
      <c r="K513">
        <v>387</v>
      </c>
      <c r="L513">
        <v>1548</v>
      </c>
      <c r="M513">
        <v>52</v>
      </c>
      <c r="N513" t="s">
        <v>33</v>
      </c>
      <c r="O513">
        <v>4</v>
      </c>
      <c r="P513" s="2">
        <f>EOMONTH(Table1[[#This Row],[Order_Date]],0)</f>
        <v>45443</v>
      </c>
      <c r="Q513" s="3">
        <f>WEEKNUM(Table1[[#This Row],[Order_Date]])</f>
        <v>22</v>
      </c>
      <c r="R513">
        <f>YEAR(Table1[[#This Row],[Order_Date]])</f>
        <v>2024</v>
      </c>
      <c r="S513" t="str">
        <f>IF(Table1[[#This Row],[Quantity]]&gt;=3,"Promo","Regular")</f>
        <v>Promo</v>
      </c>
    </row>
    <row r="514" spans="1:19" x14ac:dyDescent="0.35">
      <c r="A514" t="s">
        <v>1958</v>
      </c>
      <c r="B514" t="s">
        <v>587</v>
      </c>
      <c r="C514" s="1">
        <v>45412</v>
      </c>
      <c r="D514" t="s">
        <v>48</v>
      </c>
      <c r="E514" t="s">
        <v>68</v>
      </c>
      <c r="F514" t="s">
        <v>69</v>
      </c>
      <c r="G514" t="s">
        <v>25</v>
      </c>
      <c r="H514" t="s">
        <v>55</v>
      </c>
      <c r="I514" t="s">
        <v>20</v>
      </c>
      <c r="J514">
        <v>1</v>
      </c>
      <c r="K514">
        <v>313</v>
      </c>
      <c r="L514">
        <v>313</v>
      </c>
      <c r="M514">
        <v>40</v>
      </c>
      <c r="N514" t="s">
        <v>38</v>
      </c>
      <c r="O514">
        <v>3.7</v>
      </c>
      <c r="P514" s="2">
        <f>EOMONTH(Table1[[#This Row],[Order_Date]],0)</f>
        <v>45412</v>
      </c>
      <c r="Q514" s="3">
        <f>WEEKNUM(Table1[[#This Row],[Order_Date]])</f>
        <v>18</v>
      </c>
      <c r="R514">
        <f>YEAR(Table1[[#This Row],[Order_Date]])</f>
        <v>2024</v>
      </c>
      <c r="S514" t="str">
        <f>IF(Table1[[#This Row],[Quantity]]&gt;=3,"Promo","Regular")</f>
        <v>Regular</v>
      </c>
    </row>
    <row r="515" spans="1:19" x14ac:dyDescent="0.35">
      <c r="A515" t="s">
        <v>1959</v>
      </c>
      <c r="B515" t="s">
        <v>588</v>
      </c>
      <c r="C515" s="1">
        <v>45462</v>
      </c>
      <c r="D515" t="s">
        <v>28</v>
      </c>
      <c r="E515" t="s">
        <v>71</v>
      </c>
      <c r="F515" t="s">
        <v>72</v>
      </c>
      <c r="G515" t="s">
        <v>73</v>
      </c>
      <c r="H515" t="s">
        <v>59</v>
      </c>
      <c r="I515" t="s">
        <v>60</v>
      </c>
      <c r="J515">
        <v>1</v>
      </c>
      <c r="K515">
        <v>241</v>
      </c>
      <c r="L515">
        <v>241</v>
      </c>
      <c r="M515">
        <v>35</v>
      </c>
      <c r="N515" t="s">
        <v>38</v>
      </c>
      <c r="O515">
        <v>4.3</v>
      </c>
      <c r="P515" s="2">
        <f>EOMONTH(Table1[[#This Row],[Order_Date]],0)</f>
        <v>45473</v>
      </c>
      <c r="Q515" s="3">
        <f>WEEKNUM(Table1[[#This Row],[Order_Date]])</f>
        <v>25</v>
      </c>
      <c r="R515">
        <f>YEAR(Table1[[#This Row],[Order_Date]])</f>
        <v>2024</v>
      </c>
      <c r="S515" t="str">
        <f>IF(Table1[[#This Row],[Quantity]]&gt;=3,"Promo","Regular")</f>
        <v>Regular</v>
      </c>
    </row>
    <row r="516" spans="1:19" x14ac:dyDescent="0.35">
      <c r="A516" t="s">
        <v>1959</v>
      </c>
      <c r="B516" t="s">
        <v>589</v>
      </c>
      <c r="C516" s="1">
        <v>45345</v>
      </c>
      <c r="D516" t="s">
        <v>57</v>
      </c>
      <c r="E516" t="s">
        <v>75</v>
      </c>
      <c r="F516" t="s">
        <v>69</v>
      </c>
      <c r="G516" t="s">
        <v>36</v>
      </c>
      <c r="H516" t="s">
        <v>53</v>
      </c>
      <c r="I516" t="s">
        <v>20</v>
      </c>
      <c r="J516">
        <v>2</v>
      </c>
      <c r="K516">
        <v>199</v>
      </c>
      <c r="L516">
        <v>398</v>
      </c>
      <c r="M516">
        <v>47</v>
      </c>
      <c r="N516" t="s">
        <v>33</v>
      </c>
      <c r="O516">
        <v>3.6</v>
      </c>
      <c r="P516" s="2">
        <f>EOMONTH(Table1[[#This Row],[Order_Date]],0)</f>
        <v>45351</v>
      </c>
      <c r="Q516" s="3">
        <f>WEEKNUM(Table1[[#This Row],[Order_Date]])</f>
        <v>8</v>
      </c>
      <c r="R516">
        <f>YEAR(Table1[[#This Row],[Order_Date]])</f>
        <v>2024</v>
      </c>
      <c r="S516" t="str">
        <f>IF(Table1[[#This Row],[Quantity]]&gt;=3,"Promo","Regular")</f>
        <v>Regular</v>
      </c>
    </row>
    <row r="517" spans="1:19" x14ac:dyDescent="0.35">
      <c r="A517" t="s">
        <v>1960</v>
      </c>
      <c r="B517" t="s">
        <v>590</v>
      </c>
      <c r="C517" s="1">
        <v>45313</v>
      </c>
      <c r="D517" t="s">
        <v>28</v>
      </c>
      <c r="E517" t="s">
        <v>77</v>
      </c>
      <c r="F517" t="s">
        <v>45</v>
      </c>
      <c r="G517" t="s">
        <v>18</v>
      </c>
      <c r="H517" t="s">
        <v>26</v>
      </c>
      <c r="I517" t="s">
        <v>20</v>
      </c>
      <c r="J517">
        <v>2</v>
      </c>
      <c r="K517">
        <v>309</v>
      </c>
      <c r="L517">
        <v>618</v>
      </c>
      <c r="M517">
        <v>23</v>
      </c>
      <c r="N517" t="s">
        <v>38</v>
      </c>
      <c r="O517">
        <v>3.6</v>
      </c>
      <c r="P517" s="2">
        <f>EOMONTH(Table1[[#This Row],[Order_Date]],0)</f>
        <v>45322</v>
      </c>
      <c r="Q517" s="3">
        <f>WEEKNUM(Table1[[#This Row],[Order_Date]])</f>
        <v>4</v>
      </c>
      <c r="R517">
        <f>YEAR(Table1[[#This Row],[Order_Date]])</f>
        <v>2024</v>
      </c>
      <c r="S517" t="str">
        <f>IF(Table1[[#This Row],[Quantity]]&gt;=3,"Promo","Regular")</f>
        <v>Regular</v>
      </c>
    </row>
    <row r="518" spans="1:19" x14ac:dyDescent="0.35">
      <c r="A518" t="s">
        <v>1960</v>
      </c>
      <c r="B518" t="s">
        <v>591</v>
      </c>
      <c r="C518" s="1">
        <v>45428</v>
      </c>
      <c r="D518" t="s">
        <v>43</v>
      </c>
      <c r="E518" t="s">
        <v>52</v>
      </c>
      <c r="F518" t="s">
        <v>45</v>
      </c>
      <c r="G518" t="s">
        <v>73</v>
      </c>
      <c r="H518" t="s">
        <v>37</v>
      </c>
      <c r="I518" t="s">
        <v>20</v>
      </c>
      <c r="J518">
        <v>5</v>
      </c>
      <c r="K518">
        <v>111</v>
      </c>
      <c r="L518">
        <v>555</v>
      </c>
      <c r="M518">
        <v>30</v>
      </c>
      <c r="N518" t="s">
        <v>38</v>
      </c>
      <c r="O518">
        <v>4.0999999999999996</v>
      </c>
      <c r="P518" s="2">
        <f>EOMONTH(Table1[[#This Row],[Order_Date]],0)</f>
        <v>45443</v>
      </c>
      <c r="Q518" s="3">
        <f>WEEKNUM(Table1[[#This Row],[Order_Date]])</f>
        <v>20</v>
      </c>
      <c r="R518">
        <f>YEAR(Table1[[#This Row],[Order_Date]])</f>
        <v>2024</v>
      </c>
      <c r="S518" t="str">
        <f>IF(Table1[[#This Row],[Quantity]]&gt;=3,"Promo","Regular")</f>
        <v>Promo</v>
      </c>
    </row>
    <row r="519" spans="1:19" x14ac:dyDescent="0.35">
      <c r="A519" t="s">
        <v>1960</v>
      </c>
      <c r="B519" t="s">
        <v>592</v>
      </c>
      <c r="C519" s="1">
        <v>45533</v>
      </c>
      <c r="D519" t="s">
        <v>15</v>
      </c>
      <c r="E519" t="s">
        <v>16</v>
      </c>
      <c r="F519" t="s">
        <v>45</v>
      </c>
      <c r="G519" t="s">
        <v>46</v>
      </c>
      <c r="H519" t="s">
        <v>50</v>
      </c>
      <c r="I519" t="s">
        <v>20</v>
      </c>
      <c r="J519">
        <v>5</v>
      </c>
      <c r="K519">
        <v>223</v>
      </c>
      <c r="L519">
        <v>1115</v>
      </c>
      <c r="M519">
        <v>23</v>
      </c>
      <c r="N519" t="s">
        <v>33</v>
      </c>
      <c r="O519">
        <v>3.7</v>
      </c>
      <c r="P519" s="2">
        <f>EOMONTH(Table1[[#This Row],[Order_Date]],0)</f>
        <v>45535</v>
      </c>
      <c r="Q519" s="3">
        <f>WEEKNUM(Table1[[#This Row],[Order_Date]])</f>
        <v>35</v>
      </c>
      <c r="R519">
        <f>YEAR(Table1[[#This Row],[Order_Date]])</f>
        <v>2024</v>
      </c>
      <c r="S519" t="str">
        <f>IF(Table1[[#This Row],[Quantity]]&gt;=3,"Promo","Regular")</f>
        <v>Promo</v>
      </c>
    </row>
    <row r="520" spans="1:19" x14ac:dyDescent="0.35">
      <c r="A520" t="s">
        <v>1961</v>
      </c>
      <c r="B520" t="s">
        <v>593</v>
      </c>
      <c r="C520" s="1">
        <v>45357</v>
      </c>
      <c r="D520" t="s">
        <v>28</v>
      </c>
      <c r="E520" t="s">
        <v>77</v>
      </c>
      <c r="F520" t="s">
        <v>17</v>
      </c>
      <c r="G520" t="s">
        <v>46</v>
      </c>
      <c r="H520" t="s">
        <v>55</v>
      </c>
      <c r="I520" t="s">
        <v>20</v>
      </c>
      <c r="J520">
        <v>2</v>
      </c>
      <c r="K520">
        <v>153</v>
      </c>
      <c r="L520">
        <v>306</v>
      </c>
      <c r="M520">
        <v>24</v>
      </c>
      <c r="N520" t="s">
        <v>21</v>
      </c>
      <c r="O520">
        <v>4.2</v>
      </c>
      <c r="P520" s="2">
        <f>EOMONTH(Table1[[#This Row],[Order_Date]],0)</f>
        <v>45382</v>
      </c>
      <c r="Q520" s="3">
        <f>WEEKNUM(Table1[[#This Row],[Order_Date]])</f>
        <v>10</v>
      </c>
      <c r="R520">
        <f>YEAR(Table1[[#This Row],[Order_Date]])</f>
        <v>2024</v>
      </c>
      <c r="S520" t="str">
        <f>IF(Table1[[#This Row],[Quantity]]&gt;=3,"Promo","Regular")</f>
        <v>Regular</v>
      </c>
    </row>
    <row r="521" spans="1:19" x14ac:dyDescent="0.35">
      <c r="A521" t="s">
        <v>1961</v>
      </c>
      <c r="B521" t="s">
        <v>594</v>
      </c>
      <c r="C521" s="1">
        <v>45559</v>
      </c>
      <c r="D521" t="s">
        <v>43</v>
      </c>
      <c r="E521" t="s">
        <v>82</v>
      </c>
      <c r="F521" t="s">
        <v>30</v>
      </c>
      <c r="G521" t="s">
        <v>25</v>
      </c>
      <c r="H521" t="s">
        <v>50</v>
      </c>
      <c r="I521" t="s">
        <v>20</v>
      </c>
      <c r="J521">
        <v>2</v>
      </c>
      <c r="K521">
        <v>291</v>
      </c>
      <c r="L521">
        <v>582</v>
      </c>
      <c r="M521">
        <v>40</v>
      </c>
      <c r="N521" t="s">
        <v>38</v>
      </c>
      <c r="O521">
        <v>4.8</v>
      </c>
      <c r="P521" s="2">
        <f>EOMONTH(Table1[[#This Row],[Order_Date]],0)</f>
        <v>45565</v>
      </c>
      <c r="Q521" s="3">
        <f>WEEKNUM(Table1[[#This Row],[Order_Date]])</f>
        <v>39</v>
      </c>
      <c r="R521">
        <f>YEAR(Table1[[#This Row],[Order_Date]])</f>
        <v>2024</v>
      </c>
      <c r="S521" t="str">
        <f>IF(Table1[[#This Row],[Quantity]]&gt;=3,"Promo","Regular")</f>
        <v>Regular</v>
      </c>
    </row>
    <row r="522" spans="1:19" x14ac:dyDescent="0.35">
      <c r="A522" t="s">
        <v>1961</v>
      </c>
      <c r="B522" t="s">
        <v>595</v>
      </c>
      <c r="C522" s="1">
        <v>45480</v>
      </c>
      <c r="D522" t="s">
        <v>43</v>
      </c>
      <c r="E522" t="s">
        <v>52</v>
      </c>
      <c r="F522" t="s">
        <v>72</v>
      </c>
      <c r="G522" t="s">
        <v>18</v>
      </c>
      <c r="H522" t="s">
        <v>32</v>
      </c>
      <c r="I522" t="s">
        <v>20</v>
      </c>
      <c r="J522">
        <v>1</v>
      </c>
      <c r="K522">
        <v>276</v>
      </c>
      <c r="L522">
        <v>276</v>
      </c>
      <c r="M522">
        <v>51</v>
      </c>
      <c r="N522" t="s">
        <v>38</v>
      </c>
      <c r="O522">
        <v>4.0999999999999996</v>
      </c>
      <c r="P522" s="2">
        <f>EOMONTH(Table1[[#This Row],[Order_Date]],0)</f>
        <v>45504</v>
      </c>
      <c r="Q522" s="3">
        <f>WEEKNUM(Table1[[#This Row],[Order_Date]])</f>
        <v>28</v>
      </c>
      <c r="R522">
        <f>YEAR(Table1[[#This Row],[Order_Date]])</f>
        <v>2024</v>
      </c>
      <c r="S522" t="str">
        <f>IF(Table1[[#This Row],[Quantity]]&gt;=3,"Promo","Regular")</f>
        <v>Regular</v>
      </c>
    </row>
    <row r="523" spans="1:19" x14ac:dyDescent="0.35">
      <c r="A523" t="s">
        <v>1961</v>
      </c>
      <c r="B523" t="s">
        <v>596</v>
      </c>
      <c r="C523" s="1">
        <v>45565</v>
      </c>
      <c r="D523" t="s">
        <v>57</v>
      </c>
      <c r="E523" t="s">
        <v>75</v>
      </c>
      <c r="F523" t="s">
        <v>85</v>
      </c>
      <c r="G523" t="s">
        <v>36</v>
      </c>
      <c r="H523" t="s">
        <v>50</v>
      </c>
      <c r="I523" t="s">
        <v>20</v>
      </c>
      <c r="J523">
        <v>3</v>
      </c>
      <c r="K523">
        <v>389</v>
      </c>
      <c r="L523">
        <v>1167</v>
      </c>
      <c r="M523">
        <v>41</v>
      </c>
      <c r="N523" t="s">
        <v>33</v>
      </c>
      <c r="O523">
        <v>3.6</v>
      </c>
      <c r="P523" s="2">
        <f>EOMONTH(Table1[[#This Row],[Order_Date]],0)</f>
        <v>45565</v>
      </c>
      <c r="Q523" s="3">
        <f>WEEKNUM(Table1[[#This Row],[Order_Date]])</f>
        <v>40</v>
      </c>
      <c r="R523">
        <f>YEAR(Table1[[#This Row],[Order_Date]])</f>
        <v>2024</v>
      </c>
      <c r="S523" t="str">
        <f>IF(Table1[[#This Row],[Quantity]]&gt;=3,"Promo","Regular")</f>
        <v>Promo</v>
      </c>
    </row>
    <row r="524" spans="1:19" x14ac:dyDescent="0.35">
      <c r="A524" t="s">
        <v>1961</v>
      </c>
      <c r="B524" t="s">
        <v>597</v>
      </c>
      <c r="C524" s="1">
        <v>45412</v>
      </c>
      <c r="D524" t="s">
        <v>15</v>
      </c>
      <c r="E524" t="s">
        <v>16</v>
      </c>
      <c r="F524" t="s">
        <v>65</v>
      </c>
      <c r="G524" t="s">
        <v>73</v>
      </c>
      <c r="H524" t="s">
        <v>50</v>
      </c>
      <c r="I524" t="s">
        <v>20</v>
      </c>
      <c r="J524">
        <v>2</v>
      </c>
      <c r="K524">
        <v>213</v>
      </c>
      <c r="L524">
        <v>426</v>
      </c>
      <c r="M524">
        <v>27</v>
      </c>
      <c r="N524" t="s">
        <v>33</v>
      </c>
      <c r="O524">
        <v>3.6</v>
      </c>
      <c r="P524" s="2">
        <f>EOMONTH(Table1[[#This Row],[Order_Date]],0)</f>
        <v>45412</v>
      </c>
      <c r="Q524" s="3">
        <f>WEEKNUM(Table1[[#This Row],[Order_Date]])</f>
        <v>18</v>
      </c>
      <c r="R524">
        <f>YEAR(Table1[[#This Row],[Order_Date]])</f>
        <v>2024</v>
      </c>
      <c r="S524" t="str">
        <f>IF(Table1[[#This Row],[Quantity]]&gt;=3,"Promo","Regular")</f>
        <v>Regular</v>
      </c>
    </row>
    <row r="525" spans="1:19" x14ac:dyDescent="0.35">
      <c r="A525" t="s">
        <v>1962</v>
      </c>
      <c r="B525" t="s">
        <v>598</v>
      </c>
      <c r="C525" s="1">
        <v>45409</v>
      </c>
      <c r="D525" t="s">
        <v>48</v>
      </c>
      <c r="E525" t="s">
        <v>49</v>
      </c>
      <c r="F525" t="s">
        <v>30</v>
      </c>
      <c r="G525" t="s">
        <v>25</v>
      </c>
      <c r="H525" t="s">
        <v>55</v>
      </c>
      <c r="I525" t="s">
        <v>20</v>
      </c>
      <c r="J525">
        <v>4</v>
      </c>
      <c r="K525">
        <v>448</v>
      </c>
      <c r="L525">
        <v>1792</v>
      </c>
      <c r="M525">
        <v>40</v>
      </c>
      <c r="N525" t="s">
        <v>21</v>
      </c>
      <c r="O525">
        <v>4.5</v>
      </c>
      <c r="P525" s="2">
        <f>EOMONTH(Table1[[#This Row],[Order_Date]],0)</f>
        <v>45412</v>
      </c>
      <c r="Q525" s="3">
        <f>WEEKNUM(Table1[[#This Row],[Order_Date]])</f>
        <v>17</v>
      </c>
      <c r="R525">
        <f>YEAR(Table1[[#This Row],[Order_Date]])</f>
        <v>2024</v>
      </c>
      <c r="S525" t="str">
        <f>IF(Table1[[#This Row],[Quantity]]&gt;=3,"Promo","Regular")</f>
        <v>Promo</v>
      </c>
    </row>
    <row r="526" spans="1:19" x14ac:dyDescent="0.35">
      <c r="A526" t="s">
        <v>1962</v>
      </c>
      <c r="B526" t="s">
        <v>599</v>
      </c>
      <c r="C526" s="1">
        <v>45451</v>
      </c>
      <c r="D526" t="s">
        <v>43</v>
      </c>
      <c r="E526" t="s">
        <v>82</v>
      </c>
      <c r="F526" t="s">
        <v>24</v>
      </c>
      <c r="G526" t="s">
        <v>18</v>
      </c>
      <c r="H526" t="s">
        <v>19</v>
      </c>
      <c r="I526" t="s">
        <v>20</v>
      </c>
      <c r="J526">
        <v>5</v>
      </c>
      <c r="K526">
        <v>148</v>
      </c>
      <c r="L526">
        <v>740</v>
      </c>
      <c r="M526">
        <v>43</v>
      </c>
      <c r="N526" t="s">
        <v>33</v>
      </c>
      <c r="O526">
        <v>3.9</v>
      </c>
      <c r="P526" s="2">
        <f>EOMONTH(Table1[[#This Row],[Order_Date]],0)</f>
        <v>45473</v>
      </c>
      <c r="Q526" s="3">
        <f>WEEKNUM(Table1[[#This Row],[Order_Date]])</f>
        <v>23</v>
      </c>
      <c r="R526">
        <f>YEAR(Table1[[#This Row],[Order_Date]])</f>
        <v>2024</v>
      </c>
      <c r="S526" t="str">
        <f>IF(Table1[[#This Row],[Quantity]]&gt;=3,"Promo","Regular")</f>
        <v>Promo</v>
      </c>
    </row>
    <row r="527" spans="1:19" x14ac:dyDescent="0.35">
      <c r="A527" t="s">
        <v>1963</v>
      </c>
      <c r="B527" t="s">
        <v>600</v>
      </c>
      <c r="C527" s="1">
        <v>45464</v>
      </c>
      <c r="D527" t="s">
        <v>28</v>
      </c>
      <c r="E527" t="s">
        <v>71</v>
      </c>
      <c r="F527" t="s">
        <v>17</v>
      </c>
      <c r="G527" t="s">
        <v>25</v>
      </c>
      <c r="H527" t="s">
        <v>53</v>
      </c>
      <c r="I527" t="s">
        <v>20</v>
      </c>
      <c r="J527">
        <v>5</v>
      </c>
      <c r="K527">
        <v>269</v>
      </c>
      <c r="L527">
        <v>1345</v>
      </c>
      <c r="M527">
        <v>21</v>
      </c>
      <c r="N527" t="s">
        <v>38</v>
      </c>
      <c r="O527">
        <v>4.3</v>
      </c>
      <c r="P527" s="2">
        <f>EOMONTH(Table1[[#This Row],[Order_Date]],0)</f>
        <v>45473</v>
      </c>
      <c r="Q527" s="3">
        <f>WEEKNUM(Table1[[#This Row],[Order_Date]])</f>
        <v>25</v>
      </c>
      <c r="R527">
        <f>YEAR(Table1[[#This Row],[Order_Date]])</f>
        <v>2024</v>
      </c>
      <c r="S527" t="str">
        <f>IF(Table1[[#This Row],[Quantity]]&gt;=3,"Promo","Regular")</f>
        <v>Promo</v>
      </c>
    </row>
    <row r="528" spans="1:19" x14ac:dyDescent="0.35">
      <c r="A528" t="s">
        <v>1963</v>
      </c>
      <c r="B528" t="s">
        <v>601</v>
      </c>
      <c r="C528" s="1">
        <v>45319</v>
      </c>
      <c r="D528" t="s">
        <v>57</v>
      </c>
      <c r="E528" t="s">
        <v>75</v>
      </c>
      <c r="F528" t="s">
        <v>45</v>
      </c>
      <c r="G528" t="s">
        <v>46</v>
      </c>
      <c r="H528" t="s">
        <v>32</v>
      </c>
      <c r="I528" t="s">
        <v>20</v>
      </c>
      <c r="J528">
        <v>1</v>
      </c>
      <c r="K528">
        <v>471</v>
      </c>
      <c r="L528">
        <v>471</v>
      </c>
      <c r="M528">
        <v>38</v>
      </c>
      <c r="N528" t="s">
        <v>38</v>
      </c>
      <c r="O528">
        <v>3.4</v>
      </c>
      <c r="P528" s="2">
        <f>EOMONTH(Table1[[#This Row],[Order_Date]],0)</f>
        <v>45322</v>
      </c>
      <c r="Q528" s="3">
        <f>WEEKNUM(Table1[[#This Row],[Order_Date]])</f>
        <v>5</v>
      </c>
      <c r="R528">
        <f>YEAR(Table1[[#This Row],[Order_Date]])</f>
        <v>2024</v>
      </c>
      <c r="S528" t="str">
        <f>IF(Table1[[#This Row],[Quantity]]&gt;=3,"Promo","Regular")</f>
        <v>Regular</v>
      </c>
    </row>
    <row r="529" spans="1:19" x14ac:dyDescent="0.35">
      <c r="A529" t="s">
        <v>1963</v>
      </c>
      <c r="B529" t="s">
        <v>602</v>
      </c>
      <c r="C529" s="1">
        <v>45553</v>
      </c>
      <c r="D529" t="s">
        <v>48</v>
      </c>
      <c r="E529" t="s">
        <v>49</v>
      </c>
      <c r="F529" t="s">
        <v>24</v>
      </c>
      <c r="G529" t="s">
        <v>46</v>
      </c>
      <c r="H529" t="s">
        <v>50</v>
      </c>
      <c r="I529" t="s">
        <v>20</v>
      </c>
      <c r="J529">
        <v>4</v>
      </c>
      <c r="K529">
        <v>105</v>
      </c>
      <c r="L529">
        <v>420</v>
      </c>
      <c r="M529">
        <v>28</v>
      </c>
      <c r="N529" t="s">
        <v>38</v>
      </c>
      <c r="O529">
        <v>4.8</v>
      </c>
      <c r="P529" s="2">
        <f>EOMONTH(Table1[[#This Row],[Order_Date]],0)</f>
        <v>45565</v>
      </c>
      <c r="Q529" s="3">
        <f>WEEKNUM(Table1[[#This Row],[Order_Date]])</f>
        <v>38</v>
      </c>
      <c r="R529">
        <f>YEAR(Table1[[#This Row],[Order_Date]])</f>
        <v>2024</v>
      </c>
      <c r="S529" t="str">
        <f>IF(Table1[[#This Row],[Quantity]]&gt;=3,"Promo","Regular")</f>
        <v>Promo</v>
      </c>
    </row>
    <row r="530" spans="1:19" x14ac:dyDescent="0.35">
      <c r="A530" t="s">
        <v>1964</v>
      </c>
      <c r="B530" t="s">
        <v>603</v>
      </c>
      <c r="C530" s="1">
        <v>45367</v>
      </c>
      <c r="D530" t="s">
        <v>43</v>
      </c>
      <c r="E530" t="s">
        <v>93</v>
      </c>
      <c r="F530" t="s">
        <v>45</v>
      </c>
      <c r="G530" t="s">
        <v>73</v>
      </c>
      <c r="H530" t="s">
        <v>53</v>
      </c>
      <c r="I530" t="s">
        <v>20</v>
      </c>
      <c r="J530">
        <v>3</v>
      </c>
      <c r="K530">
        <v>334</v>
      </c>
      <c r="L530">
        <v>1002</v>
      </c>
      <c r="M530">
        <v>54</v>
      </c>
      <c r="N530" t="s">
        <v>33</v>
      </c>
      <c r="O530">
        <v>4.7</v>
      </c>
      <c r="P530" s="2">
        <f>EOMONTH(Table1[[#This Row],[Order_Date]],0)</f>
        <v>45382</v>
      </c>
      <c r="Q530" s="3">
        <f>WEEKNUM(Table1[[#This Row],[Order_Date]])</f>
        <v>11</v>
      </c>
      <c r="R530">
        <f>YEAR(Table1[[#This Row],[Order_Date]])</f>
        <v>2024</v>
      </c>
      <c r="S530" t="str">
        <f>IF(Table1[[#This Row],[Quantity]]&gt;=3,"Promo","Regular")</f>
        <v>Promo</v>
      </c>
    </row>
    <row r="531" spans="1:19" x14ac:dyDescent="0.35">
      <c r="A531" t="s">
        <v>1964</v>
      </c>
      <c r="B531" t="s">
        <v>604</v>
      </c>
      <c r="C531" s="1">
        <v>45512</v>
      </c>
      <c r="D531" t="s">
        <v>15</v>
      </c>
      <c r="E531" t="s">
        <v>95</v>
      </c>
      <c r="F531" t="s">
        <v>85</v>
      </c>
      <c r="G531" t="s">
        <v>36</v>
      </c>
      <c r="H531" t="s">
        <v>53</v>
      </c>
      <c r="I531" t="s">
        <v>20</v>
      </c>
      <c r="J531">
        <v>3</v>
      </c>
      <c r="K531">
        <v>316</v>
      </c>
      <c r="L531">
        <v>948</v>
      </c>
      <c r="M531">
        <v>46</v>
      </c>
      <c r="N531" t="s">
        <v>21</v>
      </c>
      <c r="O531">
        <v>4.8</v>
      </c>
      <c r="P531" s="2">
        <f>EOMONTH(Table1[[#This Row],[Order_Date]],0)</f>
        <v>45535</v>
      </c>
      <c r="Q531" s="3">
        <f>WEEKNUM(Table1[[#This Row],[Order_Date]])</f>
        <v>32</v>
      </c>
      <c r="R531">
        <f>YEAR(Table1[[#This Row],[Order_Date]])</f>
        <v>2024</v>
      </c>
      <c r="S531" t="str">
        <f>IF(Table1[[#This Row],[Quantity]]&gt;=3,"Promo","Regular")</f>
        <v>Promo</v>
      </c>
    </row>
    <row r="532" spans="1:19" x14ac:dyDescent="0.35">
      <c r="A532" t="s">
        <v>1964</v>
      </c>
      <c r="B532" t="s">
        <v>605</v>
      </c>
      <c r="C532" s="1">
        <v>45390</v>
      </c>
      <c r="D532" t="s">
        <v>48</v>
      </c>
      <c r="E532" t="s">
        <v>49</v>
      </c>
      <c r="F532" t="s">
        <v>72</v>
      </c>
      <c r="G532" t="s">
        <v>36</v>
      </c>
      <c r="H532" t="s">
        <v>19</v>
      </c>
      <c r="I532" t="s">
        <v>20</v>
      </c>
      <c r="J532">
        <v>5</v>
      </c>
      <c r="K532">
        <v>349</v>
      </c>
      <c r="L532">
        <v>1745</v>
      </c>
      <c r="M532">
        <v>38</v>
      </c>
      <c r="N532" t="s">
        <v>33</v>
      </c>
      <c r="O532">
        <v>3.5</v>
      </c>
      <c r="P532" s="2">
        <f>EOMONTH(Table1[[#This Row],[Order_Date]],0)</f>
        <v>45412</v>
      </c>
      <c r="Q532" s="3">
        <f>WEEKNUM(Table1[[#This Row],[Order_Date]])</f>
        <v>15</v>
      </c>
      <c r="R532">
        <f>YEAR(Table1[[#This Row],[Order_Date]])</f>
        <v>2024</v>
      </c>
      <c r="S532" t="str">
        <f>IF(Table1[[#This Row],[Quantity]]&gt;=3,"Promo","Regular")</f>
        <v>Promo</v>
      </c>
    </row>
    <row r="533" spans="1:19" x14ac:dyDescent="0.35">
      <c r="A533" t="s">
        <v>1964</v>
      </c>
      <c r="B533" t="s">
        <v>606</v>
      </c>
      <c r="C533" s="1">
        <v>45558</v>
      </c>
      <c r="D533" t="s">
        <v>28</v>
      </c>
      <c r="E533" t="s">
        <v>98</v>
      </c>
      <c r="F533" t="s">
        <v>17</v>
      </c>
      <c r="G533" t="s">
        <v>18</v>
      </c>
      <c r="H533" t="s">
        <v>55</v>
      </c>
      <c r="I533" t="s">
        <v>20</v>
      </c>
      <c r="J533">
        <v>5</v>
      </c>
      <c r="K533">
        <v>139</v>
      </c>
      <c r="L533">
        <v>695</v>
      </c>
      <c r="M533">
        <v>28</v>
      </c>
      <c r="N533" t="s">
        <v>21</v>
      </c>
      <c r="O533">
        <v>4</v>
      </c>
      <c r="P533" s="2">
        <f>EOMONTH(Table1[[#This Row],[Order_Date]],0)</f>
        <v>45565</v>
      </c>
      <c r="Q533" s="3">
        <f>WEEKNUM(Table1[[#This Row],[Order_Date]])</f>
        <v>39</v>
      </c>
      <c r="R533">
        <f>YEAR(Table1[[#This Row],[Order_Date]])</f>
        <v>2024</v>
      </c>
      <c r="S533" t="str">
        <f>IF(Table1[[#This Row],[Quantity]]&gt;=3,"Promo","Regular")</f>
        <v>Promo</v>
      </c>
    </row>
    <row r="534" spans="1:19" x14ac:dyDescent="0.35">
      <c r="A534" t="s">
        <v>1965</v>
      </c>
      <c r="B534" t="s">
        <v>607</v>
      </c>
      <c r="C534" s="1">
        <v>45577</v>
      </c>
      <c r="D534" t="s">
        <v>28</v>
      </c>
      <c r="E534" t="s">
        <v>40</v>
      </c>
      <c r="F534" t="s">
        <v>30</v>
      </c>
      <c r="G534" t="s">
        <v>36</v>
      </c>
      <c r="H534" t="s">
        <v>66</v>
      </c>
      <c r="I534" t="s">
        <v>20</v>
      </c>
      <c r="J534">
        <v>1</v>
      </c>
      <c r="K534">
        <v>491</v>
      </c>
      <c r="L534">
        <v>491</v>
      </c>
      <c r="M534">
        <v>57</v>
      </c>
      <c r="N534" t="s">
        <v>21</v>
      </c>
      <c r="O534">
        <v>3.9</v>
      </c>
      <c r="P534" s="2">
        <f>EOMONTH(Table1[[#This Row],[Order_Date]],0)</f>
        <v>45596</v>
      </c>
      <c r="Q534" s="3">
        <f>WEEKNUM(Table1[[#This Row],[Order_Date]])</f>
        <v>41</v>
      </c>
      <c r="R534">
        <f>YEAR(Table1[[#This Row],[Order_Date]])</f>
        <v>2024</v>
      </c>
      <c r="S534" t="str">
        <f>IF(Table1[[#This Row],[Quantity]]&gt;=3,"Promo","Regular")</f>
        <v>Regular</v>
      </c>
    </row>
    <row r="535" spans="1:19" x14ac:dyDescent="0.35">
      <c r="A535" t="s">
        <v>1965</v>
      </c>
      <c r="B535" t="s">
        <v>608</v>
      </c>
      <c r="C535" s="1">
        <v>45477</v>
      </c>
      <c r="D535" t="s">
        <v>57</v>
      </c>
      <c r="E535" t="s">
        <v>62</v>
      </c>
      <c r="F535" t="s">
        <v>72</v>
      </c>
      <c r="G535" t="s">
        <v>31</v>
      </c>
      <c r="H535" t="s">
        <v>53</v>
      </c>
      <c r="I535" t="s">
        <v>20</v>
      </c>
      <c r="J535">
        <v>4</v>
      </c>
      <c r="K535">
        <v>481</v>
      </c>
      <c r="L535">
        <v>1924</v>
      </c>
      <c r="M535">
        <v>51</v>
      </c>
      <c r="N535" t="s">
        <v>21</v>
      </c>
      <c r="O535">
        <v>3.7</v>
      </c>
      <c r="P535" s="2">
        <f>EOMONTH(Table1[[#This Row],[Order_Date]],0)</f>
        <v>45504</v>
      </c>
      <c r="Q535" s="3">
        <f>WEEKNUM(Table1[[#This Row],[Order_Date]])</f>
        <v>27</v>
      </c>
      <c r="R535">
        <f>YEAR(Table1[[#This Row],[Order_Date]])</f>
        <v>2024</v>
      </c>
      <c r="S535" t="str">
        <f>IF(Table1[[#This Row],[Quantity]]&gt;=3,"Promo","Regular")</f>
        <v>Promo</v>
      </c>
    </row>
    <row r="536" spans="1:19" x14ac:dyDescent="0.35">
      <c r="A536" t="s">
        <v>1966</v>
      </c>
      <c r="B536" t="s">
        <v>609</v>
      </c>
      <c r="C536" s="1">
        <v>45399</v>
      </c>
      <c r="D536" t="s">
        <v>43</v>
      </c>
      <c r="E536" t="s">
        <v>52</v>
      </c>
      <c r="F536" t="s">
        <v>45</v>
      </c>
      <c r="G536" t="s">
        <v>36</v>
      </c>
      <c r="H536" t="s">
        <v>32</v>
      </c>
      <c r="I536" t="s">
        <v>20</v>
      </c>
      <c r="J536">
        <v>4</v>
      </c>
      <c r="K536">
        <v>402</v>
      </c>
      <c r="L536">
        <v>1608</v>
      </c>
      <c r="M536">
        <v>41</v>
      </c>
      <c r="N536" t="s">
        <v>21</v>
      </c>
      <c r="O536">
        <v>4.2</v>
      </c>
      <c r="P536" s="2">
        <f>EOMONTH(Table1[[#This Row],[Order_Date]],0)</f>
        <v>45412</v>
      </c>
      <c r="Q536" s="3">
        <f>WEEKNUM(Table1[[#This Row],[Order_Date]])</f>
        <v>16</v>
      </c>
      <c r="R536">
        <f>YEAR(Table1[[#This Row],[Order_Date]])</f>
        <v>2024</v>
      </c>
      <c r="S536" t="str">
        <f>IF(Table1[[#This Row],[Quantity]]&gt;=3,"Promo","Regular")</f>
        <v>Promo</v>
      </c>
    </row>
    <row r="537" spans="1:19" x14ac:dyDescent="0.35">
      <c r="A537" t="s">
        <v>1966</v>
      </c>
      <c r="B537" t="s">
        <v>610</v>
      </c>
      <c r="C537" s="1">
        <v>45468</v>
      </c>
      <c r="D537" t="s">
        <v>15</v>
      </c>
      <c r="E537" t="s">
        <v>103</v>
      </c>
      <c r="F537" t="s">
        <v>17</v>
      </c>
      <c r="G537" t="s">
        <v>36</v>
      </c>
      <c r="H537" t="s">
        <v>37</v>
      </c>
      <c r="I537" t="s">
        <v>20</v>
      </c>
      <c r="J537">
        <v>4</v>
      </c>
      <c r="K537">
        <v>133</v>
      </c>
      <c r="L537">
        <v>532</v>
      </c>
      <c r="M537">
        <v>21</v>
      </c>
      <c r="N537" t="s">
        <v>33</v>
      </c>
      <c r="O537">
        <v>3.6</v>
      </c>
      <c r="P537" s="2">
        <f>EOMONTH(Table1[[#This Row],[Order_Date]],0)</f>
        <v>45473</v>
      </c>
      <c r="Q537" s="3">
        <f>WEEKNUM(Table1[[#This Row],[Order_Date]])</f>
        <v>26</v>
      </c>
      <c r="R537">
        <f>YEAR(Table1[[#This Row],[Order_Date]])</f>
        <v>2024</v>
      </c>
      <c r="S537" t="str">
        <f>IF(Table1[[#This Row],[Quantity]]&gt;=3,"Promo","Regular")</f>
        <v>Promo</v>
      </c>
    </row>
    <row r="538" spans="1:19" x14ac:dyDescent="0.35">
      <c r="A538" t="s">
        <v>1966</v>
      </c>
      <c r="B538" t="s">
        <v>611</v>
      </c>
      <c r="C538" s="1">
        <v>45442</v>
      </c>
      <c r="D538" t="s">
        <v>57</v>
      </c>
      <c r="E538" t="s">
        <v>105</v>
      </c>
      <c r="F538" t="s">
        <v>30</v>
      </c>
      <c r="G538" t="s">
        <v>25</v>
      </c>
      <c r="H538" t="s">
        <v>53</v>
      </c>
      <c r="I538" t="s">
        <v>20</v>
      </c>
      <c r="J538">
        <v>3</v>
      </c>
      <c r="K538">
        <v>185</v>
      </c>
      <c r="L538">
        <v>555</v>
      </c>
      <c r="M538">
        <v>46</v>
      </c>
      <c r="N538" t="s">
        <v>38</v>
      </c>
      <c r="O538">
        <v>4</v>
      </c>
      <c r="P538" s="2">
        <f>EOMONTH(Table1[[#This Row],[Order_Date]],0)</f>
        <v>45443</v>
      </c>
      <c r="Q538" s="3">
        <f>WEEKNUM(Table1[[#This Row],[Order_Date]])</f>
        <v>22</v>
      </c>
      <c r="R538">
        <f>YEAR(Table1[[#This Row],[Order_Date]])</f>
        <v>2024</v>
      </c>
      <c r="S538" t="str">
        <f>IF(Table1[[#This Row],[Quantity]]&gt;=3,"Promo","Regular")</f>
        <v>Promo</v>
      </c>
    </row>
    <row r="539" spans="1:19" x14ac:dyDescent="0.35">
      <c r="A539" t="s">
        <v>1967</v>
      </c>
      <c r="B539" t="s">
        <v>612</v>
      </c>
      <c r="C539" s="1">
        <v>45566</v>
      </c>
      <c r="D539" t="s">
        <v>28</v>
      </c>
      <c r="E539" t="s">
        <v>77</v>
      </c>
      <c r="F539" t="s">
        <v>85</v>
      </c>
      <c r="G539" t="s">
        <v>31</v>
      </c>
      <c r="H539" t="s">
        <v>32</v>
      </c>
      <c r="I539" t="s">
        <v>20</v>
      </c>
      <c r="J539">
        <v>3</v>
      </c>
      <c r="K539">
        <v>329</v>
      </c>
      <c r="L539">
        <v>987</v>
      </c>
      <c r="M539">
        <v>39</v>
      </c>
      <c r="N539" t="s">
        <v>33</v>
      </c>
      <c r="O539">
        <v>4.5</v>
      </c>
      <c r="P539" s="2">
        <f>EOMONTH(Table1[[#This Row],[Order_Date]],0)</f>
        <v>45596</v>
      </c>
      <c r="Q539" s="3">
        <f>WEEKNUM(Table1[[#This Row],[Order_Date]])</f>
        <v>40</v>
      </c>
      <c r="R539">
        <f>YEAR(Table1[[#This Row],[Order_Date]])</f>
        <v>2024</v>
      </c>
      <c r="S539" t="str">
        <f>IF(Table1[[#This Row],[Quantity]]&gt;=3,"Promo","Regular")</f>
        <v>Promo</v>
      </c>
    </row>
    <row r="540" spans="1:19" x14ac:dyDescent="0.35">
      <c r="A540" t="s">
        <v>1967</v>
      </c>
      <c r="B540" t="s">
        <v>613</v>
      </c>
      <c r="C540" s="1">
        <v>45308</v>
      </c>
      <c r="D540" t="s">
        <v>28</v>
      </c>
      <c r="E540" t="s">
        <v>71</v>
      </c>
      <c r="F540" t="s">
        <v>85</v>
      </c>
      <c r="G540" t="s">
        <v>18</v>
      </c>
      <c r="H540" t="s">
        <v>59</v>
      </c>
      <c r="I540" t="s">
        <v>60</v>
      </c>
      <c r="J540">
        <v>1</v>
      </c>
      <c r="K540">
        <v>298</v>
      </c>
      <c r="L540">
        <v>298</v>
      </c>
      <c r="M540">
        <v>47</v>
      </c>
      <c r="N540" t="s">
        <v>33</v>
      </c>
      <c r="O540">
        <v>4.7</v>
      </c>
      <c r="P540" s="2">
        <f>EOMONTH(Table1[[#This Row],[Order_Date]],0)</f>
        <v>45322</v>
      </c>
      <c r="Q540" s="3">
        <f>WEEKNUM(Table1[[#This Row],[Order_Date]])</f>
        <v>3</v>
      </c>
      <c r="R540">
        <f>YEAR(Table1[[#This Row],[Order_Date]])</f>
        <v>2024</v>
      </c>
      <c r="S540" t="str">
        <f>IF(Table1[[#This Row],[Quantity]]&gt;=3,"Promo","Regular")</f>
        <v>Regular</v>
      </c>
    </row>
    <row r="541" spans="1:19" x14ac:dyDescent="0.35">
      <c r="A541" t="s">
        <v>1967</v>
      </c>
      <c r="B541" t="s">
        <v>614</v>
      </c>
      <c r="C541" s="1">
        <v>45443</v>
      </c>
      <c r="D541" t="s">
        <v>57</v>
      </c>
      <c r="E541" t="s">
        <v>105</v>
      </c>
      <c r="F541" t="s">
        <v>45</v>
      </c>
      <c r="G541" t="s">
        <v>46</v>
      </c>
      <c r="H541" t="s">
        <v>55</v>
      </c>
      <c r="I541" t="s">
        <v>20</v>
      </c>
      <c r="J541">
        <v>3</v>
      </c>
      <c r="K541">
        <v>305</v>
      </c>
      <c r="L541">
        <v>915</v>
      </c>
      <c r="M541">
        <v>55</v>
      </c>
      <c r="N541" t="s">
        <v>21</v>
      </c>
      <c r="O541">
        <v>3.3</v>
      </c>
      <c r="P541" s="2">
        <f>EOMONTH(Table1[[#This Row],[Order_Date]],0)</f>
        <v>45443</v>
      </c>
      <c r="Q541" s="3">
        <f>WEEKNUM(Table1[[#This Row],[Order_Date]])</f>
        <v>22</v>
      </c>
      <c r="R541">
        <f>YEAR(Table1[[#This Row],[Order_Date]])</f>
        <v>2024</v>
      </c>
      <c r="S541" t="str">
        <f>IF(Table1[[#This Row],[Quantity]]&gt;=3,"Promo","Regular")</f>
        <v>Promo</v>
      </c>
    </row>
    <row r="542" spans="1:19" x14ac:dyDescent="0.35">
      <c r="A542" t="s">
        <v>1967</v>
      </c>
      <c r="B542" t="s">
        <v>615</v>
      </c>
      <c r="C542" s="1">
        <v>45485</v>
      </c>
      <c r="D542" t="s">
        <v>43</v>
      </c>
      <c r="E542" t="s">
        <v>110</v>
      </c>
      <c r="F542" t="s">
        <v>72</v>
      </c>
      <c r="G542" t="s">
        <v>31</v>
      </c>
      <c r="H542" t="s">
        <v>50</v>
      </c>
      <c r="I542" t="s">
        <v>20</v>
      </c>
      <c r="J542">
        <v>5</v>
      </c>
      <c r="K542">
        <v>227</v>
      </c>
      <c r="L542">
        <v>1135</v>
      </c>
      <c r="M542">
        <v>28</v>
      </c>
      <c r="N542" t="s">
        <v>38</v>
      </c>
      <c r="O542">
        <v>3.4</v>
      </c>
      <c r="P542" s="2">
        <f>EOMONTH(Table1[[#This Row],[Order_Date]],0)</f>
        <v>45504</v>
      </c>
      <c r="Q542" s="3">
        <f>WEEKNUM(Table1[[#This Row],[Order_Date]])</f>
        <v>28</v>
      </c>
      <c r="R542">
        <f>YEAR(Table1[[#This Row],[Order_Date]])</f>
        <v>2024</v>
      </c>
      <c r="S542" t="str">
        <f>IF(Table1[[#This Row],[Quantity]]&gt;=3,"Promo","Regular")</f>
        <v>Promo</v>
      </c>
    </row>
    <row r="543" spans="1:19" x14ac:dyDescent="0.35">
      <c r="A543" t="s">
        <v>1967</v>
      </c>
      <c r="B543" t="s">
        <v>616</v>
      </c>
      <c r="C543" s="1">
        <v>45302</v>
      </c>
      <c r="D543" t="s">
        <v>15</v>
      </c>
      <c r="E543" t="s">
        <v>112</v>
      </c>
      <c r="F543" t="s">
        <v>35</v>
      </c>
      <c r="G543" t="s">
        <v>36</v>
      </c>
      <c r="H543" t="s">
        <v>50</v>
      </c>
      <c r="I543" t="s">
        <v>20</v>
      </c>
      <c r="J543">
        <v>4</v>
      </c>
      <c r="K543">
        <v>131</v>
      </c>
      <c r="L543">
        <v>524</v>
      </c>
      <c r="M543">
        <v>44</v>
      </c>
      <c r="N543" t="s">
        <v>21</v>
      </c>
      <c r="O543">
        <v>3.3</v>
      </c>
      <c r="P543" s="2">
        <f>EOMONTH(Table1[[#This Row],[Order_Date]],0)</f>
        <v>45322</v>
      </c>
      <c r="Q543" s="3">
        <f>WEEKNUM(Table1[[#This Row],[Order_Date]])</f>
        <v>2</v>
      </c>
      <c r="R543">
        <f>YEAR(Table1[[#This Row],[Order_Date]])</f>
        <v>2024</v>
      </c>
      <c r="S543" t="str">
        <f>IF(Table1[[#This Row],[Quantity]]&gt;=3,"Promo","Regular")</f>
        <v>Promo</v>
      </c>
    </row>
    <row r="544" spans="1:19" x14ac:dyDescent="0.35">
      <c r="A544" t="s">
        <v>1968</v>
      </c>
      <c r="B544" t="s">
        <v>617</v>
      </c>
      <c r="C544" s="1">
        <v>45386</v>
      </c>
      <c r="D544" t="s">
        <v>28</v>
      </c>
      <c r="E544" t="s">
        <v>77</v>
      </c>
      <c r="F544" t="s">
        <v>69</v>
      </c>
      <c r="G544" t="s">
        <v>18</v>
      </c>
      <c r="H544" t="s">
        <v>19</v>
      </c>
      <c r="I544" t="s">
        <v>20</v>
      </c>
      <c r="J544">
        <v>3</v>
      </c>
      <c r="K544">
        <v>272</v>
      </c>
      <c r="L544">
        <v>816</v>
      </c>
      <c r="M544">
        <v>42</v>
      </c>
      <c r="N544" t="s">
        <v>21</v>
      </c>
      <c r="O544">
        <v>3.4</v>
      </c>
      <c r="P544" s="2">
        <f>EOMONTH(Table1[[#This Row],[Order_Date]],0)</f>
        <v>45412</v>
      </c>
      <c r="Q544" s="3">
        <f>WEEKNUM(Table1[[#This Row],[Order_Date]])</f>
        <v>14</v>
      </c>
      <c r="R544">
        <f>YEAR(Table1[[#This Row],[Order_Date]])</f>
        <v>2024</v>
      </c>
      <c r="S544" t="str">
        <f>IF(Table1[[#This Row],[Quantity]]&gt;=3,"Promo","Regular")</f>
        <v>Promo</v>
      </c>
    </row>
    <row r="545" spans="1:19" x14ac:dyDescent="0.35">
      <c r="A545" t="s">
        <v>1968</v>
      </c>
      <c r="B545" t="s">
        <v>618</v>
      </c>
      <c r="C545" s="1">
        <v>45494</v>
      </c>
      <c r="D545" t="s">
        <v>15</v>
      </c>
      <c r="E545" t="s">
        <v>95</v>
      </c>
      <c r="F545" t="s">
        <v>69</v>
      </c>
      <c r="G545" t="s">
        <v>36</v>
      </c>
      <c r="H545" t="s">
        <v>26</v>
      </c>
      <c r="I545" t="s">
        <v>20</v>
      </c>
      <c r="J545">
        <v>4</v>
      </c>
      <c r="K545">
        <v>273</v>
      </c>
      <c r="L545">
        <v>1092</v>
      </c>
      <c r="M545">
        <v>42</v>
      </c>
      <c r="N545" t="s">
        <v>21</v>
      </c>
      <c r="O545">
        <v>5</v>
      </c>
      <c r="P545" s="2">
        <f>EOMONTH(Table1[[#This Row],[Order_Date]],0)</f>
        <v>45504</v>
      </c>
      <c r="Q545" s="3">
        <f>WEEKNUM(Table1[[#This Row],[Order_Date]])</f>
        <v>30</v>
      </c>
      <c r="R545">
        <f>YEAR(Table1[[#This Row],[Order_Date]])</f>
        <v>2024</v>
      </c>
      <c r="S545" t="str">
        <f>IF(Table1[[#This Row],[Quantity]]&gt;=3,"Promo","Regular")</f>
        <v>Promo</v>
      </c>
    </row>
    <row r="546" spans="1:19" x14ac:dyDescent="0.35">
      <c r="A546" t="s">
        <v>1968</v>
      </c>
      <c r="B546" t="s">
        <v>619</v>
      </c>
      <c r="C546" s="1">
        <v>45581</v>
      </c>
      <c r="D546" t="s">
        <v>43</v>
      </c>
      <c r="E546" t="s">
        <v>93</v>
      </c>
      <c r="F546" t="s">
        <v>85</v>
      </c>
      <c r="G546" t="s">
        <v>25</v>
      </c>
      <c r="H546" t="s">
        <v>59</v>
      </c>
      <c r="I546" t="s">
        <v>60</v>
      </c>
      <c r="J546">
        <v>2</v>
      </c>
      <c r="K546">
        <v>433</v>
      </c>
      <c r="L546">
        <v>866</v>
      </c>
      <c r="M546">
        <v>59</v>
      </c>
      <c r="N546" t="s">
        <v>33</v>
      </c>
      <c r="O546">
        <v>4.2</v>
      </c>
      <c r="P546" s="2">
        <f>EOMONTH(Table1[[#This Row],[Order_Date]],0)</f>
        <v>45596</v>
      </c>
      <c r="Q546" s="3">
        <f>WEEKNUM(Table1[[#This Row],[Order_Date]])</f>
        <v>42</v>
      </c>
      <c r="R546">
        <f>YEAR(Table1[[#This Row],[Order_Date]])</f>
        <v>2024</v>
      </c>
      <c r="S546" t="str">
        <f>IF(Table1[[#This Row],[Quantity]]&gt;=3,"Promo","Regular")</f>
        <v>Regular</v>
      </c>
    </row>
    <row r="547" spans="1:19" x14ac:dyDescent="0.35">
      <c r="A547" t="s">
        <v>1968</v>
      </c>
      <c r="B547" t="s">
        <v>620</v>
      </c>
      <c r="C547" s="1">
        <v>45546</v>
      </c>
      <c r="D547" t="s">
        <v>57</v>
      </c>
      <c r="E547" t="s">
        <v>105</v>
      </c>
      <c r="F547" t="s">
        <v>30</v>
      </c>
      <c r="G547" t="s">
        <v>73</v>
      </c>
      <c r="H547" t="s">
        <v>32</v>
      </c>
      <c r="I547" t="s">
        <v>20</v>
      </c>
      <c r="J547">
        <v>5</v>
      </c>
      <c r="K547">
        <v>445</v>
      </c>
      <c r="L547">
        <v>2225</v>
      </c>
      <c r="M547">
        <v>39</v>
      </c>
      <c r="N547" t="s">
        <v>38</v>
      </c>
      <c r="O547">
        <v>3.4</v>
      </c>
      <c r="P547" s="2">
        <f>EOMONTH(Table1[[#This Row],[Order_Date]],0)</f>
        <v>45565</v>
      </c>
      <c r="Q547" s="3">
        <f>WEEKNUM(Table1[[#This Row],[Order_Date]])</f>
        <v>37</v>
      </c>
      <c r="R547">
        <f>YEAR(Table1[[#This Row],[Order_Date]])</f>
        <v>2024</v>
      </c>
      <c r="S547" t="str">
        <f>IF(Table1[[#This Row],[Quantity]]&gt;=3,"Promo","Regular")</f>
        <v>Promo</v>
      </c>
    </row>
    <row r="548" spans="1:19" x14ac:dyDescent="0.35">
      <c r="A548" t="s">
        <v>1969</v>
      </c>
      <c r="B548" t="s">
        <v>621</v>
      </c>
      <c r="C548" s="1">
        <v>45389</v>
      </c>
      <c r="D548" t="s">
        <v>48</v>
      </c>
      <c r="E548" t="s">
        <v>64</v>
      </c>
      <c r="F548" t="s">
        <v>17</v>
      </c>
      <c r="G548" t="s">
        <v>25</v>
      </c>
      <c r="H548" t="s">
        <v>66</v>
      </c>
      <c r="I548" t="s">
        <v>20</v>
      </c>
      <c r="J548">
        <v>2</v>
      </c>
      <c r="K548">
        <v>418</v>
      </c>
      <c r="L548">
        <v>836</v>
      </c>
      <c r="M548">
        <v>20</v>
      </c>
      <c r="N548" t="s">
        <v>38</v>
      </c>
      <c r="O548">
        <v>4.7</v>
      </c>
      <c r="P548" s="2">
        <f>EOMONTH(Table1[[#This Row],[Order_Date]],0)</f>
        <v>45412</v>
      </c>
      <c r="Q548" s="3">
        <f>WEEKNUM(Table1[[#This Row],[Order_Date]])</f>
        <v>15</v>
      </c>
      <c r="R548">
        <f>YEAR(Table1[[#This Row],[Order_Date]])</f>
        <v>2024</v>
      </c>
      <c r="S548" t="str">
        <f>IF(Table1[[#This Row],[Quantity]]&gt;=3,"Promo","Regular")</f>
        <v>Regular</v>
      </c>
    </row>
    <row r="549" spans="1:19" x14ac:dyDescent="0.35">
      <c r="A549" t="s">
        <v>1969</v>
      </c>
      <c r="B549" t="s">
        <v>622</v>
      </c>
      <c r="C549" s="1">
        <v>45482</v>
      </c>
      <c r="D549" t="s">
        <v>48</v>
      </c>
      <c r="E549" t="s">
        <v>49</v>
      </c>
      <c r="F549" t="s">
        <v>69</v>
      </c>
      <c r="G549" t="s">
        <v>25</v>
      </c>
      <c r="H549" t="s">
        <v>53</v>
      </c>
      <c r="I549" t="s">
        <v>20</v>
      </c>
      <c r="J549">
        <v>2</v>
      </c>
      <c r="K549">
        <v>214</v>
      </c>
      <c r="L549">
        <v>428</v>
      </c>
      <c r="M549">
        <v>21</v>
      </c>
      <c r="N549" t="s">
        <v>33</v>
      </c>
      <c r="O549">
        <v>4.7</v>
      </c>
      <c r="P549" s="2">
        <f>EOMONTH(Table1[[#This Row],[Order_Date]],0)</f>
        <v>45504</v>
      </c>
      <c r="Q549" s="3">
        <f>WEEKNUM(Table1[[#This Row],[Order_Date]])</f>
        <v>28</v>
      </c>
      <c r="R549">
        <f>YEAR(Table1[[#This Row],[Order_Date]])</f>
        <v>2024</v>
      </c>
      <c r="S549" t="str">
        <f>IF(Table1[[#This Row],[Quantity]]&gt;=3,"Promo","Regular")</f>
        <v>Regular</v>
      </c>
    </row>
    <row r="550" spans="1:19" x14ac:dyDescent="0.35">
      <c r="A550" t="s">
        <v>1969</v>
      </c>
      <c r="B550" t="s">
        <v>623</v>
      </c>
      <c r="C550" s="1">
        <v>45411</v>
      </c>
      <c r="D550" t="s">
        <v>15</v>
      </c>
      <c r="E550" t="s">
        <v>112</v>
      </c>
      <c r="F550" t="s">
        <v>85</v>
      </c>
      <c r="G550" t="s">
        <v>36</v>
      </c>
      <c r="H550" t="s">
        <v>120</v>
      </c>
      <c r="I550" t="s">
        <v>60</v>
      </c>
      <c r="J550">
        <v>1</v>
      </c>
      <c r="K550">
        <v>336</v>
      </c>
      <c r="L550">
        <v>336</v>
      </c>
      <c r="M550">
        <v>40</v>
      </c>
      <c r="N550" t="s">
        <v>21</v>
      </c>
      <c r="O550">
        <v>4.8</v>
      </c>
      <c r="P550" s="2">
        <f>EOMONTH(Table1[[#This Row],[Order_Date]],0)</f>
        <v>45412</v>
      </c>
      <c r="Q550" s="3">
        <f>WEEKNUM(Table1[[#This Row],[Order_Date]])</f>
        <v>18</v>
      </c>
      <c r="R550">
        <f>YEAR(Table1[[#This Row],[Order_Date]])</f>
        <v>2024</v>
      </c>
      <c r="S550" t="str">
        <f>IF(Table1[[#This Row],[Quantity]]&gt;=3,"Promo","Regular")</f>
        <v>Regular</v>
      </c>
    </row>
    <row r="551" spans="1:19" x14ac:dyDescent="0.35">
      <c r="A551" t="s">
        <v>1969</v>
      </c>
      <c r="B551" t="s">
        <v>624</v>
      </c>
      <c r="C551" s="1">
        <v>45467</v>
      </c>
      <c r="D551" t="s">
        <v>57</v>
      </c>
      <c r="E551" t="s">
        <v>105</v>
      </c>
      <c r="F551" t="s">
        <v>72</v>
      </c>
      <c r="G551" t="s">
        <v>25</v>
      </c>
      <c r="H551" t="s">
        <v>59</v>
      </c>
      <c r="I551" t="s">
        <v>60</v>
      </c>
      <c r="J551">
        <v>3</v>
      </c>
      <c r="K551">
        <v>464</v>
      </c>
      <c r="L551">
        <v>1392</v>
      </c>
      <c r="M551">
        <v>56</v>
      </c>
      <c r="N551" t="s">
        <v>38</v>
      </c>
      <c r="O551">
        <v>4.5</v>
      </c>
      <c r="P551" s="2">
        <f>EOMONTH(Table1[[#This Row],[Order_Date]],0)</f>
        <v>45473</v>
      </c>
      <c r="Q551" s="3">
        <f>WEEKNUM(Table1[[#This Row],[Order_Date]])</f>
        <v>26</v>
      </c>
      <c r="R551">
        <f>YEAR(Table1[[#This Row],[Order_Date]])</f>
        <v>2024</v>
      </c>
      <c r="S551" t="str">
        <f>IF(Table1[[#This Row],[Quantity]]&gt;=3,"Promo","Regular")</f>
        <v>Promo</v>
      </c>
    </row>
    <row r="552" spans="1:19" x14ac:dyDescent="0.35">
      <c r="A552" t="s">
        <v>1969</v>
      </c>
      <c r="B552" t="s">
        <v>625</v>
      </c>
      <c r="C552" s="1">
        <v>45489</v>
      </c>
      <c r="D552" t="s">
        <v>15</v>
      </c>
      <c r="E552" t="s">
        <v>23</v>
      </c>
      <c r="F552" t="s">
        <v>72</v>
      </c>
      <c r="G552" t="s">
        <v>25</v>
      </c>
      <c r="H552" t="s">
        <v>32</v>
      </c>
      <c r="I552" t="s">
        <v>20</v>
      </c>
      <c r="J552">
        <v>1</v>
      </c>
      <c r="K552">
        <v>395</v>
      </c>
      <c r="L552">
        <v>395</v>
      </c>
      <c r="M552">
        <v>41</v>
      </c>
      <c r="N552" t="s">
        <v>21</v>
      </c>
      <c r="O552">
        <v>4.8</v>
      </c>
      <c r="P552" s="2">
        <f>EOMONTH(Table1[[#This Row],[Order_Date]],0)</f>
        <v>45504</v>
      </c>
      <c r="Q552" s="3">
        <f>WEEKNUM(Table1[[#This Row],[Order_Date]])</f>
        <v>29</v>
      </c>
      <c r="R552">
        <f>YEAR(Table1[[#This Row],[Order_Date]])</f>
        <v>2024</v>
      </c>
      <c r="S552" t="str">
        <f>IF(Table1[[#This Row],[Quantity]]&gt;=3,"Promo","Regular")</f>
        <v>Regular</v>
      </c>
    </row>
    <row r="553" spans="1:19" x14ac:dyDescent="0.35">
      <c r="A553" t="s">
        <v>1970</v>
      </c>
      <c r="B553" t="s">
        <v>626</v>
      </c>
      <c r="C553" s="1">
        <v>45404</v>
      </c>
      <c r="D553" t="s">
        <v>57</v>
      </c>
      <c r="E553" t="s">
        <v>75</v>
      </c>
      <c r="F553" t="s">
        <v>41</v>
      </c>
      <c r="G553" t="s">
        <v>18</v>
      </c>
      <c r="H553" t="s">
        <v>37</v>
      </c>
      <c r="I553" t="s">
        <v>20</v>
      </c>
      <c r="J553">
        <v>5</v>
      </c>
      <c r="K553">
        <v>432</v>
      </c>
      <c r="L553">
        <v>2160</v>
      </c>
      <c r="M553">
        <v>41</v>
      </c>
      <c r="N553" t="s">
        <v>21</v>
      </c>
      <c r="O553">
        <v>3.4</v>
      </c>
      <c r="P553" s="2">
        <f>EOMONTH(Table1[[#This Row],[Order_Date]],0)</f>
        <v>45412</v>
      </c>
      <c r="Q553" s="3">
        <f>WEEKNUM(Table1[[#This Row],[Order_Date]])</f>
        <v>17</v>
      </c>
      <c r="R553">
        <f>YEAR(Table1[[#This Row],[Order_Date]])</f>
        <v>2024</v>
      </c>
      <c r="S553" t="str">
        <f>IF(Table1[[#This Row],[Quantity]]&gt;=3,"Promo","Regular")</f>
        <v>Promo</v>
      </c>
    </row>
    <row r="554" spans="1:19" x14ac:dyDescent="0.35">
      <c r="A554" t="s">
        <v>1970</v>
      </c>
      <c r="B554" t="s">
        <v>627</v>
      </c>
      <c r="C554" s="1">
        <v>45323</v>
      </c>
      <c r="D554" t="s">
        <v>48</v>
      </c>
      <c r="E554" t="s">
        <v>68</v>
      </c>
      <c r="F554" t="s">
        <v>85</v>
      </c>
      <c r="G554" t="s">
        <v>46</v>
      </c>
      <c r="H554" t="s">
        <v>26</v>
      </c>
      <c r="I554" t="s">
        <v>20</v>
      </c>
      <c r="J554">
        <v>1</v>
      </c>
      <c r="K554">
        <v>394</v>
      </c>
      <c r="L554">
        <v>394</v>
      </c>
      <c r="M554">
        <v>46</v>
      </c>
      <c r="N554" t="s">
        <v>21</v>
      </c>
      <c r="O554">
        <v>4.4000000000000004</v>
      </c>
      <c r="P554" s="2">
        <f>EOMONTH(Table1[[#This Row],[Order_Date]],0)</f>
        <v>45351</v>
      </c>
      <c r="Q554" s="3">
        <f>WEEKNUM(Table1[[#This Row],[Order_Date]])</f>
        <v>5</v>
      </c>
      <c r="R554">
        <f>YEAR(Table1[[#This Row],[Order_Date]])</f>
        <v>2024</v>
      </c>
      <c r="S554" t="str">
        <f>IF(Table1[[#This Row],[Quantity]]&gt;=3,"Promo","Regular")</f>
        <v>Regular</v>
      </c>
    </row>
    <row r="555" spans="1:19" x14ac:dyDescent="0.35">
      <c r="A555" t="s">
        <v>1970</v>
      </c>
      <c r="B555" t="s">
        <v>628</v>
      </c>
      <c r="C555" s="1">
        <v>45581</v>
      </c>
      <c r="D555" t="s">
        <v>43</v>
      </c>
      <c r="E555" t="s">
        <v>93</v>
      </c>
      <c r="F555" t="s">
        <v>30</v>
      </c>
      <c r="G555" t="s">
        <v>18</v>
      </c>
      <c r="H555" t="s">
        <v>50</v>
      </c>
      <c r="I555" t="s">
        <v>20</v>
      </c>
      <c r="J555">
        <v>4</v>
      </c>
      <c r="K555">
        <v>264</v>
      </c>
      <c r="L555">
        <v>1056</v>
      </c>
      <c r="M555">
        <v>55</v>
      </c>
      <c r="N555" t="s">
        <v>33</v>
      </c>
      <c r="O555">
        <v>4</v>
      </c>
      <c r="P555" s="2">
        <f>EOMONTH(Table1[[#This Row],[Order_Date]],0)</f>
        <v>45596</v>
      </c>
      <c r="Q555" s="3">
        <f>WEEKNUM(Table1[[#This Row],[Order_Date]])</f>
        <v>42</v>
      </c>
      <c r="R555">
        <f>YEAR(Table1[[#This Row],[Order_Date]])</f>
        <v>2024</v>
      </c>
      <c r="S555" t="str">
        <f>IF(Table1[[#This Row],[Quantity]]&gt;=3,"Promo","Regular")</f>
        <v>Promo</v>
      </c>
    </row>
    <row r="556" spans="1:19" x14ac:dyDescent="0.35">
      <c r="A556" t="s">
        <v>1970</v>
      </c>
      <c r="B556" t="s">
        <v>629</v>
      </c>
      <c r="C556" s="1">
        <v>45431</v>
      </c>
      <c r="D556" t="s">
        <v>48</v>
      </c>
      <c r="E556" t="s">
        <v>127</v>
      </c>
      <c r="F556" t="s">
        <v>72</v>
      </c>
      <c r="G556" t="s">
        <v>46</v>
      </c>
      <c r="H556" t="s">
        <v>50</v>
      </c>
      <c r="I556" t="s">
        <v>20</v>
      </c>
      <c r="J556">
        <v>3</v>
      </c>
      <c r="K556">
        <v>256</v>
      </c>
      <c r="L556">
        <v>768</v>
      </c>
      <c r="M556">
        <v>43</v>
      </c>
      <c r="N556" t="s">
        <v>33</v>
      </c>
      <c r="O556">
        <v>3.9</v>
      </c>
      <c r="P556" s="2">
        <f>EOMONTH(Table1[[#This Row],[Order_Date]],0)</f>
        <v>45443</v>
      </c>
      <c r="Q556" s="3">
        <f>WEEKNUM(Table1[[#This Row],[Order_Date]])</f>
        <v>21</v>
      </c>
      <c r="R556">
        <f>YEAR(Table1[[#This Row],[Order_Date]])</f>
        <v>2024</v>
      </c>
      <c r="S556" t="str">
        <f>IF(Table1[[#This Row],[Quantity]]&gt;=3,"Promo","Regular")</f>
        <v>Promo</v>
      </c>
    </row>
    <row r="557" spans="1:19" x14ac:dyDescent="0.35">
      <c r="A557" t="s">
        <v>1971</v>
      </c>
      <c r="B557" t="s">
        <v>630</v>
      </c>
      <c r="C557" s="1">
        <v>45545</v>
      </c>
      <c r="D557" t="s">
        <v>48</v>
      </c>
      <c r="E557" t="s">
        <v>68</v>
      </c>
      <c r="F557" t="s">
        <v>41</v>
      </c>
      <c r="G557" t="s">
        <v>25</v>
      </c>
      <c r="H557" t="s">
        <v>66</v>
      </c>
      <c r="I557" t="s">
        <v>20</v>
      </c>
      <c r="J557">
        <v>4</v>
      </c>
      <c r="K557">
        <v>178</v>
      </c>
      <c r="L557">
        <v>712</v>
      </c>
      <c r="M557">
        <v>53</v>
      </c>
      <c r="N557" t="s">
        <v>38</v>
      </c>
      <c r="O557">
        <v>4.8</v>
      </c>
      <c r="P557" s="2">
        <f>EOMONTH(Table1[[#This Row],[Order_Date]],0)</f>
        <v>45565</v>
      </c>
      <c r="Q557" s="3">
        <f>WEEKNUM(Table1[[#This Row],[Order_Date]])</f>
        <v>37</v>
      </c>
      <c r="R557">
        <f>YEAR(Table1[[#This Row],[Order_Date]])</f>
        <v>2024</v>
      </c>
      <c r="S557" t="str">
        <f>IF(Table1[[#This Row],[Quantity]]&gt;=3,"Promo","Regular")</f>
        <v>Promo</v>
      </c>
    </row>
    <row r="558" spans="1:19" x14ac:dyDescent="0.35">
      <c r="A558" t="s">
        <v>1971</v>
      </c>
      <c r="B558" t="s">
        <v>631</v>
      </c>
      <c r="C558" s="1">
        <v>45372</v>
      </c>
      <c r="D558" t="s">
        <v>48</v>
      </c>
      <c r="E558" t="s">
        <v>49</v>
      </c>
      <c r="F558" t="s">
        <v>41</v>
      </c>
      <c r="G558" t="s">
        <v>18</v>
      </c>
      <c r="H558" t="s">
        <v>32</v>
      </c>
      <c r="I558" t="s">
        <v>20</v>
      </c>
      <c r="J558">
        <v>1</v>
      </c>
      <c r="K558">
        <v>481</v>
      </c>
      <c r="L558">
        <v>481</v>
      </c>
      <c r="M558">
        <v>41</v>
      </c>
      <c r="N558" t="s">
        <v>21</v>
      </c>
      <c r="O558">
        <v>4.0999999999999996</v>
      </c>
      <c r="P558" s="2">
        <f>EOMONTH(Table1[[#This Row],[Order_Date]],0)</f>
        <v>45382</v>
      </c>
      <c r="Q558" s="3">
        <f>WEEKNUM(Table1[[#This Row],[Order_Date]])</f>
        <v>12</v>
      </c>
      <c r="R558">
        <f>YEAR(Table1[[#This Row],[Order_Date]])</f>
        <v>2024</v>
      </c>
      <c r="S558" t="str">
        <f>IF(Table1[[#This Row],[Quantity]]&gt;=3,"Promo","Regular")</f>
        <v>Regular</v>
      </c>
    </row>
    <row r="559" spans="1:19" x14ac:dyDescent="0.35">
      <c r="A559" t="s">
        <v>1972</v>
      </c>
      <c r="B559" t="s">
        <v>632</v>
      </c>
      <c r="C559" s="1">
        <v>45490</v>
      </c>
      <c r="D559" t="s">
        <v>57</v>
      </c>
      <c r="E559" t="s">
        <v>75</v>
      </c>
      <c r="F559" t="s">
        <v>69</v>
      </c>
      <c r="G559" t="s">
        <v>31</v>
      </c>
      <c r="H559" t="s">
        <v>53</v>
      </c>
      <c r="I559" t="s">
        <v>20</v>
      </c>
      <c r="J559">
        <v>3</v>
      </c>
      <c r="K559">
        <v>200</v>
      </c>
      <c r="L559">
        <v>600</v>
      </c>
      <c r="M559">
        <v>36</v>
      </c>
      <c r="N559" t="s">
        <v>33</v>
      </c>
      <c r="O559">
        <v>3.5</v>
      </c>
      <c r="P559" s="2">
        <f>EOMONTH(Table1[[#This Row],[Order_Date]],0)</f>
        <v>45504</v>
      </c>
      <c r="Q559" s="3">
        <f>WEEKNUM(Table1[[#This Row],[Order_Date]])</f>
        <v>29</v>
      </c>
      <c r="R559">
        <f>YEAR(Table1[[#This Row],[Order_Date]])</f>
        <v>2024</v>
      </c>
      <c r="S559" t="str">
        <f>IF(Table1[[#This Row],[Quantity]]&gt;=3,"Promo","Regular")</f>
        <v>Promo</v>
      </c>
    </row>
    <row r="560" spans="1:19" x14ac:dyDescent="0.35">
      <c r="A560" t="s">
        <v>1972</v>
      </c>
      <c r="B560" t="s">
        <v>633</v>
      </c>
      <c r="C560" s="1">
        <v>45587</v>
      </c>
      <c r="D560" t="s">
        <v>48</v>
      </c>
      <c r="E560" t="s">
        <v>132</v>
      </c>
      <c r="F560" t="s">
        <v>65</v>
      </c>
      <c r="G560" t="s">
        <v>36</v>
      </c>
      <c r="H560" t="s">
        <v>66</v>
      </c>
      <c r="I560" t="s">
        <v>20</v>
      </c>
      <c r="J560">
        <v>2</v>
      </c>
      <c r="K560">
        <v>441</v>
      </c>
      <c r="L560">
        <v>882</v>
      </c>
      <c r="M560">
        <v>36</v>
      </c>
      <c r="N560" t="s">
        <v>38</v>
      </c>
      <c r="O560">
        <v>4</v>
      </c>
      <c r="P560" s="2">
        <f>EOMONTH(Table1[[#This Row],[Order_Date]],0)</f>
        <v>45596</v>
      </c>
      <c r="Q560" s="3">
        <f>WEEKNUM(Table1[[#This Row],[Order_Date]])</f>
        <v>43</v>
      </c>
      <c r="R560">
        <f>YEAR(Table1[[#This Row],[Order_Date]])</f>
        <v>2024</v>
      </c>
      <c r="S560" t="str">
        <f>IF(Table1[[#This Row],[Quantity]]&gt;=3,"Promo","Regular")</f>
        <v>Regular</v>
      </c>
    </row>
    <row r="561" spans="1:19" x14ac:dyDescent="0.35">
      <c r="A561" t="s">
        <v>1972</v>
      </c>
      <c r="B561" t="s">
        <v>634</v>
      </c>
      <c r="C561" s="1">
        <v>45567</v>
      </c>
      <c r="D561" t="s">
        <v>28</v>
      </c>
      <c r="E561" t="s">
        <v>77</v>
      </c>
      <c r="F561" t="s">
        <v>72</v>
      </c>
      <c r="G561" t="s">
        <v>31</v>
      </c>
      <c r="H561" t="s">
        <v>32</v>
      </c>
      <c r="I561" t="s">
        <v>20</v>
      </c>
      <c r="J561">
        <v>4</v>
      </c>
      <c r="K561">
        <v>441</v>
      </c>
      <c r="L561">
        <v>1764</v>
      </c>
      <c r="M561">
        <v>28</v>
      </c>
      <c r="N561" t="s">
        <v>33</v>
      </c>
      <c r="O561">
        <v>4</v>
      </c>
      <c r="P561" s="2">
        <f>EOMONTH(Table1[[#This Row],[Order_Date]],0)</f>
        <v>45596</v>
      </c>
      <c r="Q561" s="3">
        <f>WEEKNUM(Table1[[#This Row],[Order_Date]])</f>
        <v>40</v>
      </c>
      <c r="R561">
        <f>YEAR(Table1[[#This Row],[Order_Date]])</f>
        <v>2024</v>
      </c>
      <c r="S561" t="str">
        <f>IF(Table1[[#This Row],[Quantity]]&gt;=3,"Promo","Regular")</f>
        <v>Promo</v>
      </c>
    </row>
    <row r="562" spans="1:19" x14ac:dyDescent="0.35">
      <c r="A562" t="s">
        <v>1972</v>
      </c>
      <c r="B562" t="s">
        <v>635</v>
      </c>
      <c r="C562" s="1">
        <v>45437</v>
      </c>
      <c r="D562" t="s">
        <v>28</v>
      </c>
      <c r="E562" t="s">
        <v>98</v>
      </c>
      <c r="F562" t="s">
        <v>24</v>
      </c>
      <c r="G562" t="s">
        <v>25</v>
      </c>
      <c r="H562" t="s">
        <v>37</v>
      </c>
      <c r="I562" t="s">
        <v>20</v>
      </c>
      <c r="J562">
        <v>3</v>
      </c>
      <c r="K562">
        <v>251</v>
      </c>
      <c r="L562">
        <v>753</v>
      </c>
      <c r="M562">
        <v>33</v>
      </c>
      <c r="N562" t="s">
        <v>21</v>
      </c>
      <c r="O562">
        <v>4.7</v>
      </c>
      <c r="P562" s="2">
        <f>EOMONTH(Table1[[#This Row],[Order_Date]],0)</f>
        <v>45443</v>
      </c>
      <c r="Q562" s="3">
        <f>WEEKNUM(Table1[[#This Row],[Order_Date]])</f>
        <v>21</v>
      </c>
      <c r="R562">
        <f>YEAR(Table1[[#This Row],[Order_Date]])</f>
        <v>2024</v>
      </c>
      <c r="S562" t="str">
        <f>IF(Table1[[#This Row],[Quantity]]&gt;=3,"Promo","Regular")</f>
        <v>Promo</v>
      </c>
    </row>
    <row r="563" spans="1:19" x14ac:dyDescent="0.35">
      <c r="A563" t="s">
        <v>1972</v>
      </c>
      <c r="B563" t="s">
        <v>636</v>
      </c>
      <c r="C563" s="1">
        <v>45389</v>
      </c>
      <c r="D563" t="s">
        <v>57</v>
      </c>
      <c r="E563" t="s">
        <v>136</v>
      </c>
      <c r="F563" t="s">
        <v>69</v>
      </c>
      <c r="G563" t="s">
        <v>46</v>
      </c>
      <c r="H563" t="s">
        <v>120</v>
      </c>
      <c r="I563" t="s">
        <v>60</v>
      </c>
      <c r="J563">
        <v>2</v>
      </c>
      <c r="K563">
        <v>180</v>
      </c>
      <c r="L563">
        <v>360</v>
      </c>
      <c r="M563">
        <v>30</v>
      </c>
      <c r="N563" t="s">
        <v>38</v>
      </c>
      <c r="O563">
        <v>3.9</v>
      </c>
      <c r="P563" s="2">
        <f>EOMONTH(Table1[[#This Row],[Order_Date]],0)</f>
        <v>45412</v>
      </c>
      <c r="Q563" s="3">
        <f>WEEKNUM(Table1[[#This Row],[Order_Date]])</f>
        <v>15</v>
      </c>
      <c r="R563">
        <f>YEAR(Table1[[#This Row],[Order_Date]])</f>
        <v>2024</v>
      </c>
      <c r="S563" t="str">
        <f>IF(Table1[[#This Row],[Quantity]]&gt;=3,"Promo","Regular")</f>
        <v>Regular</v>
      </c>
    </row>
    <row r="564" spans="1:19" x14ac:dyDescent="0.35">
      <c r="A564" t="s">
        <v>1973</v>
      </c>
      <c r="B564" t="s">
        <v>637</v>
      </c>
      <c r="C564" s="1">
        <v>45295</v>
      </c>
      <c r="D564" t="s">
        <v>28</v>
      </c>
      <c r="E564" t="s">
        <v>71</v>
      </c>
      <c r="F564" t="s">
        <v>41</v>
      </c>
      <c r="G564" t="s">
        <v>46</v>
      </c>
      <c r="H564" t="s">
        <v>26</v>
      </c>
      <c r="I564" t="s">
        <v>20</v>
      </c>
      <c r="J564">
        <v>2</v>
      </c>
      <c r="K564">
        <v>421</v>
      </c>
      <c r="L564">
        <v>842</v>
      </c>
      <c r="M564">
        <v>34</v>
      </c>
      <c r="N564" t="s">
        <v>38</v>
      </c>
      <c r="O564">
        <v>4.4000000000000004</v>
      </c>
      <c r="P564" s="2">
        <f>EOMONTH(Table1[[#This Row],[Order_Date]],0)</f>
        <v>45322</v>
      </c>
      <c r="Q564" s="3">
        <f>WEEKNUM(Table1[[#This Row],[Order_Date]])</f>
        <v>1</v>
      </c>
      <c r="R564">
        <f>YEAR(Table1[[#This Row],[Order_Date]])</f>
        <v>2024</v>
      </c>
      <c r="S564" t="str">
        <f>IF(Table1[[#This Row],[Quantity]]&gt;=3,"Promo","Regular")</f>
        <v>Regular</v>
      </c>
    </row>
    <row r="565" spans="1:19" x14ac:dyDescent="0.35">
      <c r="A565" t="s">
        <v>1973</v>
      </c>
      <c r="B565" t="s">
        <v>638</v>
      </c>
      <c r="C565" s="1">
        <v>45535</v>
      </c>
      <c r="D565" t="s">
        <v>43</v>
      </c>
      <c r="E565" t="s">
        <v>93</v>
      </c>
      <c r="F565" t="s">
        <v>30</v>
      </c>
      <c r="G565" t="s">
        <v>46</v>
      </c>
      <c r="H565" t="s">
        <v>53</v>
      </c>
      <c r="I565" t="s">
        <v>20</v>
      </c>
      <c r="J565">
        <v>4</v>
      </c>
      <c r="K565">
        <v>213</v>
      </c>
      <c r="L565">
        <v>852</v>
      </c>
      <c r="M565">
        <v>40</v>
      </c>
      <c r="N565" t="s">
        <v>33</v>
      </c>
      <c r="O565">
        <v>3.6</v>
      </c>
      <c r="P565" s="2">
        <f>EOMONTH(Table1[[#This Row],[Order_Date]],0)</f>
        <v>45535</v>
      </c>
      <c r="Q565" s="3">
        <f>WEEKNUM(Table1[[#This Row],[Order_Date]])</f>
        <v>35</v>
      </c>
      <c r="R565">
        <f>YEAR(Table1[[#This Row],[Order_Date]])</f>
        <v>2024</v>
      </c>
      <c r="S565" t="str">
        <f>IF(Table1[[#This Row],[Quantity]]&gt;=3,"Promo","Regular")</f>
        <v>Promo</v>
      </c>
    </row>
    <row r="566" spans="1:19" x14ac:dyDescent="0.35">
      <c r="A566" t="s">
        <v>1973</v>
      </c>
      <c r="B566" t="s">
        <v>639</v>
      </c>
      <c r="C566" s="1">
        <v>45558</v>
      </c>
      <c r="D566" t="s">
        <v>57</v>
      </c>
      <c r="E566" t="s">
        <v>136</v>
      </c>
      <c r="F566" t="s">
        <v>45</v>
      </c>
      <c r="G566" t="s">
        <v>25</v>
      </c>
      <c r="H566" t="s">
        <v>120</v>
      </c>
      <c r="I566" t="s">
        <v>60</v>
      </c>
      <c r="J566">
        <v>1</v>
      </c>
      <c r="K566">
        <v>322</v>
      </c>
      <c r="L566">
        <v>322</v>
      </c>
      <c r="M566">
        <v>24</v>
      </c>
      <c r="N566" t="s">
        <v>38</v>
      </c>
      <c r="O566">
        <v>4.2</v>
      </c>
      <c r="P566" s="2">
        <f>EOMONTH(Table1[[#This Row],[Order_Date]],0)</f>
        <v>45565</v>
      </c>
      <c r="Q566" s="3">
        <f>WEEKNUM(Table1[[#This Row],[Order_Date]])</f>
        <v>39</v>
      </c>
      <c r="R566">
        <f>YEAR(Table1[[#This Row],[Order_Date]])</f>
        <v>2024</v>
      </c>
      <c r="S566" t="str">
        <f>IF(Table1[[#This Row],[Quantity]]&gt;=3,"Promo","Regular")</f>
        <v>Regular</v>
      </c>
    </row>
    <row r="567" spans="1:19" x14ac:dyDescent="0.35">
      <c r="A567" t="s">
        <v>1973</v>
      </c>
      <c r="B567" t="s">
        <v>640</v>
      </c>
      <c r="C567" s="1">
        <v>45357</v>
      </c>
      <c r="D567" t="s">
        <v>43</v>
      </c>
      <c r="E567" t="s">
        <v>52</v>
      </c>
      <c r="F567" t="s">
        <v>41</v>
      </c>
      <c r="G567" t="s">
        <v>73</v>
      </c>
      <c r="H567" t="s">
        <v>19</v>
      </c>
      <c r="I567" t="s">
        <v>20</v>
      </c>
      <c r="J567">
        <v>2</v>
      </c>
      <c r="K567">
        <v>166</v>
      </c>
      <c r="L567">
        <v>332</v>
      </c>
      <c r="M567">
        <v>33</v>
      </c>
      <c r="N567" t="s">
        <v>33</v>
      </c>
      <c r="O567">
        <v>4.2</v>
      </c>
      <c r="P567" s="2">
        <f>EOMONTH(Table1[[#This Row],[Order_Date]],0)</f>
        <v>45382</v>
      </c>
      <c r="Q567" s="3">
        <f>WEEKNUM(Table1[[#This Row],[Order_Date]])</f>
        <v>10</v>
      </c>
      <c r="R567">
        <f>YEAR(Table1[[#This Row],[Order_Date]])</f>
        <v>2024</v>
      </c>
      <c r="S567" t="str">
        <f>IF(Table1[[#This Row],[Quantity]]&gt;=3,"Promo","Regular")</f>
        <v>Regular</v>
      </c>
    </row>
    <row r="568" spans="1:19" x14ac:dyDescent="0.35">
      <c r="A568" t="s">
        <v>1973</v>
      </c>
      <c r="B568" t="s">
        <v>641</v>
      </c>
      <c r="C568" s="1">
        <v>45398</v>
      </c>
      <c r="D568" t="s">
        <v>43</v>
      </c>
      <c r="E568" t="s">
        <v>110</v>
      </c>
      <c r="F568" t="s">
        <v>30</v>
      </c>
      <c r="G568" t="s">
        <v>31</v>
      </c>
      <c r="H568" t="s">
        <v>53</v>
      </c>
      <c r="I568" t="s">
        <v>20</v>
      </c>
      <c r="J568">
        <v>2</v>
      </c>
      <c r="K568">
        <v>305</v>
      </c>
      <c r="L568">
        <v>610</v>
      </c>
      <c r="M568">
        <v>37</v>
      </c>
      <c r="N568" t="s">
        <v>33</v>
      </c>
      <c r="O568">
        <v>4.0999999999999996</v>
      </c>
      <c r="P568" s="2">
        <f>EOMONTH(Table1[[#This Row],[Order_Date]],0)</f>
        <v>45412</v>
      </c>
      <c r="Q568" s="3">
        <f>WEEKNUM(Table1[[#This Row],[Order_Date]])</f>
        <v>16</v>
      </c>
      <c r="R568">
        <f>YEAR(Table1[[#This Row],[Order_Date]])</f>
        <v>2024</v>
      </c>
      <c r="S568" t="str">
        <f>IF(Table1[[#This Row],[Quantity]]&gt;=3,"Promo","Regular")</f>
        <v>Regular</v>
      </c>
    </row>
    <row r="569" spans="1:19" x14ac:dyDescent="0.35">
      <c r="A569" t="s">
        <v>1974</v>
      </c>
      <c r="B569" t="s">
        <v>642</v>
      </c>
      <c r="C569" s="1">
        <v>45298</v>
      </c>
      <c r="D569" t="s">
        <v>28</v>
      </c>
      <c r="E569" t="s">
        <v>71</v>
      </c>
      <c r="F569" t="s">
        <v>85</v>
      </c>
      <c r="G569" t="s">
        <v>25</v>
      </c>
      <c r="H569" t="s">
        <v>55</v>
      </c>
      <c r="I569" t="s">
        <v>20</v>
      </c>
      <c r="J569">
        <v>2</v>
      </c>
      <c r="K569">
        <v>280</v>
      </c>
      <c r="L569">
        <v>560</v>
      </c>
      <c r="M569">
        <v>32</v>
      </c>
      <c r="N569" t="s">
        <v>33</v>
      </c>
      <c r="O569">
        <v>4.2</v>
      </c>
      <c r="P569" s="2">
        <f>EOMONTH(Table1[[#This Row],[Order_Date]],0)</f>
        <v>45322</v>
      </c>
      <c r="Q569" s="3">
        <f>WEEKNUM(Table1[[#This Row],[Order_Date]])</f>
        <v>2</v>
      </c>
      <c r="R569">
        <f>YEAR(Table1[[#This Row],[Order_Date]])</f>
        <v>2024</v>
      </c>
      <c r="S569" t="str">
        <f>IF(Table1[[#This Row],[Quantity]]&gt;=3,"Promo","Regular")</f>
        <v>Regular</v>
      </c>
    </row>
    <row r="570" spans="1:19" x14ac:dyDescent="0.35">
      <c r="A570" t="s">
        <v>1974</v>
      </c>
      <c r="B570" t="s">
        <v>643</v>
      </c>
      <c r="C570" s="1">
        <v>45469</v>
      </c>
      <c r="D570" t="s">
        <v>28</v>
      </c>
      <c r="E570" t="s">
        <v>71</v>
      </c>
      <c r="F570" t="s">
        <v>85</v>
      </c>
      <c r="G570" t="s">
        <v>31</v>
      </c>
      <c r="H570" t="s">
        <v>32</v>
      </c>
      <c r="I570" t="s">
        <v>20</v>
      </c>
      <c r="J570">
        <v>1</v>
      </c>
      <c r="K570">
        <v>408</v>
      </c>
      <c r="L570">
        <v>408</v>
      </c>
      <c r="M570">
        <v>51</v>
      </c>
      <c r="N570" t="s">
        <v>21</v>
      </c>
      <c r="O570">
        <v>4.0999999999999996</v>
      </c>
      <c r="P570" s="2">
        <f>EOMONTH(Table1[[#This Row],[Order_Date]],0)</f>
        <v>45473</v>
      </c>
      <c r="Q570" s="3">
        <f>WEEKNUM(Table1[[#This Row],[Order_Date]])</f>
        <v>26</v>
      </c>
      <c r="R570">
        <f>YEAR(Table1[[#This Row],[Order_Date]])</f>
        <v>2024</v>
      </c>
      <c r="S570" t="str">
        <f>IF(Table1[[#This Row],[Quantity]]&gt;=3,"Promo","Regular")</f>
        <v>Regular</v>
      </c>
    </row>
    <row r="571" spans="1:19" x14ac:dyDescent="0.35">
      <c r="A571" t="s">
        <v>1974</v>
      </c>
      <c r="B571" t="s">
        <v>644</v>
      </c>
      <c r="C571" s="1">
        <v>45514</v>
      </c>
      <c r="D571" t="s">
        <v>28</v>
      </c>
      <c r="E571" t="s">
        <v>98</v>
      </c>
      <c r="F571" t="s">
        <v>30</v>
      </c>
      <c r="G571" t="s">
        <v>73</v>
      </c>
      <c r="H571" t="s">
        <v>26</v>
      </c>
      <c r="I571" t="s">
        <v>20</v>
      </c>
      <c r="J571">
        <v>4</v>
      </c>
      <c r="K571">
        <v>203</v>
      </c>
      <c r="L571">
        <v>812</v>
      </c>
      <c r="M571">
        <v>58</v>
      </c>
      <c r="N571" t="s">
        <v>38</v>
      </c>
      <c r="O571">
        <v>3.3</v>
      </c>
      <c r="P571" s="2">
        <f>EOMONTH(Table1[[#This Row],[Order_Date]],0)</f>
        <v>45535</v>
      </c>
      <c r="Q571" s="3">
        <f>WEEKNUM(Table1[[#This Row],[Order_Date]])</f>
        <v>32</v>
      </c>
      <c r="R571">
        <f>YEAR(Table1[[#This Row],[Order_Date]])</f>
        <v>2024</v>
      </c>
      <c r="S571" t="str">
        <f>IF(Table1[[#This Row],[Quantity]]&gt;=3,"Promo","Regular")</f>
        <v>Promo</v>
      </c>
    </row>
    <row r="572" spans="1:19" x14ac:dyDescent="0.35">
      <c r="A572" t="s">
        <v>1974</v>
      </c>
      <c r="B572" t="s">
        <v>645</v>
      </c>
      <c r="C572" s="1">
        <v>45396</v>
      </c>
      <c r="D572" t="s">
        <v>15</v>
      </c>
      <c r="E572" t="s">
        <v>16</v>
      </c>
      <c r="F572" t="s">
        <v>85</v>
      </c>
      <c r="G572" t="s">
        <v>46</v>
      </c>
      <c r="H572" t="s">
        <v>37</v>
      </c>
      <c r="I572" t="s">
        <v>20</v>
      </c>
      <c r="J572">
        <v>5</v>
      </c>
      <c r="K572">
        <v>487</v>
      </c>
      <c r="L572">
        <v>2435</v>
      </c>
      <c r="M572">
        <v>48</v>
      </c>
      <c r="N572" t="s">
        <v>33</v>
      </c>
      <c r="O572">
        <v>4.4000000000000004</v>
      </c>
      <c r="P572" s="2">
        <f>EOMONTH(Table1[[#This Row],[Order_Date]],0)</f>
        <v>45412</v>
      </c>
      <c r="Q572" s="3">
        <f>WEEKNUM(Table1[[#This Row],[Order_Date]])</f>
        <v>16</v>
      </c>
      <c r="R572">
        <f>YEAR(Table1[[#This Row],[Order_Date]])</f>
        <v>2024</v>
      </c>
      <c r="S572" t="str">
        <f>IF(Table1[[#This Row],[Quantity]]&gt;=3,"Promo","Regular")</f>
        <v>Promo</v>
      </c>
    </row>
    <row r="573" spans="1:19" x14ac:dyDescent="0.35">
      <c r="A573" t="s">
        <v>1975</v>
      </c>
      <c r="B573" t="s">
        <v>646</v>
      </c>
      <c r="C573" s="1">
        <v>45323</v>
      </c>
      <c r="D573" t="s">
        <v>57</v>
      </c>
      <c r="E573" t="s">
        <v>75</v>
      </c>
      <c r="F573" t="s">
        <v>72</v>
      </c>
      <c r="G573" t="s">
        <v>36</v>
      </c>
      <c r="H573" t="s">
        <v>66</v>
      </c>
      <c r="I573" t="s">
        <v>20</v>
      </c>
      <c r="J573">
        <v>1</v>
      </c>
      <c r="K573">
        <v>292</v>
      </c>
      <c r="L573">
        <v>292</v>
      </c>
      <c r="M573">
        <v>21</v>
      </c>
      <c r="N573" t="s">
        <v>21</v>
      </c>
      <c r="O573">
        <v>3.8</v>
      </c>
      <c r="P573" s="2">
        <f>EOMONTH(Table1[[#This Row],[Order_Date]],0)</f>
        <v>45351</v>
      </c>
      <c r="Q573" s="3">
        <f>WEEKNUM(Table1[[#This Row],[Order_Date]])</f>
        <v>5</v>
      </c>
      <c r="R573">
        <f>YEAR(Table1[[#This Row],[Order_Date]])</f>
        <v>2024</v>
      </c>
      <c r="S573" t="str">
        <f>IF(Table1[[#This Row],[Quantity]]&gt;=3,"Promo","Regular")</f>
        <v>Regular</v>
      </c>
    </row>
    <row r="574" spans="1:19" x14ac:dyDescent="0.35">
      <c r="A574" t="s">
        <v>1975</v>
      </c>
      <c r="B574" t="s">
        <v>647</v>
      </c>
      <c r="C574" s="1">
        <v>45556</v>
      </c>
      <c r="D574" t="s">
        <v>43</v>
      </c>
      <c r="E574" t="s">
        <v>52</v>
      </c>
      <c r="F574" t="s">
        <v>69</v>
      </c>
      <c r="G574" t="s">
        <v>18</v>
      </c>
      <c r="H574" t="s">
        <v>19</v>
      </c>
      <c r="I574" t="s">
        <v>20</v>
      </c>
      <c r="J574">
        <v>3</v>
      </c>
      <c r="K574">
        <v>401</v>
      </c>
      <c r="L574">
        <v>1203</v>
      </c>
      <c r="M574">
        <v>40</v>
      </c>
      <c r="N574" t="s">
        <v>21</v>
      </c>
      <c r="O574">
        <v>4.2</v>
      </c>
      <c r="P574" s="2">
        <f>EOMONTH(Table1[[#This Row],[Order_Date]],0)</f>
        <v>45565</v>
      </c>
      <c r="Q574" s="3">
        <f>WEEKNUM(Table1[[#This Row],[Order_Date]])</f>
        <v>38</v>
      </c>
      <c r="R574">
        <f>YEAR(Table1[[#This Row],[Order_Date]])</f>
        <v>2024</v>
      </c>
      <c r="S574" t="str">
        <f>IF(Table1[[#This Row],[Quantity]]&gt;=3,"Promo","Regular")</f>
        <v>Promo</v>
      </c>
    </row>
    <row r="575" spans="1:19" x14ac:dyDescent="0.35">
      <c r="A575" t="s">
        <v>1975</v>
      </c>
      <c r="B575" t="s">
        <v>648</v>
      </c>
      <c r="C575" s="1">
        <v>45427</v>
      </c>
      <c r="D575" t="s">
        <v>57</v>
      </c>
      <c r="E575" t="s">
        <v>105</v>
      </c>
      <c r="F575" t="s">
        <v>30</v>
      </c>
      <c r="G575" t="s">
        <v>18</v>
      </c>
      <c r="H575" t="s">
        <v>32</v>
      </c>
      <c r="I575" t="s">
        <v>20</v>
      </c>
      <c r="J575">
        <v>4</v>
      </c>
      <c r="K575">
        <v>392</v>
      </c>
      <c r="L575">
        <v>1568</v>
      </c>
      <c r="M575">
        <v>20</v>
      </c>
      <c r="N575" t="s">
        <v>33</v>
      </c>
      <c r="O575">
        <v>4.0999999999999996</v>
      </c>
      <c r="P575" s="2">
        <f>EOMONTH(Table1[[#This Row],[Order_Date]],0)</f>
        <v>45443</v>
      </c>
      <c r="Q575" s="3">
        <f>WEEKNUM(Table1[[#This Row],[Order_Date]])</f>
        <v>20</v>
      </c>
      <c r="R575">
        <f>YEAR(Table1[[#This Row],[Order_Date]])</f>
        <v>2024</v>
      </c>
      <c r="S575" t="str">
        <f>IF(Table1[[#This Row],[Quantity]]&gt;=3,"Promo","Regular")</f>
        <v>Promo</v>
      </c>
    </row>
    <row r="576" spans="1:19" x14ac:dyDescent="0.35">
      <c r="A576" t="s">
        <v>1976</v>
      </c>
      <c r="B576" t="s">
        <v>649</v>
      </c>
      <c r="C576" s="1">
        <v>45551</v>
      </c>
      <c r="D576" t="s">
        <v>57</v>
      </c>
      <c r="E576" t="s">
        <v>105</v>
      </c>
      <c r="F576" t="s">
        <v>41</v>
      </c>
      <c r="G576" t="s">
        <v>18</v>
      </c>
      <c r="H576" t="s">
        <v>66</v>
      </c>
      <c r="I576" t="s">
        <v>20</v>
      </c>
      <c r="J576">
        <v>5</v>
      </c>
      <c r="K576">
        <v>146</v>
      </c>
      <c r="L576">
        <v>730</v>
      </c>
      <c r="M576">
        <v>53</v>
      </c>
      <c r="N576" t="s">
        <v>33</v>
      </c>
      <c r="O576">
        <v>3.8</v>
      </c>
      <c r="P576" s="2">
        <f>EOMONTH(Table1[[#This Row],[Order_Date]],0)</f>
        <v>45565</v>
      </c>
      <c r="Q576" s="3">
        <f>WEEKNUM(Table1[[#This Row],[Order_Date]])</f>
        <v>38</v>
      </c>
      <c r="R576">
        <f>YEAR(Table1[[#This Row],[Order_Date]])</f>
        <v>2024</v>
      </c>
      <c r="S576" t="str">
        <f>IF(Table1[[#This Row],[Quantity]]&gt;=3,"Promo","Regular")</f>
        <v>Promo</v>
      </c>
    </row>
    <row r="577" spans="1:19" x14ac:dyDescent="0.35">
      <c r="A577" t="s">
        <v>1976</v>
      </c>
      <c r="B577" t="s">
        <v>650</v>
      </c>
      <c r="C577" s="1">
        <v>45401</v>
      </c>
      <c r="D577" t="s">
        <v>57</v>
      </c>
      <c r="E577" t="s">
        <v>136</v>
      </c>
      <c r="F577" t="s">
        <v>17</v>
      </c>
      <c r="G577" t="s">
        <v>46</v>
      </c>
      <c r="H577" t="s">
        <v>55</v>
      </c>
      <c r="I577" t="s">
        <v>20</v>
      </c>
      <c r="J577">
        <v>4</v>
      </c>
      <c r="K577">
        <v>199</v>
      </c>
      <c r="L577">
        <v>796</v>
      </c>
      <c r="M577">
        <v>27</v>
      </c>
      <c r="N577" t="s">
        <v>38</v>
      </c>
      <c r="O577">
        <v>3.6</v>
      </c>
      <c r="P577" s="2">
        <f>EOMONTH(Table1[[#This Row],[Order_Date]],0)</f>
        <v>45412</v>
      </c>
      <c r="Q577" s="3">
        <f>WEEKNUM(Table1[[#This Row],[Order_Date]])</f>
        <v>16</v>
      </c>
      <c r="R577">
        <f>YEAR(Table1[[#This Row],[Order_Date]])</f>
        <v>2024</v>
      </c>
      <c r="S577" t="str">
        <f>IF(Table1[[#This Row],[Quantity]]&gt;=3,"Promo","Regular")</f>
        <v>Promo</v>
      </c>
    </row>
    <row r="578" spans="1:19" x14ac:dyDescent="0.35">
      <c r="A578" t="s">
        <v>1977</v>
      </c>
      <c r="B578" t="s">
        <v>651</v>
      </c>
      <c r="C578" s="1">
        <v>45336</v>
      </c>
      <c r="D578" t="s">
        <v>43</v>
      </c>
      <c r="E578" t="s">
        <v>82</v>
      </c>
      <c r="F578" t="s">
        <v>85</v>
      </c>
      <c r="G578" t="s">
        <v>46</v>
      </c>
      <c r="H578" t="s">
        <v>59</v>
      </c>
      <c r="I578" t="s">
        <v>60</v>
      </c>
      <c r="J578">
        <v>1</v>
      </c>
      <c r="K578">
        <v>137</v>
      </c>
      <c r="L578">
        <v>137</v>
      </c>
      <c r="M578">
        <v>20</v>
      </c>
      <c r="N578" t="s">
        <v>33</v>
      </c>
      <c r="O578">
        <v>4.9000000000000004</v>
      </c>
      <c r="P578" s="2">
        <f>EOMONTH(Table1[[#This Row],[Order_Date]],0)</f>
        <v>45351</v>
      </c>
      <c r="Q578" s="3">
        <f>WEEKNUM(Table1[[#This Row],[Order_Date]])</f>
        <v>7</v>
      </c>
      <c r="R578">
        <f>YEAR(Table1[[#This Row],[Order_Date]])</f>
        <v>2024</v>
      </c>
      <c r="S578" t="str">
        <f>IF(Table1[[#This Row],[Quantity]]&gt;=3,"Promo","Regular")</f>
        <v>Regular</v>
      </c>
    </row>
    <row r="579" spans="1:19" x14ac:dyDescent="0.35">
      <c r="A579" t="s">
        <v>1977</v>
      </c>
      <c r="B579" t="s">
        <v>652</v>
      </c>
      <c r="C579" s="1">
        <v>45392</v>
      </c>
      <c r="D579" t="s">
        <v>43</v>
      </c>
      <c r="E579" t="s">
        <v>52</v>
      </c>
      <c r="F579" t="s">
        <v>65</v>
      </c>
      <c r="G579" t="s">
        <v>18</v>
      </c>
      <c r="H579" t="s">
        <v>53</v>
      </c>
      <c r="I579" t="s">
        <v>20</v>
      </c>
      <c r="J579">
        <v>3</v>
      </c>
      <c r="K579">
        <v>139</v>
      </c>
      <c r="L579">
        <v>417</v>
      </c>
      <c r="M579">
        <v>51</v>
      </c>
      <c r="N579" t="s">
        <v>21</v>
      </c>
      <c r="O579">
        <v>4.0999999999999996</v>
      </c>
      <c r="P579" s="2">
        <f>EOMONTH(Table1[[#This Row],[Order_Date]],0)</f>
        <v>45412</v>
      </c>
      <c r="Q579" s="3">
        <f>WEEKNUM(Table1[[#This Row],[Order_Date]])</f>
        <v>15</v>
      </c>
      <c r="R579">
        <f>YEAR(Table1[[#This Row],[Order_Date]])</f>
        <v>2024</v>
      </c>
      <c r="S579" t="str">
        <f>IF(Table1[[#This Row],[Quantity]]&gt;=3,"Promo","Regular")</f>
        <v>Promo</v>
      </c>
    </row>
    <row r="580" spans="1:19" x14ac:dyDescent="0.35">
      <c r="A580" t="s">
        <v>1977</v>
      </c>
      <c r="B580" t="s">
        <v>653</v>
      </c>
      <c r="C580" s="1">
        <v>45314</v>
      </c>
      <c r="D580" t="s">
        <v>43</v>
      </c>
      <c r="E580" t="s">
        <v>52</v>
      </c>
      <c r="F580" t="s">
        <v>30</v>
      </c>
      <c r="G580" t="s">
        <v>18</v>
      </c>
      <c r="H580" t="s">
        <v>66</v>
      </c>
      <c r="I580" t="s">
        <v>20</v>
      </c>
      <c r="J580">
        <v>4</v>
      </c>
      <c r="K580">
        <v>108</v>
      </c>
      <c r="L580">
        <v>432</v>
      </c>
      <c r="M580">
        <v>29</v>
      </c>
      <c r="N580" t="s">
        <v>33</v>
      </c>
      <c r="O580">
        <v>3.9</v>
      </c>
      <c r="P580" s="2">
        <f>EOMONTH(Table1[[#This Row],[Order_Date]],0)</f>
        <v>45322</v>
      </c>
      <c r="Q580" s="3">
        <f>WEEKNUM(Table1[[#This Row],[Order_Date]])</f>
        <v>4</v>
      </c>
      <c r="R580">
        <f>YEAR(Table1[[#This Row],[Order_Date]])</f>
        <v>2024</v>
      </c>
      <c r="S580" t="str">
        <f>IF(Table1[[#This Row],[Quantity]]&gt;=3,"Promo","Regular")</f>
        <v>Promo</v>
      </c>
    </row>
    <row r="581" spans="1:19" x14ac:dyDescent="0.35">
      <c r="A581" t="s">
        <v>1977</v>
      </c>
      <c r="B581" t="s">
        <v>654</v>
      </c>
      <c r="C581" s="1">
        <v>45512</v>
      </c>
      <c r="D581" t="s">
        <v>15</v>
      </c>
      <c r="E581" t="s">
        <v>23</v>
      </c>
      <c r="F581" t="s">
        <v>72</v>
      </c>
      <c r="G581" t="s">
        <v>73</v>
      </c>
      <c r="H581" t="s">
        <v>66</v>
      </c>
      <c r="I581" t="s">
        <v>20</v>
      </c>
      <c r="J581">
        <v>4</v>
      </c>
      <c r="K581">
        <v>332</v>
      </c>
      <c r="L581">
        <v>1328</v>
      </c>
      <c r="M581">
        <v>30</v>
      </c>
      <c r="N581" t="s">
        <v>21</v>
      </c>
      <c r="O581">
        <v>3.6</v>
      </c>
      <c r="P581" s="2">
        <f>EOMONTH(Table1[[#This Row],[Order_Date]],0)</f>
        <v>45535</v>
      </c>
      <c r="Q581" s="3">
        <f>WEEKNUM(Table1[[#This Row],[Order_Date]])</f>
        <v>32</v>
      </c>
      <c r="R581">
        <f>YEAR(Table1[[#This Row],[Order_Date]])</f>
        <v>2024</v>
      </c>
      <c r="S581" t="str">
        <f>IF(Table1[[#This Row],[Quantity]]&gt;=3,"Promo","Regular")</f>
        <v>Promo</v>
      </c>
    </row>
    <row r="582" spans="1:19" x14ac:dyDescent="0.35">
      <c r="A582" t="s">
        <v>1977</v>
      </c>
      <c r="B582" t="s">
        <v>655</v>
      </c>
      <c r="C582" s="1">
        <v>45458</v>
      </c>
      <c r="D582" t="s">
        <v>48</v>
      </c>
      <c r="E582" t="s">
        <v>64</v>
      </c>
      <c r="F582" t="s">
        <v>65</v>
      </c>
      <c r="G582" t="s">
        <v>31</v>
      </c>
      <c r="H582" t="s">
        <v>19</v>
      </c>
      <c r="I582" t="s">
        <v>20</v>
      </c>
      <c r="J582">
        <v>2</v>
      </c>
      <c r="K582">
        <v>146</v>
      </c>
      <c r="L582">
        <v>292</v>
      </c>
      <c r="M582">
        <v>50</v>
      </c>
      <c r="N582" t="s">
        <v>33</v>
      </c>
      <c r="O582">
        <v>4.9000000000000004</v>
      </c>
      <c r="P582" s="2">
        <f>EOMONTH(Table1[[#This Row],[Order_Date]],0)</f>
        <v>45473</v>
      </c>
      <c r="Q582" s="3">
        <f>WEEKNUM(Table1[[#This Row],[Order_Date]])</f>
        <v>24</v>
      </c>
      <c r="R582">
        <f>YEAR(Table1[[#This Row],[Order_Date]])</f>
        <v>2024</v>
      </c>
      <c r="S582" t="str">
        <f>IF(Table1[[#This Row],[Quantity]]&gt;=3,"Promo","Regular")</f>
        <v>Regular</v>
      </c>
    </row>
    <row r="583" spans="1:19" x14ac:dyDescent="0.35">
      <c r="A583" t="s">
        <v>1978</v>
      </c>
      <c r="B583" t="s">
        <v>656</v>
      </c>
      <c r="C583" s="1">
        <v>45506</v>
      </c>
      <c r="D583" t="s">
        <v>43</v>
      </c>
      <c r="E583" t="s">
        <v>110</v>
      </c>
      <c r="F583" t="s">
        <v>35</v>
      </c>
      <c r="G583" t="s">
        <v>18</v>
      </c>
      <c r="H583" t="s">
        <v>26</v>
      </c>
      <c r="I583" t="s">
        <v>20</v>
      </c>
      <c r="J583">
        <v>4</v>
      </c>
      <c r="K583">
        <v>126</v>
      </c>
      <c r="L583">
        <v>504</v>
      </c>
      <c r="M583">
        <v>21</v>
      </c>
      <c r="N583" t="s">
        <v>33</v>
      </c>
      <c r="O583">
        <v>3.1</v>
      </c>
      <c r="P583" s="2">
        <f>EOMONTH(Table1[[#This Row],[Order_Date]],0)</f>
        <v>45535</v>
      </c>
      <c r="Q583" s="3">
        <f>WEEKNUM(Table1[[#This Row],[Order_Date]])</f>
        <v>31</v>
      </c>
      <c r="R583">
        <f>YEAR(Table1[[#This Row],[Order_Date]])</f>
        <v>2024</v>
      </c>
      <c r="S583" t="str">
        <f>IF(Table1[[#This Row],[Quantity]]&gt;=3,"Promo","Regular")</f>
        <v>Promo</v>
      </c>
    </row>
    <row r="584" spans="1:19" x14ac:dyDescent="0.35">
      <c r="A584" t="s">
        <v>1978</v>
      </c>
      <c r="B584" t="s">
        <v>657</v>
      </c>
      <c r="C584" s="1">
        <v>45381</v>
      </c>
      <c r="D584" t="s">
        <v>28</v>
      </c>
      <c r="E584" t="s">
        <v>77</v>
      </c>
      <c r="F584" t="s">
        <v>35</v>
      </c>
      <c r="G584" t="s">
        <v>73</v>
      </c>
      <c r="H584" t="s">
        <v>66</v>
      </c>
      <c r="I584" t="s">
        <v>20</v>
      </c>
      <c r="J584">
        <v>5</v>
      </c>
      <c r="K584">
        <v>203</v>
      </c>
      <c r="L584">
        <v>1015</v>
      </c>
      <c r="M584">
        <v>29</v>
      </c>
      <c r="N584" t="s">
        <v>38</v>
      </c>
      <c r="O584">
        <v>4.3</v>
      </c>
      <c r="P584" s="2">
        <f>EOMONTH(Table1[[#This Row],[Order_Date]],0)</f>
        <v>45382</v>
      </c>
      <c r="Q584" s="3">
        <f>WEEKNUM(Table1[[#This Row],[Order_Date]])</f>
        <v>13</v>
      </c>
      <c r="R584">
        <f>YEAR(Table1[[#This Row],[Order_Date]])</f>
        <v>2024</v>
      </c>
      <c r="S584" t="str">
        <f>IF(Table1[[#This Row],[Quantity]]&gt;=3,"Promo","Regular")</f>
        <v>Promo</v>
      </c>
    </row>
    <row r="585" spans="1:19" x14ac:dyDescent="0.35">
      <c r="A585" t="s">
        <v>1978</v>
      </c>
      <c r="B585" t="s">
        <v>658</v>
      </c>
      <c r="C585" s="1">
        <v>45390</v>
      </c>
      <c r="D585" t="s">
        <v>57</v>
      </c>
      <c r="E585" t="s">
        <v>62</v>
      </c>
      <c r="F585" t="s">
        <v>41</v>
      </c>
      <c r="G585" t="s">
        <v>18</v>
      </c>
      <c r="H585" t="s">
        <v>53</v>
      </c>
      <c r="I585" t="s">
        <v>20</v>
      </c>
      <c r="J585">
        <v>4</v>
      </c>
      <c r="K585">
        <v>119</v>
      </c>
      <c r="L585">
        <v>476</v>
      </c>
      <c r="M585">
        <v>30</v>
      </c>
      <c r="N585" t="s">
        <v>33</v>
      </c>
      <c r="O585">
        <v>4.9000000000000004</v>
      </c>
      <c r="P585" s="2">
        <f>EOMONTH(Table1[[#This Row],[Order_Date]],0)</f>
        <v>45412</v>
      </c>
      <c r="Q585" s="3">
        <f>WEEKNUM(Table1[[#This Row],[Order_Date]])</f>
        <v>15</v>
      </c>
      <c r="R585">
        <f>YEAR(Table1[[#This Row],[Order_Date]])</f>
        <v>2024</v>
      </c>
      <c r="S585" t="str">
        <f>IF(Table1[[#This Row],[Quantity]]&gt;=3,"Promo","Regular")</f>
        <v>Promo</v>
      </c>
    </row>
    <row r="586" spans="1:19" x14ac:dyDescent="0.35">
      <c r="A586" t="s">
        <v>1978</v>
      </c>
      <c r="B586" t="s">
        <v>659</v>
      </c>
      <c r="C586" s="1">
        <v>45523</v>
      </c>
      <c r="D586" t="s">
        <v>57</v>
      </c>
      <c r="E586" t="s">
        <v>105</v>
      </c>
      <c r="F586" t="s">
        <v>35</v>
      </c>
      <c r="G586" t="s">
        <v>73</v>
      </c>
      <c r="H586" t="s">
        <v>19</v>
      </c>
      <c r="I586" t="s">
        <v>20</v>
      </c>
      <c r="J586">
        <v>2</v>
      </c>
      <c r="K586">
        <v>349</v>
      </c>
      <c r="L586">
        <v>698</v>
      </c>
      <c r="M586">
        <v>31</v>
      </c>
      <c r="N586" t="s">
        <v>33</v>
      </c>
      <c r="O586">
        <v>3.5</v>
      </c>
      <c r="P586" s="2">
        <f>EOMONTH(Table1[[#This Row],[Order_Date]],0)</f>
        <v>45535</v>
      </c>
      <c r="Q586" s="3">
        <f>WEEKNUM(Table1[[#This Row],[Order_Date]])</f>
        <v>34</v>
      </c>
      <c r="R586">
        <f>YEAR(Table1[[#This Row],[Order_Date]])</f>
        <v>2024</v>
      </c>
      <c r="S586" t="str">
        <f>IF(Table1[[#This Row],[Quantity]]&gt;=3,"Promo","Regular")</f>
        <v>Regular</v>
      </c>
    </row>
    <row r="587" spans="1:19" x14ac:dyDescent="0.35">
      <c r="A587" t="s">
        <v>1979</v>
      </c>
      <c r="B587" t="s">
        <v>660</v>
      </c>
      <c r="C587" s="1">
        <v>45497</v>
      </c>
      <c r="D587" t="s">
        <v>28</v>
      </c>
      <c r="E587" t="s">
        <v>40</v>
      </c>
      <c r="F587" t="s">
        <v>30</v>
      </c>
      <c r="G587" t="s">
        <v>46</v>
      </c>
      <c r="H587" t="s">
        <v>26</v>
      </c>
      <c r="I587" t="s">
        <v>20</v>
      </c>
      <c r="J587">
        <v>2</v>
      </c>
      <c r="K587">
        <v>481</v>
      </c>
      <c r="L587">
        <v>962</v>
      </c>
      <c r="M587">
        <v>58</v>
      </c>
      <c r="N587" t="s">
        <v>21</v>
      </c>
      <c r="O587">
        <v>3.9</v>
      </c>
      <c r="P587" s="2">
        <f>EOMONTH(Table1[[#This Row],[Order_Date]],0)</f>
        <v>45504</v>
      </c>
      <c r="Q587" s="3">
        <f>WEEKNUM(Table1[[#This Row],[Order_Date]])</f>
        <v>30</v>
      </c>
      <c r="R587">
        <f>YEAR(Table1[[#This Row],[Order_Date]])</f>
        <v>2024</v>
      </c>
      <c r="S587" t="str">
        <f>IF(Table1[[#This Row],[Quantity]]&gt;=3,"Promo","Regular")</f>
        <v>Regular</v>
      </c>
    </row>
    <row r="588" spans="1:19" x14ac:dyDescent="0.35">
      <c r="A588" t="s">
        <v>1979</v>
      </c>
      <c r="B588" t="s">
        <v>661</v>
      </c>
      <c r="C588" s="1">
        <v>45523</v>
      </c>
      <c r="D588" t="s">
        <v>48</v>
      </c>
      <c r="E588" t="s">
        <v>132</v>
      </c>
      <c r="F588" t="s">
        <v>17</v>
      </c>
      <c r="G588" t="s">
        <v>73</v>
      </c>
      <c r="H588" t="s">
        <v>32</v>
      </c>
      <c r="I588" t="s">
        <v>20</v>
      </c>
      <c r="J588">
        <v>3</v>
      </c>
      <c r="K588">
        <v>389</v>
      </c>
      <c r="L588">
        <v>1167</v>
      </c>
      <c r="M588">
        <v>48</v>
      </c>
      <c r="N588" t="s">
        <v>38</v>
      </c>
      <c r="O588">
        <v>3.2</v>
      </c>
      <c r="P588" s="2">
        <f>EOMONTH(Table1[[#This Row],[Order_Date]],0)</f>
        <v>45535</v>
      </c>
      <c r="Q588" s="3">
        <f>WEEKNUM(Table1[[#This Row],[Order_Date]])</f>
        <v>34</v>
      </c>
      <c r="R588">
        <f>YEAR(Table1[[#This Row],[Order_Date]])</f>
        <v>2024</v>
      </c>
      <c r="S588" t="str">
        <f>IF(Table1[[#This Row],[Quantity]]&gt;=3,"Promo","Regular")</f>
        <v>Promo</v>
      </c>
    </row>
    <row r="589" spans="1:19" x14ac:dyDescent="0.35">
      <c r="A589" t="s">
        <v>1979</v>
      </c>
      <c r="B589" t="s">
        <v>662</v>
      </c>
      <c r="C589" s="1">
        <v>45407</v>
      </c>
      <c r="D589" t="s">
        <v>15</v>
      </c>
      <c r="E589" t="s">
        <v>112</v>
      </c>
      <c r="F589" t="s">
        <v>85</v>
      </c>
      <c r="G589" t="s">
        <v>31</v>
      </c>
      <c r="H589" t="s">
        <v>19</v>
      </c>
      <c r="I589" t="s">
        <v>20</v>
      </c>
      <c r="J589">
        <v>1</v>
      </c>
      <c r="K589">
        <v>259</v>
      </c>
      <c r="L589">
        <v>259</v>
      </c>
      <c r="M589">
        <v>44</v>
      </c>
      <c r="N589" t="s">
        <v>21</v>
      </c>
      <c r="O589">
        <v>3.6</v>
      </c>
      <c r="P589" s="2">
        <f>EOMONTH(Table1[[#This Row],[Order_Date]],0)</f>
        <v>45412</v>
      </c>
      <c r="Q589" s="3">
        <f>WEEKNUM(Table1[[#This Row],[Order_Date]])</f>
        <v>17</v>
      </c>
      <c r="R589">
        <f>YEAR(Table1[[#This Row],[Order_Date]])</f>
        <v>2024</v>
      </c>
      <c r="S589" t="str">
        <f>IF(Table1[[#This Row],[Quantity]]&gt;=3,"Promo","Regular")</f>
        <v>Regular</v>
      </c>
    </row>
    <row r="590" spans="1:19" x14ac:dyDescent="0.35">
      <c r="A590" t="s">
        <v>1979</v>
      </c>
      <c r="B590" t="s">
        <v>663</v>
      </c>
      <c r="C590" s="1">
        <v>45463</v>
      </c>
      <c r="D590" t="s">
        <v>28</v>
      </c>
      <c r="E590" t="s">
        <v>77</v>
      </c>
      <c r="F590" t="s">
        <v>30</v>
      </c>
      <c r="G590" t="s">
        <v>46</v>
      </c>
      <c r="H590" t="s">
        <v>19</v>
      </c>
      <c r="I590" t="s">
        <v>20</v>
      </c>
      <c r="J590">
        <v>2</v>
      </c>
      <c r="K590">
        <v>151</v>
      </c>
      <c r="L590">
        <v>302</v>
      </c>
      <c r="M590">
        <v>55</v>
      </c>
      <c r="N590" t="s">
        <v>33</v>
      </c>
      <c r="O590">
        <v>3.9</v>
      </c>
      <c r="P590" s="2">
        <f>EOMONTH(Table1[[#This Row],[Order_Date]],0)</f>
        <v>45473</v>
      </c>
      <c r="Q590" s="3">
        <f>WEEKNUM(Table1[[#This Row],[Order_Date]])</f>
        <v>25</v>
      </c>
      <c r="R590">
        <f>YEAR(Table1[[#This Row],[Order_Date]])</f>
        <v>2024</v>
      </c>
      <c r="S590" t="str">
        <f>IF(Table1[[#This Row],[Quantity]]&gt;=3,"Promo","Regular")</f>
        <v>Regular</v>
      </c>
    </row>
    <row r="591" spans="1:19" x14ac:dyDescent="0.35">
      <c r="A591" t="s">
        <v>1980</v>
      </c>
      <c r="B591" t="s">
        <v>664</v>
      </c>
      <c r="C591" s="1">
        <v>45335</v>
      </c>
      <c r="D591" t="s">
        <v>15</v>
      </c>
      <c r="E591" t="s">
        <v>95</v>
      </c>
      <c r="F591" t="s">
        <v>35</v>
      </c>
      <c r="G591" t="s">
        <v>25</v>
      </c>
      <c r="H591" t="s">
        <v>37</v>
      </c>
      <c r="I591" t="s">
        <v>20</v>
      </c>
      <c r="J591">
        <v>3</v>
      </c>
      <c r="K591">
        <v>407</v>
      </c>
      <c r="L591">
        <v>1221</v>
      </c>
      <c r="M591">
        <v>55</v>
      </c>
      <c r="N591" t="s">
        <v>21</v>
      </c>
      <c r="O591">
        <v>3.9</v>
      </c>
      <c r="P591" s="2">
        <f>EOMONTH(Table1[[#This Row],[Order_Date]],0)</f>
        <v>45351</v>
      </c>
      <c r="Q591" s="3">
        <f>WEEKNUM(Table1[[#This Row],[Order_Date]])</f>
        <v>7</v>
      </c>
      <c r="R591">
        <f>YEAR(Table1[[#This Row],[Order_Date]])</f>
        <v>2024</v>
      </c>
      <c r="S591" t="str">
        <f>IF(Table1[[#This Row],[Quantity]]&gt;=3,"Promo","Regular")</f>
        <v>Promo</v>
      </c>
    </row>
    <row r="592" spans="1:19" x14ac:dyDescent="0.35">
      <c r="A592" t="s">
        <v>1980</v>
      </c>
      <c r="B592" t="s">
        <v>665</v>
      </c>
      <c r="C592" s="1">
        <v>45459</v>
      </c>
      <c r="D592" t="s">
        <v>43</v>
      </c>
      <c r="E592" t="s">
        <v>110</v>
      </c>
      <c r="F592" t="s">
        <v>72</v>
      </c>
      <c r="G592" t="s">
        <v>46</v>
      </c>
      <c r="H592" t="s">
        <v>50</v>
      </c>
      <c r="I592" t="s">
        <v>20</v>
      </c>
      <c r="J592">
        <v>3</v>
      </c>
      <c r="K592">
        <v>221</v>
      </c>
      <c r="L592">
        <v>663</v>
      </c>
      <c r="M592">
        <v>38</v>
      </c>
      <c r="N592" t="s">
        <v>33</v>
      </c>
      <c r="O592">
        <v>4.5999999999999996</v>
      </c>
      <c r="P592" s="2">
        <f>EOMONTH(Table1[[#This Row],[Order_Date]],0)</f>
        <v>45473</v>
      </c>
      <c r="Q592" s="3">
        <f>WEEKNUM(Table1[[#This Row],[Order_Date]])</f>
        <v>25</v>
      </c>
      <c r="R592">
        <f>YEAR(Table1[[#This Row],[Order_Date]])</f>
        <v>2024</v>
      </c>
      <c r="S592" t="str">
        <f>IF(Table1[[#This Row],[Quantity]]&gt;=3,"Promo","Regular")</f>
        <v>Promo</v>
      </c>
    </row>
    <row r="593" spans="1:19" x14ac:dyDescent="0.35">
      <c r="A593" t="s">
        <v>1980</v>
      </c>
      <c r="B593" t="s">
        <v>666</v>
      </c>
      <c r="C593" s="1">
        <v>45588</v>
      </c>
      <c r="D593" t="s">
        <v>28</v>
      </c>
      <c r="E593" t="s">
        <v>71</v>
      </c>
      <c r="F593" t="s">
        <v>30</v>
      </c>
      <c r="G593" t="s">
        <v>73</v>
      </c>
      <c r="H593" t="s">
        <v>32</v>
      </c>
      <c r="I593" t="s">
        <v>20</v>
      </c>
      <c r="J593">
        <v>3</v>
      </c>
      <c r="K593">
        <v>443</v>
      </c>
      <c r="L593">
        <v>1329</v>
      </c>
      <c r="M593">
        <v>44</v>
      </c>
      <c r="N593" t="s">
        <v>21</v>
      </c>
      <c r="O593">
        <v>3</v>
      </c>
      <c r="P593" s="2">
        <f>EOMONTH(Table1[[#This Row],[Order_Date]],0)</f>
        <v>45596</v>
      </c>
      <c r="Q593" s="3">
        <f>WEEKNUM(Table1[[#This Row],[Order_Date]])</f>
        <v>43</v>
      </c>
      <c r="R593">
        <f>YEAR(Table1[[#This Row],[Order_Date]])</f>
        <v>2024</v>
      </c>
      <c r="S593" t="str">
        <f>IF(Table1[[#This Row],[Quantity]]&gt;=3,"Promo","Regular")</f>
        <v>Promo</v>
      </c>
    </row>
    <row r="594" spans="1:19" x14ac:dyDescent="0.35">
      <c r="A594" t="s">
        <v>1980</v>
      </c>
      <c r="B594" t="s">
        <v>667</v>
      </c>
      <c r="C594" s="1">
        <v>45478</v>
      </c>
      <c r="D594" t="s">
        <v>15</v>
      </c>
      <c r="E594" t="s">
        <v>95</v>
      </c>
      <c r="F594" t="s">
        <v>69</v>
      </c>
      <c r="G594" t="s">
        <v>18</v>
      </c>
      <c r="H594" t="s">
        <v>32</v>
      </c>
      <c r="I594" t="s">
        <v>20</v>
      </c>
      <c r="J594">
        <v>3</v>
      </c>
      <c r="K594">
        <v>133</v>
      </c>
      <c r="L594">
        <v>399</v>
      </c>
      <c r="M594">
        <v>43</v>
      </c>
      <c r="N594" t="s">
        <v>21</v>
      </c>
      <c r="O594">
        <v>4.5</v>
      </c>
      <c r="P594" s="2">
        <f>EOMONTH(Table1[[#This Row],[Order_Date]],0)</f>
        <v>45504</v>
      </c>
      <c r="Q594" s="3">
        <f>WEEKNUM(Table1[[#This Row],[Order_Date]])</f>
        <v>27</v>
      </c>
      <c r="R594">
        <f>YEAR(Table1[[#This Row],[Order_Date]])</f>
        <v>2024</v>
      </c>
      <c r="S594" t="str">
        <f>IF(Table1[[#This Row],[Quantity]]&gt;=3,"Promo","Regular")</f>
        <v>Promo</v>
      </c>
    </row>
    <row r="595" spans="1:19" x14ac:dyDescent="0.35">
      <c r="A595" t="s">
        <v>1981</v>
      </c>
      <c r="B595" t="s">
        <v>668</v>
      </c>
      <c r="C595" s="1">
        <v>45516</v>
      </c>
      <c r="D595" t="s">
        <v>48</v>
      </c>
      <c r="E595" t="s">
        <v>68</v>
      </c>
      <c r="F595" t="s">
        <v>24</v>
      </c>
      <c r="G595" t="s">
        <v>46</v>
      </c>
      <c r="H595" t="s">
        <v>53</v>
      </c>
      <c r="I595" t="s">
        <v>20</v>
      </c>
      <c r="J595">
        <v>1</v>
      </c>
      <c r="K595">
        <v>451</v>
      </c>
      <c r="L595">
        <v>451</v>
      </c>
      <c r="M595">
        <v>39</v>
      </c>
      <c r="N595" t="s">
        <v>33</v>
      </c>
      <c r="O595">
        <v>4.5</v>
      </c>
      <c r="P595" s="2">
        <f>EOMONTH(Table1[[#This Row],[Order_Date]],0)</f>
        <v>45535</v>
      </c>
      <c r="Q595" s="3">
        <f>WEEKNUM(Table1[[#This Row],[Order_Date]])</f>
        <v>33</v>
      </c>
      <c r="R595">
        <f>YEAR(Table1[[#This Row],[Order_Date]])</f>
        <v>2024</v>
      </c>
      <c r="S595" t="str">
        <f>IF(Table1[[#This Row],[Quantity]]&gt;=3,"Promo","Regular")</f>
        <v>Regular</v>
      </c>
    </row>
    <row r="596" spans="1:19" x14ac:dyDescent="0.35">
      <c r="A596" t="s">
        <v>1981</v>
      </c>
      <c r="B596" t="s">
        <v>669</v>
      </c>
      <c r="C596" s="1">
        <v>45491</v>
      </c>
      <c r="D596" t="s">
        <v>43</v>
      </c>
      <c r="E596" t="s">
        <v>110</v>
      </c>
      <c r="F596" t="s">
        <v>24</v>
      </c>
      <c r="G596" t="s">
        <v>36</v>
      </c>
      <c r="H596" t="s">
        <v>37</v>
      </c>
      <c r="I596" t="s">
        <v>20</v>
      </c>
      <c r="J596">
        <v>2</v>
      </c>
      <c r="K596">
        <v>327</v>
      </c>
      <c r="L596">
        <v>654</v>
      </c>
      <c r="M596">
        <v>58</v>
      </c>
      <c r="N596" t="s">
        <v>33</v>
      </c>
      <c r="O596">
        <v>4.9000000000000004</v>
      </c>
      <c r="P596" s="2">
        <f>EOMONTH(Table1[[#This Row],[Order_Date]],0)</f>
        <v>45504</v>
      </c>
      <c r="Q596" s="3">
        <f>WEEKNUM(Table1[[#This Row],[Order_Date]])</f>
        <v>29</v>
      </c>
      <c r="R596">
        <f>YEAR(Table1[[#This Row],[Order_Date]])</f>
        <v>2024</v>
      </c>
      <c r="S596" t="str">
        <f>IF(Table1[[#This Row],[Quantity]]&gt;=3,"Promo","Regular")</f>
        <v>Regular</v>
      </c>
    </row>
    <row r="597" spans="1:19" x14ac:dyDescent="0.35">
      <c r="A597" t="s">
        <v>1981</v>
      </c>
      <c r="B597" t="s">
        <v>670</v>
      </c>
      <c r="C597" s="1">
        <v>45435</v>
      </c>
      <c r="D597" t="s">
        <v>28</v>
      </c>
      <c r="E597" t="s">
        <v>77</v>
      </c>
      <c r="F597" t="s">
        <v>69</v>
      </c>
      <c r="G597" t="s">
        <v>36</v>
      </c>
      <c r="H597" t="s">
        <v>50</v>
      </c>
      <c r="I597" t="s">
        <v>20</v>
      </c>
      <c r="J597">
        <v>5</v>
      </c>
      <c r="K597">
        <v>133</v>
      </c>
      <c r="L597">
        <v>665</v>
      </c>
      <c r="M597">
        <v>39</v>
      </c>
      <c r="N597" t="s">
        <v>21</v>
      </c>
      <c r="O597">
        <v>4.0999999999999996</v>
      </c>
      <c r="P597" s="2">
        <f>EOMONTH(Table1[[#This Row],[Order_Date]],0)</f>
        <v>45443</v>
      </c>
      <c r="Q597" s="3">
        <f>WEEKNUM(Table1[[#This Row],[Order_Date]])</f>
        <v>21</v>
      </c>
      <c r="R597">
        <f>YEAR(Table1[[#This Row],[Order_Date]])</f>
        <v>2024</v>
      </c>
      <c r="S597" t="str">
        <f>IF(Table1[[#This Row],[Quantity]]&gt;=3,"Promo","Regular")</f>
        <v>Promo</v>
      </c>
    </row>
    <row r="598" spans="1:19" x14ac:dyDescent="0.35">
      <c r="A598" t="s">
        <v>1982</v>
      </c>
      <c r="B598" t="s">
        <v>671</v>
      </c>
      <c r="C598" s="1">
        <v>45561</v>
      </c>
      <c r="D598" t="s">
        <v>28</v>
      </c>
      <c r="E598" t="s">
        <v>71</v>
      </c>
      <c r="F598" t="s">
        <v>41</v>
      </c>
      <c r="G598" t="s">
        <v>73</v>
      </c>
      <c r="H598" t="s">
        <v>59</v>
      </c>
      <c r="I598" t="s">
        <v>60</v>
      </c>
      <c r="J598">
        <v>3</v>
      </c>
      <c r="K598">
        <v>457</v>
      </c>
      <c r="L598">
        <v>1371</v>
      </c>
      <c r="M598">
        <v>35</v>
      </c>
      <c r="N598" t="s">
        <v>21</v>
      </c>
      <c r="O598">
        <v>3.3</v>
      </c>
      <c r="P598" s="2">
        <f>EOMONTH(Table1[[#This Row],[Order_Date]],0)</f>
        <v>45565</v>
      </c>
      <c r="Q598" s="3">
        <f>WEEKNUM(Table1[[#This Row],[Order_Date]])</f>
        <v>39</v>
      </c>
      <c r="R598">
        <f>YEAR(Table1[[#This Row],[Order_Date]])</f>
        <v>2024</v>
      </c>
      <c r="S598" t="str">
        <f>IF(Table1[[#This Row],[Quantity]]&gt;=3,"Promo","Regular")</f>
        <v>Promo</v>
      </c>
    </row>
    <row r="599" spans="1:19" x14ac:dyDescent="0.35">
      <c r="A599" t="s">
        <v>1982</v>
      </c>
      <c r="B599" t="s">
        <v>672</v>
      </c>
      <c r="C599" s="1">
        <v>45379</v>
      </c>
      <c r="D599" t="s">
        <v>43</v>
      </c>
      <c r="E599" t="s">
        <v>52</v>
      </c>
      <c r="F599" t="s">
        <v>30</v>
      </c>
      <c r="G599" t="s">
        <v>46</v>
      </c>
      <c r="H599" t="s">
        <v>66</v>
      </c>
      <c r="I599" t="s">
        <v>20</v>
      </c>
      <c r="J599">
        <v>3</v>
      </c>
      <c r="K599">
        <v>199</v>
      </c>
      <c r="L599">
        <v>597</v>
      </c>
      <c r="M599">
        <v>22</v>
      </c>
      <c r="N599" t="s">
        <v>38</v>
      </c>
      <c r="O599">
        <v>4.5</v>
      </c>
      <c r="P599" s="2">
        <f>EOMONTH(Table1[[#This Row],[Order_Date]],0)</f>
        <v>45382</v>
      </c>
      <c r="Q599" s="3">
        <f>WEEKNUM(Table1[[#This Row],[Order_Date]])</f>
        <v>13</v>
      </c>
      <c r="R599">
        <f>YEAR(Table1[[#This Row],[Order_Date]])</f>
        <v>2024</v>
      </c>
      <c r="S599" t="str">
        <f>IF(Table1[[#This Row],[Quantity]]&gt;=3,"Promo","Regular")</f>
        <v>Promo</v>
      </c>
    </row>
    <row r="600" spans="1:19" x14ac:dyDescent="0.35">
      <c r="A600" t="s">
        <v>1982</v>
      </c>
      <c r="B600" t="s">
        <v>673</v>
      </c>
      <c r="C600" s="1">
        <v>45455</v>
      </c>
      <c r="D600" t="s">
        <v>43</v>
      </c>
      <c r="E600" t="s">
        <v>52</v>
      </c>
      <c r="F600" t="s">
        <v>45</v>
      </c>
      <c r="G600" t="s">
        <v>46</v>
      </c>
      <c r="H600" t="s">
        <v>59</v>
      </c>
      <c r="I600" t="s">
        <v>60</v>
      </c>
      <c r="J600">
        <v>3</v>
      </c>
      <c r="K600">
        <v>322</v>
      </c>
      <c r="L600">
        <v>966</v>
      </c>
      <c r="M600">
        <v>33</v>
      </c>
      <c r="N600" t="s">
        <v>21</v>
      </c>
      <c r="O600">
        <v>4.2</v>
      </c>
      <c r="P600" s="2">
        <f>EOMONTH(Table1[[#This Row],[Order_Date]],0)</f>
        <v>45473</v>
      </c>
      <c r="Q600" s="3">
        <f>WEEKNUM(Table1[[#This Row],[Order_Date]])</f>
        <v>24</v>
      </c>
      <c r="R600">
        <f>YEAR(Table1[[#This Row],[Order_Date]])</f>
        <v>2024</v>
      </c>
      <c r="S600" t="str">
        <f>IF(Table1[[#This Row],[Quantity]]&gt;=3,"Promo","Regular")</f>
        <v>Promo</v>
      </c>
    </row>
    <row r="601" spans="1:19" x14ac:dyDescent="0.35">
      <c r="A601" t="s">
        <v>1982</v>
      </c>
      <c r="B601" t="s">
        <v>674</v>
      </c>
      <c r="C601" s="1">
        <v>45574</v>
      </c>
      <c r="D601" t="s">
        <v>48</v>
      </c>
      <c r="E601" t="s">
        <v>127</v>
      </c>
      <c r="F601" t="s">
        <v>24</v>
      </c>
      <c r="G601" t="s">
        <v>18</v>
      </c>
      <c r="H601" t="s">
        <v>66</v>
      </c>
      <c r="I601" t="s">
        <v>20</v>
      </c>
      <c r="J601">
        <v>4</v>
      </c>
      <c r="K601">
        <v>348</v>
      </c>
      <c r="L601">
        <v>1392</v>
      </c>
      <c r="M601">
        <v>32</v>
      </c>
      <c r="N601" t="s">
        <v>21</v>
      </c>
      <c r="O601">
        <v>3.7</v>
      </c>
      <c r="P601" s="2">
        <f>EOMONTH(Table1[[#This Row],[Order_Date]],0)</f>
        <v>45596</v>
      </c>
      <c r="Q601" s="3">
        <f>WEEKNUM(Table1[[#This Row],[Order_Date]])</f>
        <v>41</v>
      </c>
      <c r="R601">
        <f>YEAR(Table1[[#This Row],[Order_Date]])</f>
        <v>2024</v>
      </c>
      <c r="S601" t="str">
        <f>IF(Table1[[#This Row],[Quantity]]&gt;=3,"Promo","Regular")</f>
        <v>Promo</v>
      </c>
    </row>
    <row r="602" spans="1:19" x14ac:dyDescent="0.35">
      <c r="A602" t="s">
        <v>1982</v>
      </c>
      <c r="B602" t="s">
        <v>675</v>
      </c>
      <c r="C602" s="1">
        <v>45461</v>
      </c>
      <c r="D602" t="s">
        <v>15</v>
      </c>
      <c r="E602" t="s">
        <v>16</v>
      </c>
      <c r="F602" t="s">
        <v>69</v>
      </c>
      <c r="G602" t="s">
        <v>18</v>
      </c>
      <c r="H602" t="s">
        <v>26</v>
      </c>
      <c r="I602" t="s">
        <v>20</v>
      </c>
      <c r="J602">
        <v>3</v>
      </c>
      <c r="K602">
        <v>109</v>
      </c>
      <c r="L602">
        <v>327</v>
      </c>
      <c r="M602">
        <v>37</v>
      </c>
      <c r="N602" t="s">
        <v>21</v>
      </c>
      <c r="O602">
        <v>4.8</v>
      </c>
      <c r="P602" s="2">
        <f>EOMONTH(Table1[[#This Row],[Order_Date]],0)</f>
        <v>45473</v>
      </c>
      <c r="Q602" s="3">
        <f>WEEKNUM(Table1[[#This Row],[Order_Date]])</f>
        <v>25</v>
      </c>
      <c r="R602">
        <f>YEAR(Table1[[#This Row],[Order_Date]])</f>
        <v>2024</v>
      </c>
      <c r="S602" t="str">
        <f>IF(Table1[[#This Row],[Quantity]]&gt;=3,"Promo","Regular")</f>
        <v>Promo</v>
      </c>
    </row>
    <row r="603" spans="1:19" x14ac:dyDescent="0.35">
      <c r="A603" t="s">
        <v>1983</v>
      </c>
      <c r="B603" t="s">
        <v>676</v>
      </c>
      <c r="C603" s="1">
        <v>45484</v>
      </c>
      <c r="D603" t="s">
        <v>15</v>
      </c>
      <c r="E603" t="s">
        <v>112</v>
      </c>
      <c r="F603" t="s">
        <v>30</v>
      </c>
      <c r="G603" t="s">
        <v>25</v>
      </c>
      <c r="H603" t="s">
        <v>26</v>
      </c>
      <c r="I603" t="s">
        <v>20</v>
      </c>
      <c r="J603">
        <v>1</v>
      </c>
      <c r="K603">
        <v>108</v>
      </c>
      <c r="L603">
        <v>108</v>
      </c>
      <c r="M603">
        <v>27</v>
      </c>
      <c r="N603" t="s">
        <v>38</v>
      </c>
      <c r="O603">
        <v>3.6</v>
      </c>
      <c r="P603" s="2">
        <f>EOMONTH(Table1[[#This Row],[Order_Date]],0)</f>
        <v>45504</v>
      </c>
      <c r="Q603" s="3">
        <f>WEEKNUM(Table1[[#This Row],[Order_Date]])</f>
        <v>28</v>
      </c>
      <c r="R603">
        <f>YEAR(Table1[[#This Row],[Order_Date]])</f>
        <v>2024</v>
      </c>
      <c r="S603" t="str">
        <f>IF(Table1[[#This Row],[Quantity]]&gt;=3,"Promo","Regular")</f>
        <v>Regular</v>
      </c>
    </row>
    <row r="604" spans="1:19" x14ac:dyDescent="0.35">
      <c r="A604" t="s">
        <v>1983</v>
      </c>
      <c r="B604" t="s">
        <v>677</v>
      </c>
      <c r="C604" s="1">
        <v>45405</v>
      </c>
      <c r="D604" t="s">
        <v>57</v>
      </c>
      <c r="E604" t="s">
        <v>105</v>
      </c>
      <c r="F604" t="s">
        <v>72</v>
      </c>
      <c r="G604" t="s">
        <v>31</v>
      </c>
      <c r="H604" t="s">
        <v>26</v>
      </c>
      <c r="I604" t="s">
        <v>20</v>
      </c>
      <c r="J604">
        <v>3</v>
      </c>
      <c r="K604">
        <v>310</v>
      </c>
      <c r="L604">
        <v>930</v>
      </c>
      <c r="M604">
        <v>54</v>
      </c>
      <c r="N604" t="s">
        <v>38</v>
      </c>
      <c r="O604">
        <v>4.8</v>
      </c>
      <c r="P604" s="2">
        <f>EOMONTH(Table1[[#This Row],[Order_Date]],0)</f>
        <v>45412</v>
      </c>
      <c r="Q604" s="3">
        <f>WEEKNUM(Table1[[#This Row],[Order_Date]])</f>
        <v>17</v>
      </c>
      <c r="R604">
        <f>YEAR(Table1[[#This Row],[Order_Date]])</f>
        <v>2024</v>
      </c>
      <c r="S604" t="str">
        <f>IF(Table1[[#This Row],[Quantity]]&gt;=3,"Promo","Regular")</f>
        <v>Promo</v>
      </c>
    </row>
    <row r="605" spans="1:19" x14ac:dyDescent="0.35">
      <c r="A605" t="s">
        <v>1983</v>
      </c>
      <c r="B605" t="s">
        <v>678</v>
      </c>
      <c r="C605" s="1">
        <v>45422</v>
      </c>
      <c r="D605" t="s">
        <v>43</v>
      </c>
      <c r="E605" t="s">
        <v>82</v>
      </c>
      <c r="F605" t="s">
        <v>17</v>
      </c>
      <c r="G605" t="s">
        <v>46</v>
      </c>
      <c r="H605" t="s">
        <v>26</v>
      </c>
      <c r="I605" t="s">
        <v>20</v>
      </c>
      <c r="J605">
        <v>5</v>
      </c>
      <c r="K605">
        <v>228</v>
      </c>
      <c r="L605">
        <v>1140</v>
      </c>
      <c r="M605">
        <v>52</v>
      </c>
      <c r="N605" t="s">
        <v>38</v>
      </c>
      <c r="O605">
        <v>4.9000000000000004</v>
      </c>
      <c r="P605" s="2">
        <f>EOMONTH(Table1[[#This Row],[Order_Date]],0)</f>
        <v>45443</v>
      </c>
      <c r="Q605" s="3">
        <f>WEEKNUM(Table1[[#This Row],[Order_Date]])</f>
        <v>19</v>
      </c>
      <c r="R605">
        <f>YEAR(Table1[[#This Row],[Order_Date]])</f>
        <v>2024</v>
      </c>
      <c r="S605" t="str">
        <f>IF(Table1[[#This Row],[Quantity]]&gt;=3,"Promo","Regular")</f>
        <v>Promo</v>
      </c>
    </row>
    <row r="606" spans="1:19" x14ac:dyDescent="0.35">
      <c r="A606" t="s">
        <v>1983</v>
      </c>
      <c r="B606" t="s">
        <v>679</v>
      </c>
      <c r="C606" s="1">
        <v>45541</v>
      </c>
      <c r="D606" t="s">
        <v>28</v>
      </c>
      <c r="E606" t="s">
        <v>29</v>
      </c>
      <c r="F606" t="s">
        <v>65</v>
      </c>
      <c r="G606" t="s">
        <v>31</v>
      </c>
      <c r="H606" t="s">
        <v>59</v>
      </c>
      <c r="I606" t="s">
        <v>60</v>
      </c>
      <c r="J606">
        <v>4</v>
      </c>
      <c r="K606">
        <v>213</v>
      </c>
      <c r="L606">
        <v>852</v>
      </c>
      <c r="M606">
        <v>21</v>
      </c>
      <c r="N606" t="s">
        <v>33</v>
      </c>
      <c r="O606">
        <v>3.7</v>
      </c>
      <c r="P606" s="2">
        <f>EOMONTH(Table1[[#This Row],[Order_Date]],0)</f>
        <v>45565</v>
      </c>
      <c r="Q606" s="3">
        <f>WEEKNUM(Table1[[#This Row],[Order_Date]])</f>
        <v>36</v>
      </c>
      <c r="R606">
        <f>YEAR(Table1[[#This Row],[Order_Date]])</f>
        <v>2024</v>
      </c>
      <c r="S606" t="str">
        <f>IF(Table1[[#This Row],[Quantity]]&gt;=3,"Promo","Regular")</f>
        <v>Promo</v>
      </c>
    </row>
    <row r="607" spans="1:19" x14ac:dyDescent="0.35">
      <c r="A607" t="s">
        <v>1983</v>
      </c>
      <c r="B607" t="s">
        <v>680</v>
      </c>
      <c r="C607" s="1">
        <v>45586</v>
      </c>
      <c r="D607" t="s">
        <v>48</v>
      </c>
      <c r="E607" t="s">
        <v>132</v>
      </c>
      <c r="F607" t="s">
        <v>41</v>
      </c>
      <c r="G607" t="s">
        <v>36</v>
      </c>
      <c r="H607" t="s">
        <v>26</v>
      </c>
      <c r="I607" t="s">
        <v>20</v>
      </c>
      <c r="J607">
        <v>2</v>
      </c>
      <c r="K607">
        <v>240</v>
      </c>
      <c r="L607">
        <v>480</v>
      </c>
      <c r="M607">
        <v>55</v>
      </c>
      <c r="N607" t="s">
        <v>33</v>
      </c>
      <c r="O607">
        <v>4.4000000000000004</v>
      </c>
      <c r="P607" s="2">
        <f>EOMONTH(Table1[[#This Row],[Order_Date]],0)</f>
        <v>45596</v>
      </c>
      <c r="Q607" s="3">
        <f>WEEKNUM(Table1[[#This Row],[Order_Date]])</f>
        <v>43</v>
      </c>
      <c r="R607">
        <f>YEAR(Table1[[#This Row],[Order_Date]])</f>
        <v>2024</v>
      </c>
      <c r="S607" t="str">
        <f>IF(Table1[[#This Row],[Quantity]]&gt;=3,"Promo","Regular")</f>
        <v>Regular</v>
      </c>
    </row>
    <row r="608" spans="1:19" x14ac:dyDescent="0.35">
      <c r="A608" t="s">
        <v>1984</v>
      </c>
      <c r="B608" t="s">
        <v>681</v>
      </c>
      <c r="C608" s="1">
        <v>45526</v>
      </c>
      <c r="D608" t="s">
        <v>48</v>
      </c>
      <c r="E608" t="s">
        <v>68</v>
      </c>
      <c r="F608" t="s">
        <v>17</v>
      </c>
      <c r="G608" t="s">
        <v>46</v>
      </c>
      <c r="H608" t="s">
        <v>66</v>
      </c>
      <c r="I608" t="s">
        <v>20</v>
      </c>
      <c r="J608">
        <v>3</v>
      </c>
      <c r="K608">
        <v>444</v>
      </c>
      <c r="L608">
        <v>1332</v>
      </c>
      <c r="M608">
        <v>31</v>
      </c>
      <c r="N608" t="s">
        <v>33</v>
      </c>
      <c r="O608">
        <v>3.1</v>
      </c>
      <c r="P608" s="2">
        <f>EOMONTH(Table1[[#This Row],[Order_Date]],0)</f>
        <v>45535</v>
      </c>
      <c r="Q608" s="3">
        <f>WEEKNUM(Table1[[#This Row],[Order_Date]])</f>
        <v>34</v>
      </c>
      <c r="R608">
        <f>YEAR(Table1[[#This Row],[Order_Date]])</f>
        <v>2024</v>
      </c>
      <c r="S608" t="str">
        <f>IF(Table1[[#This Row],[Quantity]]&gt;=3,"Promo","Regular")</f>
        <v>Promo</v>
      </c>
    </row>
    <row r="609" spans="1:19" x14ac:dyDescent="0.35">
      <c r="A609" t="s">
        <v>1984</v>
      </c>
      <c r="B609" t="s">
        <v>682</v>
      </c>
      <c r="C609" s="1">
        <v>45504</v>
      </c>
      <c r="D609" t="s">
        <v>28</v>
      </c>
      <c r="E609" t="s">
        <v>98</v>
      </c>
      <c r="F609" t="s">
        <v>45</v>
      </c>
      <c r="G609" t="s">
        <v>73</v>
      </c>
      <c r="H609" t="s">
        <v>120</v>
      </c>
      <c r="I609" t="s">
        <v>60</v>
      </c>
      <c r="J609">
        <v>4</v>
      </c>
      <c r="K609">
        <v>361</v>
      </c>
      <c r="L609">
        <v>1444</v>
      </c>
      <c r="M609">
        <v>50</v>
      </c>
      <c r="N609" t="s">
        <v>38</v>
      </c>
      <c r="O609">
        <v>3.9</v>
      </c>
      <c r="P609" s="2">
        <f>EOMONTH(Table1[[#This Row],[Order_Date]],0)</f>
        <v>45504</v>
      </c>
      <c r="Q609" s="3">
        <f>WEEKNUM(Table1[[#This Row],[Order_Date]])</f>
        <v>31</v>
      </c>
      <c r="R609">
        <f>YEAR(Table1[[#This Row],[Order_Date]])</f>
        <v>2024</v>
      </c>
      <c r="S609" t="str">
        <f>IF(Table1[[#This Row],[Quantity]]&gt;=3,"Promo","Regular")</f>
        <v>Promo</v>
      </c>
    </row>
    <row r="610" spans="1:19" x14ac:dyDescent="0.35">
      <c r="A610" t="s">
        <v>1984</v>
      </c>
      <c r="B610" t="s">
        <v>683</v>
      </c>
      <c r="C610" s="1">
        <v>45565</v>
      </c>
      <c r="D610" t="s">
        <v>43</v>
      </c>
      <c r="E610" t="s">
        <v>52</v>
      </c>
      <c r="F610" t="s">
        <v>45</v>
      </c>
      <c r="G610" t="s">
        <v>46</v>
      </c>
      <c r="H610" t="s">
        <v>120</v>
      </c>
      <c r="I610" t="s">
        <v>60</v>
      </c>
      <c r="J610">
        <v>1</v>
      </c>
      <c r="K610">
        <v>158</v>
      </c>
      <c r="L610">
        <v>158</v>
      </c>
      <c r="M610">
        <v>30</v>
      </c>
      <c r="N610" t="s">
        <v>33</v>
      </c>
      <c r="O610">
        <v>4.4000000000000004</v>
      </c>
      <c r="P610" s="2">
        <f>EOMONTH(Table1[[#This Row],[Order_Date]],0)</f>
        <v>45565</v>
      </c>
      <c r="Q610" s="3">
        <f>WEEKNUM(Table1[[#This Row],[Order_Date]])</f>
        <v>40</v>
      </c>
      <c r="R610">
        <f>YEAR(Table1[[#This Row],[Order_Date]])</f>
        <v>2024</v>
      </c>
      <c r="S610" t="str">
        <f>IF(Table1[[#This Row],[Quantity]]&gt;=3,"Promo","Regular")</f>
        <v>Regular</v>
      </c>
    </row>
    <row r="611" spans="1:19" x14ac:dyDescent="0.35">
      <c r="A611" t="s">
        <v>1984</v>
      </c>
      <c r="B611" t="s">
        <v>684</v>
      </c>
      <c r="C611" s="1">
        <v>45474</v>
      </c>
      <c r="D611" t="s">
        <v>15</v>
      </c>
      <c r="E611" t="s">
        <v>16</v>
      </c>
      <c r="F611" t="s">
        <v>24</v>
      </c>
      <c r="G611" t="s">
        <v>31</v>
      </c>
      <c r="H611" t="s">
        <v>53</v>
      </c>
      <c r="I611" t="s">
        <v>20</v>
      </c>
      <c r="J611">
        <v>1</v>
      </c>
      <c r="K611">
        <v>232</v>
      </c>
      <c r="L611">
        <v>232</v>
      </c>
      <c r="M611">
        <v>49</v>
      </c>
      <c r="N611" t="s">
        <v>33</v>
      </c>
      <c r="O611">
        <v>3.1</v>
      </c>
      <c r="P611" s="2">
        <f>EOMONTH(Table1[[#This Row],[Order_Date]],0)</f>
        <v>45504</v>
      </c>
      <c r="Q611" s="3">
        <f>WEEKNUM(Table1[[#This Row],[Order_Date]])</f>
        <v>27</v>
      </c>
      <c r="R611">
        <f>YEAR(Table1[[#This Row],[Order_Date]])</f>
        <v>2024</v>
      </c>
      <c r="S611" t="str">
        <f>IF(Table1[[#This Row],[Quantity]]&gt;=3,"Promo","Regular")</f>
        <v>Regular</v>
      </c>
    </row>
    <row r="612" spans="1:19" x14ac:dyDescent="0.35">
      <c r="A612" t="s">
        <v>1985</v>
      </c>
      <c r="B612" t="s">
        <v>685</v>
      </c>
      <c r="C612" s="1">
        <v>45429</v>
      </c>
      <c r="D612" t="s">
        <v>28</v>
      </c>
      <c r="E612" t="s">
        <v>71</v>
      </c>
      <c r="F612" t="s">
        <v>85</v>
      </c>
      <c r="G612" t="s">
        <v>25</v>
      </c>
      <c r="H612" t="s">
        <v>26</v>
      </c>
      <c r="I612" t="s">
        <v>20</v>
      </c>
      <c r="J612">
        <v>5</v>
      </c>
      <c r="K612">
        <v>198</v>
      </c>
      <c r="L612">
        <v>990</v>
      </c>
      <c r="M612">
        <v>59</v>
      </c>
      <c r="N612" t="s">
        <v>21</v>
      </c>
      <c r="O612">
        <v>4.3</v>
      </c>
      <c r="P612" s="2">
        <f>EOMONTH(Table1[[#This Row],[Order_Date]],0)</f>
        <v>45443</v>
      </c>
      <c r="Q612" s="3">
        <f>WEEKNUM(Table1[[#This Row],[Order_Date]])</f>
        <v>20</v>
      </c>
      <c r="R612">
        <f>YEAR(Table1[[#This Row],[Order_Date]])</f>
        <v>2024</v>
      </c>
      <c r="S612" t="str">
        <f>IF(Table1[[#This Row],[Quantity]]&gt;=3,"Promo","Regular")</f>
        <v>Promo</v>
      </c>
    </row>
    <row r="613" spans="1:19" x14ac:dyDescent="0.35">
      <c r="A613" t="s">
        <v>1985</v>
      </c>
      <c r="B613" t="s">
        <v>686</v>
      </c>
      <c r="C613" s="1">
        <v>45523</v>
      </c>
      <c r="D613" t="s">
        <v>28</v>
      </c>
      <c r="E613" t="s">
        <v>98</v>
      </c>
      <c r="F613" t="s">
        <v>17</v>
      </c>
      <c r="G613" t="s">
        <v>31</v>
      </c>
      <c r="H613" t="s">
        <v>66</v>
      </c>
      <c r="I613" t="s">
        <v>20</v>
      </c>
      <c r="J613">
        <v>3</v>
      </c>
      <c r="K613">
        <v>165</v>
      </c>
      <c r="L613">
        <v>495</v>
      </c>
      <c r="M613">
        <v>36</v>
      </c>
      <c r="N613" t="s">
        <v>33</v>
      </c>
      <c r="O613">
        <v>3.8</v>
      </c>
      <c r="P613" s="2">
        <f>EOMONTH(Table1[[#This Row],[Order_Date]],0)</f>
        <v>45535</v>
      </c>
      <c r="Q613" s="3">
        <f>WEEKNUM(Table1[[#This Row],[Order_Date]])</f>
        <v>34</v>
      </c>
      <c r="R613">
        <f>YEAR(Table1[[#This Row],[Order_Date]])</f>
        <v>2024</v>
      </c>
      <c r="S613" t="str">
        <f>IF(Table1[[#This Row],[Quantity]]&gt;=3,"Promo","Regular")</f>
        <v>Promo</v>
      </c>
    </row>
    <row r="614" spans="1:19" x14ac:dyDescent="0.35">
      <c r="A614" t="s">
        <v>1986</v>
      </c>
      <c r="B614" t="s">
        <v>687</v>
      </c>
      <c r="C614" s="1">
        <v>45587</v>
      </c>
      <c r="D614" t="s">
        <v>15</v>
      </c>
      <c r="E614" t="s">
        <v>95</v>
      </c>
      <c r="F614" t="s">
        <v>85</v>
      </c>
      <c r="G614" t="s">
        <v>73</v>
      </c>
      <c r="H614" t="s">
        <v>37</v>
      </c>
      <c r="I614" t="s">
        <v>20</v>
      </c>
      <c r="J614">
        <v>5</v>
      </c>
      <c r="K614">
        <v>369</v>
      </c>
      <c r="L614">
        <v>1845</v>
      </c>
      <c r="M614">
        <v>20</v>
      </c>
      <c r="N614" t="s">
        <v>38</v>
      </c>
      <c r="O614">
        <v>4.2</v>
      </c>
      <c r="P614" s="2">
        <f>EOMONTH(Table1[[#This Row],[Order_Date]],0)</f>
        <v>45596</v>
      </c>
      <c r="Q614" s="3">
        <f>WEEKNUM(Table1[[#This Row],[Order_Date]])</f>
        <v>43</v>
      </c>
      <c r="R614">
        <f>YEAR(Table1[[#This Row],[Order_Date]])</f>
        <v>2024</v>
      </c>
      <c r="S614" t="str">
        <f>IF(Table1[[#This Row],[Quantity]]&gt;=3,"Promo","Regular")</f>
        <v>Promo</v>
      </c>
    </row>
    <row r="615" spans="1:19" x14ac:dyDescent="0.35">
      <c r="A615" t="s">
        <v>1986</v>
      </c>
      <c r="B615" t="s">
        <v>688</v>
      </c>
      <c r="C615" s="1">
        <v>45552</v>
      </c>
      <c r="D615" t="s">
        <v>57</v>
      </c>
      <c r="E615" t="s">
        <v>62</v>
      </c>
      <c r="F615" t="s">
        <v>41</v>
      </c>
      <c r="G615" t="s">
        <v>25</v>
      </c>
      <c r="H615" t="s">
        <v>53</v>
      </c>
      <c r="I615" t="s">
        <v>20</v>
      </c>
      <c r="J615">
        <v>4</v>
      </c>
      <c r="K615">
        <v>178</v>
      </c>
      <c r="L615">
        <v>712</v>
      </c>
      <c r="M615">
        <v>45</v>
      </c>
      <c r="N615" t="s">
        <v>33</v>
      </c>
      <c r="O615">
        <v>4</v>
      </c>
      <c r="P615" s="2">
        <f>EOMONTH(Table1[[#This Row],[Order_Date]],0)</f>
        <v>45565</v>
      </c>
      <c r="Q615" s="3">
        <f>WEEKNUM(Table1[[#This Row],[Order_Date]])</f>
        <v>38</v>
      </c>
      <c r="R615">
        <f>YEAR(Table1[[#This Row],[Order_Date]])</f>
        <v>2024</v>
      </c>
      <c r="S615" t="str">
        <f>IF(Table1[[#This Row],[Quantity]]&gt;=3,"Promo","Regular")</f>
        <v>Promo</v>
      </c>
    </row>
    <row r="616" spans="1:19" x14ac:dyDescent="0.35">
      <c r="A616" t="s">
        <v>1986</v>
      </c>
      <c r="B616" t="s">
        <v>689</v>
      </c>
      <c r="C616" s="1">
        <v>45466</v>
      </c>
      <c r="D616" t="s">
        <v>43</v>
      </c>
      <c r="E616" t="s">
        <v>44</v>
      </c>
      <c r="F616" t="s">
        <v>72</v>
      </c>
      <c r="G616" t="s">
        <v>18</v>
      </c>
      <c r="H616" t="s">
        <v>55</v>
      </c>
      <c r="I616" t="s">
        <v>20</v>
      </c>
      <c r="J616">
        <v>3</v>
      </c>
      <c r="K616">
        <v>262</v>
      </c>
      <c r="L616">
        <v>786</v>
      </c>
      <c r="M616">
        <v>20</v>
      </c>
      <c r="N616" t="s">
        <v>38</v>
      </c>
      <c r="O616">
        <v>3.1</v>
      </c>
      <c r="P616" s="2">
        <f>EOMONTH(Table1[[#This Row],[Order_Date]],0)</f>
        <v>45473</v>
      </c>
      <c r="Q616" s="3">
        <f>WEEKNUM(Table1[[#This Row],[Order_Date]])</f>
        <v>26</v>
      </c>
      <c r="R616">
        <f>YEAR(Table1[[#This Row],[Order_Date]])</f>
        <v>2024</v>
      </c>
      <c r="S616" t="str">
        <f>IF(Table1[[#This Row],[Quantity]]&gt;=3,"Promo","Regular")</f>
        <v>Promo</v>
      </c>
    </row>
    <row r="617" spans="1:19" x14ac:dyDescent="0.35">
      <c r="A617" t="s">
        <v>1986</v>
      </c>
      <c r="B617" t="s">
        <v>690</v>
      </c>
      <c r="C617" s="1">
        <v>45554</v>
      </c>
      <c r="D617" t="s">
        <v>28</v>
      </c>
      <c r="E617" t="s">
        <v>40</v>
      </c>
      <c r="F617" t="s">
        <v>41</v>
      </c>
      <c r="G617" t="s">
        <v>18</v>
      </c>
      <c r="H617" t="s">
        <v>37</v>
      </c>
      <c r="I617" t="s">
        <v>20</v>
      </c>
      <c r="J617">
        <v>5</v>
      </c>
      <c r="K617">
        <v>386</v>
      </c>
      <c r="L617">
        <v>1930</v>
      </c>
      <c r="M617">
        <v>32</v>
      </c>
      <c r="N617" t="s">
        <v>33</v>
      </c>
      <c r="O617">
        <v>4</v>
      </c>
      <c r="P617" s="2">
        <f>EOMONTH(Table1[[#This Row],[Order_Date]],0)</f>
        <v>45565</v>
      </c>
      <c r="Q617" s="3">
        <f>WEEKNUM(Table1[[#This Row],[Order_Date]])</f>
        <v>38</v>
      </c>
      <c r="R617">
        <f>YEAR(Table1[[#This Row],[Order_Date]])</f>
        <v>2024</v>
      </c>
      <c r="S617" t="str">
        <f>IF(Table1[[#This Row],[Quantity]]&gt;=3,"Promo","Regular")</f>
        <v>Promo</v>
      </c>
    </row>
    <row r="618" spans="1:19" x14ac:dyDescent="0.35">
      <c r="A618" t="s">
        <v>1987</v>
      </c>
      <c r="B618" t="s">
        <v>691</v>
      </c>
      <c r="C618" s="1">
        <v>45298</v>
      </c>
      <c r="D618" t="s">
        <v>57</v>
      </c>
      <c r="E618" t="s">
        <v>105</v>
      </c>
      <c r="F618" t="s">
        <v>24</v>
      </c>
      <c r="G618" t="s">
        <v>36</v>
      </c>
      <c r="H618" t="s">
        <v>37</v>
      </c>
      <c r="I618" t="s">
        <v>20</v>
      </c>
      <c r="J618">
        <v>5</v>
      </c>
      <c r="K618">
        <v>319</v>
      </c>
      <c r="L618">
        <v>1595</v>
      </c>
      <c r="M618">
        <v>30</v>
      </c>
      <c r="N618" t="s">
        <v>38</v>
      </c>
      <c r="O618">
        <v>3</v>
      </c>
      <c r="P618" s="2">
        <f>EOMONTH(Table1[[#This Row],[Order_Date]],0)</f>
        <v>45322</v>
      </c>
      <c r="Q618" s="3">
        <f>WEEKNUM(Table1[[#This Row],[Order_Date]])</f>
        <v>2</v>
      </c>
      <c r="R618">
        <f>YEAR(Table1[[#This Row],[Order_Date]])</f>
        <v>2024</v>
      </c>
      <c r="S618" t="str">
        <f>IF(Table1[[#This Row],[Quantity]]&gt;=3,"Promo","Regular")</f>
        <v>Promo</v>
      </c>
    </row>
    <row r="619" spans="1:19" x14ac:dyDescent="0.35">
      <c r="A619" t="s">
        <v>1987</v>
      </c>
      <c r="B619" t="s">
        <v>692</v>
      </c>
      <c r="C619" s="1">
        <v>45550</v>
      </c>
      <c r="D619" t="s">
        <v>48</v>
      </c>
      <c r="E619" t="s">
        <v>49</v>
      </c>
      <c r="F619" t="s">
        <v>69</v>
      </c>
      <c r="G619" t="s">
        <v>36</v>
      </c>
      <c r="H619" t="s">
        <v>50</v>
      </c>
      <c r="I619" t="s">
        <v>20</v>
      </c>
      <c r="J619">
        <v>2</v>
      </c>
      <c r="K619">
        <v>413</v>
      </c>
      <c r="L619">
        <v>826</v>
      </c>
      <c r="M619">
        <v>27</v>
      </c>
      <c r="N619" t="s">
        <v>38</v>
      </c>
      <c r="O619">
        <v>3.4</v>
      </c>
      <c r="P619" s="2">
        <f>EOMONTH(Table1[[#This Row],[Order_Date]],0)</f>
        <v>45565</v>
      </c>
      <c r="Q619" s="3">
        <f>WEEKNUM(Table1[[#This Row],[Order_Date]])</f>
        <v>38</v>
      </c>
      <c r="R619">
        <f>YEAR(Table1[[#This Row],[Order_Date]])</f>
        <v>2024</v>
      </c>
      <c r="S619" t="str">
        <f>IF(Table1[[#This Row],[Quantity]]&gt;=3,"Promo","Regular")</f>
        <v>Regular</v>
      </c>
    </row>
    <row r="620" spans="1:19" x14ac:dyDescent="0.35">
      <c r="A620" t="s">
        <v>1988</v>
      </c>
      <c r="B620" t="s">
        <v>693</v>
      </c>
      <c r="C620" s="1">
        <v>45532</v>
      </c>
      <c r="D620" t="s">
        <v>48</v>
      </c>
      <c r="E620" t="s">
        <v>127</v>
      </c>
      <c r="F620" t="s">
        <v>85</v>
      </c>
      <c r="G620" t="s">
        <v>73</v>
      </c>
      <c r="H620" t="s">
        <v>66</v>
      </c>
      <c r="I620" t="s">
        <v>20</v>
      </c>
      <c r="J620">
        <v>3</v>
      </c>
      <c r="K620">
        <v>222</v>
      </c>
      <c r="L620">
        <v>666</v>
      </c>
      <c r="M620">
        <v>37</v>
      </c>
      <c r="N620" t="s">
        <v>38</v>
      </c>
      <c r="O620">
        <v>3.6</v>
      </c>
      <c r="P620" s="2">
        <f>EOMONTH(Table1[[#This Row],[Order_Date]],0)</f>
        <v>45535</v>
      </c>
      <c r="Q620" s="3">
        <f>WEEKNUM(Table1[[#This Row],[Order_Date]])</f>
        <v>35</v>
      </c>
      <c r="R620">
        <f>YEAR(Table1[[#This Row],[Order_Date]])</f>
        <v>2024</v>
      </c>
      <c r="S620" t="str">
        <f>IF(Table1[[#This Row],[Quantity]]&gt;=3,"Promo","Regular")</f>
        <v>Promo</v>
      </c>
    </row>
    <row r="621" spans="1:19" x14ac:dyDescent="0.35">
      <c r="A621" t="s">
        <v>1988</v>
      </c>
      <c r="B621" t="s">
        <v>694</v>
      </c>
      <c r="C621" s="1">
        <v>45397</v>
      </c>
      <c r="D621" t="s">
        <v>57</v>
      </c>
      <c r="E621" t="s">
        <v>75</v>
      </c>
      <c r="F621" t="s">
        <v>72</v>
      </c>
      <c r="G621" t="s">
        <v>18</v>
      </c>
      <c r="H621" t="s">
        <v>120</v>
      </c>
      <c r="I621" t="s">
        <v>60</v>
      </c>
      <c r="J621">
        <v>3</v>
      </c>
      <c r="K621">
        <v>491</v>
      </c>
      <c r="L621">
        <v>1473</v>
      </c>
      <c r="M621">
        <v>40</v>
      </c>
      <c r="N621" t="s">
        <v>33</v>
      </c>
      <c r="O621">
        <v>4.4000000000000004</v>
      </c>
      <c r="P621" s="2">
        <f>EOMONTH(Table1[[#This Row],[Order_Date]],0)</f>
        <v>45412</v>
      </c>
      <c r="Q621" s="3">
        <f>WEEKNUM(Table1[[#This Row],[Order_Date]])</f>
        <v>16</v>
      </c>
      <c r="R621">
        <f>YEAR(Table1[[#This Row],[Order_Date]])</f>
        <v>2024</v>
      </c>
      <c r="S621" t="str">
        <f>IF(Table1[[#This Row],[Quantity]]&gt;=3,"Promo","Regular")</f>
        <v>Promo</v>
      </c>
    </row>
    <row r="622" spans="1:19" x14ac:dyDescent="0.35">
      <c r="A622" t="s">
        <v>1988</v>
      </c>
      <c r="B622" t="s">
        <v>695</v>
      </c>
      <c r="C622" s="1">
        <v>45318</v>
      </c>
      <c r="D622" t="s">
        <v>57</v>
      </c>
      <c r="E622" t="s">
        <v>58</v>
      </c>
      <c r="F622" t="s">
        <v>41</v>
      </c>
      <c r="G622" t="s">
        <v>73</v>
      </c>
      <c r="H622" t="s">
        <v>55</v>
      </c>
      <c r="I622" t="s">
        <v>20</v>
      </c>
      <c r="J622">
        <v>1</v>
      </c>
      <c r="K622">
        <v>322</v>
      </c>
      <c r="L622">
        <v>322</v>
      </c>
      <c r="M622">
        <v>44</v>
      </c>
      <c r="N622" t="s">
        <v>38</v>
      </c>
      <c r="O622">
        <v>3.1</v>
      </c>
      <c r="P622" s="2">
        <f>EOMONTH(Table1[[#This Row],[Order_Date]],0)</f>
        <v>45322</v>
      </c>
      <c r="Q622" s="3">
        <f>WEEKNUM(Table1[[#This Row],[Order_Date]])</f>
        <v>4</v>
      </c>
      <c r="R622">
        <f>YEAR(Table1[[#This Row],[Order_Date]])</f>
        <v>2024</v>
      </c>
      <c r="S622" t="str">
        <f>IF(Table1[[#This Row],[Quantity]]&gt;=3,"Promo","Regular")</f>
        <v>Regular</v>
      </c>
    </row>
    <row r="623" spans="1:19" x14ac:dyDescent="0.35">
      <c r="A623" t="s">
        <v>1988</v>
      </c>
      <c r="B623" t="s">
        <v>696</v>
      </c>
      <c r="C623" s="1">
        <v>45322</v>
      </c>
      <c r="D623" t="s">
        <v>28</v>
      </c>
      <c r="E623" t="s">
        <v>77</v>
      </c>
      <c r="F623" t="s">
        <v>45</v>
      </c>
      <c r="G623" t="s">
        <v>31</v>
      </c>
      <c r="H623" t="s">
        <v>53</v>
      </c>
      <c r="I623" t="s">
        <v>20</v>
      </c>
      <c r="J623">
        <v>2</v>
      </c>
      <c r="K623">
        <v>350</v>
      </c>
      <c r="L623">
        <v>700</v>
      </c>
      <c r="M623">
        <v>31</v>
      </c>
      <c r="N623" t="s">
        <v>38</v>
      </c>
      <c r="O623">
        <v>4.8</v>
      </c>
      <c r="P623" s="2">
        <f>EOMONTH(Table1[[#This Row],[Order_Date]],0)</f>
        <v>45322</v>
      </c>
      <c r="Q623" s="3">
        <f>WEEKNUM(Table1[[#This Row],[Order_Date]])</f>
        <v>5</v>
      </c>
      <c r="R623">
        <f>YEAR(Table1[[#This Row],[Order_Date]])</f>
        <v>2024</v>
      </c>
      <c r="S623" t="str">
        <f>IF(Table1[[#This Row],[Quantity]]&gt;=3,"Promo","Regular")</f>
        <v>Regular</v>
      </c>
    </row>
    <row r="624" spans="1:19" x14ac:dyDescent="0.35">
      <c r="A624" t="s">
        <v>1988</v>
      </c>
      <c r="B624" t="s">
        <v>697</v>
      </c>
      <c r="C624" s="1">
        <v>45460</v>
      </c>
      <c r="D624" t="s">
        <v>43</v>
      </c>
      <c r="E624" t="s">
        <v>44</v>
      </c>
      <c r="F624" t="s">
        <v>24</v>
      </c>
      <c r="G624" t="s">
        <v>31</v>
      </c>
      <c r="H624" t="s">
        <v>66</v>
      </c>
      <c r="I624" t="s">
        <v>20</v>
      </c>
      <c r="J624">
        <v>4</v>
      </c>
      <c r="K624">
        <v>348</v>
      </c>
      <c r="L624">
        <v>1392</v>
      </c>
      <c r="M624">
        <v>31</v>
      </c>
      <c r="N624" t="s">
        <v>21</v>
      </c>
      <c r="O624">
        <v>3.4</v>
      </c>
      <c r="P624" s="2">
        <f>EOMONTH(Table1[[#This Row],[Order_Date]],0)</f>
        <v>45473</v>
      </c>
      <c r="Q624" s="3">
        <f>WEEKNUM(Table1[[#This Row],[Order_Date]])</f>
        <v>25</v>
      </c>
      <c r="R624">
        <f>YEAR(Table1[[#This Row],[Order_Date]])</f>
        <v>2024</v>
      </c>
      <c r="S624" t="str">
        <f>IF(Table1[[#This Row],[Quantity]]&gt;=3,"Promo","Regular")</f>
        <v>Promo</v>
      </c>
    </row>
    <row r="625" spans="1:19" x14ac:dyDescent="0.35">
      <c r="A625" t="s">
        <v>1989</v>
      </c>
      <c r="B625" t="s">
        <v>698</v>
      </c>
      <c r="C625" s="1">
        <v>45317</v>
      </c>
      <c r="D625" t="s">
        <v>57</v>
      </c>
      <c r="E625" t="s">
        <v>58</v>
      </c>
      <c r="F625" t="s">
        <v>41</v>
      </c>
      <c r="G625" t="s">
        <v>18</v>
      </c>
      <c r="H625" t="s">
        <v>120</v>
      </c>
      <c r="I625" t="s">
        <v>60</v>
      </c>
      <c r="J625">
        <v>4</v>
      </c>
      <c r="K625">
        <v>485</v>
      </c>
      <c r="L625">
        <v>1940</v>
      </c>
      <c r="M625">
        <v>42</v>
      </c>
      <c r="N625" t="s">
        <v>33</v>
      </c>
      <c r="O625">
        <v>3.8</v>
      </c>
      <c r="P625" s="2">
        <f>EOMONTH(Table1[[#This Row],[Order_Date]],0)</f>
        <v>45322</v>
      </c>
      <c r="Q625" s="3">
        <f>WEEKNUM(Table1[[#This Row],[Order_Date]])</f>
        <v>4</v>
      </c>
      <c r="R625">
        <f>YEAR(Table1[[#This Row],[Order_Date]])</f>
        <v>2024</v>
      </c>
      <c r="S625" t="str">
        <f>IF(Table1[[#This Row],[Quantity]]&gt;=3,"Promo","Regular")</f>
        <v>Promo</v>
      </c>
    </row>
    <row r="626" spans="1:19" x14ac:dyDescent="0.35">
      <c r="A626" t="s">
        <v>1989</v>
      </c>
      <c r="B626" t="s">
        <v>699</v>
      </c>
      <c r="C626" s="1">
        <v>45295</v>
      </c>
      <c r="D626" t="s">
        <v>15</v>
      </c>
      <c r="E626" t="s">
        <v>23</v>
      </c>
      <c r="F626" t="s">
        <v>85</v>
      </c>
      <c r="G626" t="s">
        <v>31</v>
      </c>
      <c r="H626" t="s">
        <v>120</v>
      </c>
      <c r="I626" t="s">
        <v>60</v>
      </c>
      <c r="J626">
        <v>3</v>
      </c>
      <c r="K626">
        <v>133</v>
      </c>
      <c r="L626">
        <v>399</v>
      </c>
      <c r="M626">
        <v>24</v>
      </c>
      <c r="N626" t="s">
        <v>38</v>
      </c>
      <c r="O626">
        <v>3.6</v>
      </c>
      <c r="P626" s="2">
        <f>EOMONTH(Table1[[#This Row],[Order_Date]],0)</f>
        <v>45322</v>
      </c>
      <c r="Q626" s="3">
        <f>WEEKNUM(Table1[[#This Row],[Order_Date]])</f>
        <v>1</v>
      </c>
      <c r="R626">
        <f>YEAR(Table1[[#This Row],[Order_Date]])</f>
        <v>2024</v>
      </c>
      <c r="S626" t="str">
        <f>IF(Table1[[#This Row],[Quantity]]&gt;=3,"Promo","Regular")</f>
        <v>Promo</v>
      </c>
    </row>
    <row r="627" spans="1:19" x14ac:dyDescent="0.35">
      <c r="A627" t="s">
        <v>1990</v>
      </c>
      <c r="B627" t="s">
        <v>700</v>
      </c>
      <c r="C627" s="1">
        <v>45386</v>
      </c>
      <c r="D627" t="s">
        <v>15</v>
      </c>
      <c r="E627" t="s">
        <v>16</v>
      </c>
      <c r="F627" t="s">
        <v>41</v>
      </c>
      <c r="G627" t="s">
        <v>25</v>
      </c>
      <c r="H627" t="s">
        <v>19</v>
      </c>
      <c r="I627" t="s">
        <v>20</v>
      </c>
      <c r="J627">
        <v>3</v>
      </c>
      <c r="K627">
        <v>486</v>
      </c>
      <c r="L627">
        <v>1458</v>
      </c>
      <c r="M627">
        <v>33</v>
      </c>
      <c r="N627" t="s">
        <v>33</v>
      </c>
      <c r="O627">
        <v>3.3</v>
      </c>
      <c r="P627" s="2">
        <f>EOMONTH(Table1[[#This Row],[Order_Date]],0)</f>
        <v>45412</v>
      </c>
      <c r="Q627" s="3">
        <f>WEEKNUM(Table1[[#This Row],[Order_Date]])</f>
        <v>14</v>
      </c>
      <c r="R627">
        <f>YEAR(Table1[[#This Row],[Order_Date]])</f>
        <v>2024</v>
      </c>
      <c r="S627" t="str">
        <f>IF(Table1[[#This Row],[Quantity]]&gt;=3,"Promo","Regular")</f>
        <v>Promo</v>
      </c>
    </row>
    <row r="628" spans="1:19" x14ac:dyDescent="0.35">
      <c r="A628" t="s">
        <v>1990</v>
      </c>
      <c r="B628" t="s">
        <v>701</v>
      </c>
      <c r="C628" s="1">
        <v>45564</v>
      </c>
      <c r="D628" t="s">
        <v>43</v>
      </c>
      <c r="E628" t="s">
        <v>52</v>
      </c>
      <c r="F628" t="s">
        <v>72</v>
      </c>
      <c r="G628" t="s">
        <v>18</v>
      </c>
      <c r="H628" t="s">
        <v>37</v>
      </c>
      <c r="I628" t="s">
        <v>20</v>
      </c>
      <c r="J628">
        <v>3</v>
      </c>
      <c r="K628">
        <v>220</v>
      </c>
      <c r="L628">
        <v>660</v>
      </c>
      <c r="M628">
        <v>47</v>
      </c>
      <c r="N628" t="s">
        <v>38</v>
      </c>
      <c r="O628">
        <v>3.5</v>
      </c>
      <c r="P628" s="2">
        <f>EOMONTH(Table1[[#This Row],[Order_Date]],0)</f>
        <v>45565</v>
      </c>
      <c r="Q628" s="3">
        <f>WEEKNUM(Table1[[#This Row],[Order_Date]])</f>
        <v>40</v>
      </c>
      <c r="R628">
        <f>YEAR(Table1[[#This Row],[Order_Date]])</f>
        <v>2024</v>
      </c>
      <c r="S628" t="str">
        <f>IF(Table1[[#This Row],[Quantity]]&gt;=3,"Promo","Regular")</f>
        <v>Promo</v>
      </c>
    </row>
    <row r="629" spans="1:19" x14ac:dyDescent="0.35">
      <c r="A629" t="s">
        <v>1990</v>
      </c>
      <c r="B629" t="s">
        <v>702</v>
      </c>
      <c r="C629" s="1">
        <v>45385</v>
      </c>
      <c r="D629" t="s">
        <v>57</v>
      </c>
      <c r="E629" t="s">
        <v>105</v>
      </c>
      <c r="F629" t="s">
        <v>45</v>
      </c>
      <c r="G629" t="s">
        <v>18</v>
      </c>
      <c r="H629" t="s">
        <v>19</v>
      </c>
      <c r="I629" t="s">
        <v>20</v>
      </c>
      <c r="J629">
        <v>4</v>
      </c>
      <c r="K629">
        <v>454</v>
      </c>
      <c r="L629">
        <v>1816</v>
      </c>
      <c r="M629">
        <v>33</v>
      </c>
      <c r="N629" t="s">
        <v>38</v>
      </c>
      <c r="O629">
        <v>4.0999999999999996</v>
      </c>
      <c r="P629" s="2">
        <f>EOMONTH(Table1[[#This Row],[Order_Date]],0)</f>
        <v>45412</v>
      </c>
      <c r="Q629" s="3">
        <f>WEEKNUM(Table1[[#This Row],[Order_Date]])</f>
        <v>14</v>
      </c>
      <c r="R629">
        <f>YEAR(Table1[[#This Row],[Order_Date]])</f>
        <v>2024</v>
      </c>
      <c r="S629" t="str">
        <f>IF(Table1[[#This Row],[Quantity]]&gt;=3,"Promo","Regular")</f>
        <v>Promo</v>
      </c>
    </row>
    <row r="630" spans="1:19" x14ac:dyDescent="0.35">
      <c r="A630" t="s">
        <v>1990</v>
      </c>
      <c r="B630" t="s">
        <v>703</v>
      </c>
      <c r="C630" s="1">
        <v>45492</v>
      </c>
      <c r="D630" t="s">
        <v>57</v>
      </c>
      <c r="E630" t="s">
        <v>62</v>
      </c>
      <c r="F630" t="s">
        <v>41</v>
      </c>
      <c r="G630" t="s">
        <v>46</v>
      </c>
      <c r="H630" t="s">
        <v>32</v>
      </c>
      <c r="I630" t="s">
        <v>20</v>
      </c>
      <c r="J630">
        <v>2</v>
      </c>
      <c r="K630">
        <v>261</v>
      </c>
      <c r="L630">
        <v>522</v>
      </c>
      <c r="M630">
        <v>23</v>
      </c>
      <c r="N630" t="s">
        <v>38</v>
      </c>
      <c r="O630">
        <v>4.5999999999999996</v>
      </c>
      <c r="P630" s="2">
        <f>EOMONTH(Table1[[#This Row],[Order_Date]],0)</f>
        <v>45504</v>
      </c>
      <c r="Q630" s="3">
        <f>WEEKNUM(Table1[[#This Row],[Order_Date]])</f>
        <v>29</v>
      </c>
      <c r="R630">
        <f>YEAR(Table1[[#This Row],[Order_Date]])</f>
        <v>2024</v>
      </c>
      <c r="S630" t="str">
        <f>IF(Table1[[#This Row],[Quantity]]&gt;=3,"Promo","Regular")</f>
        <v>Regular</v>
      </c>
    </row>
    <row r="631" spans="1:19" x14ac:dyDescent="0.35">
      <c r="A631" t="s">
        <v>1990</v>
      </c>
      <c r="B631" t="s">
        <v>704</v>
      </c>
      <c r="C631" s="1">
        <v>45491</v>
      </c>
      <c r="D631" t="s">
        <v>48</v>
      </c>
      <c r="E631" t="s">
        <v>64</v>
      </c>
      <c r="F631" t="s">
        <v>30</v>
      </c>
      <c r="G631" t="s">
        <v>31</v>
      </c>
      <c r="H631" t="s">
        <v>50</v>
      </c>
      <c r="I631" t="s">
        <v>20</v>
      </c>
      <c r="J631">
        <v>4</v>
      </c>
      <c r="K631">
        <v>268</v>
      </c>
      <c r="L631">
        <v>1072</v>
      </c>
      <c r="M631">
        <v>38</v>
      </c>
      <c r="N631" t="s">
        <v>21</v>
      </c>
      <c r="O631">
        <v>3.7</v>
      </c>
      <c r="P631" s="2">
        <f>EOMONTH(Table1[[#This Row],[Order_Date]],0)</f>
        <v>45504</v>
      </c>
      <c r="Q631" s="3">
        <f>WEEKNUM(Table1[[#This Row],[Order_Date]])</f>
        <v>29</v>
      </c>
      <c r="R631">
        <f>YEAR(Table1[[#This Row],[Order_Date]])</f>
        <v>2024</v>
      </c>
      <c r="S631" t="str">
        <f>IF(Table1[[#This Row],[Quantity]]&gt;=3,"Promo","Regular")</f>
        <v>Promo</v>
      </c>
    </row>
    <row r="632" spans="1:19" x14ac:dyDescent="0.35">
      <c r="A632" t="s">
        <v>1991</v>
      </c>
      <c r="B632" t="s">
        <v>705</v>
      </c>
      <c r="C632" s="1">
        <v>45306</v>
      </c>
      <c r="D632" t="s">
        <v>48</v>
      </c>
      <c r="E632" t="s">
        <v>49</v>
      </c>
      <c r="F632" t="s">
        <v>30</v>
      </c>
      <c r="G632" t="s">
        <v>18</v>
      </c>
      <c r="H632" t="s">
        <v>37</v>
      </c>
      <c r="I632" t="s">
        <v>20</v>
      </c>
      <c r="J632">
        <v>5</v>
      </c>
      <c r="K632">
        <v>400</v>
      </c>
      <c r="L632">
        <v>2000</v>
      </c>
      <c r="M632">
        <v>55</v>
      </c>
      <c r="N632" t="s">
        <v>38</v>
      </c>
      <c r="O632">
        <v>4.5</v>
      </c>
      <c r="P632" s="2">
        <f>EOMONTH(Table1[[#This Row],[Order_Date]],0)</f>
        <v>45322</v>
      </c>
      <c r="Q632" s="3">
        <f>WEEKNUM(Table1[[#This Row],[Order_Date]])</f>
        <v>3</v>
      </c>
      <c r="R632">
        <f>YEAR(Table1[[#This Row],[Order_Date]])</f>
        <v>2024</v>
      </c>
      <c r="S632" t="str">
        <f>IF(Table1[[#This Row],[Quantity]]&gt;=3,"Promo","Regular")</f>
        <v>Promo</v>
      </c>
    </row>
    <row r="633" spans="1:19" x14ac:dyDescent="0.35">
      <c r="A633" t="s">
        <v>1991</v>
      </c>
      <c r="B633" t="s">
        <v>706</v>
      </c>
      <c r="C633" s="1">
        <v>45370</v>
      </c>
      <c r="D633" t="s">
        <v>15</v>
      </c>
      <c r="E633" t="s">
        <v>23</v>
      </c>
      <c r="F633" t="s">
        <v>69</v>
      </c>
      <c r="G633" t="s">
        <v>18</v>
      </c>
      <c r="H633" t="s">
        <v>37</v>
      </c>
      <c r="I633" t="s">
        <v>20</v>
      </c>
      <c r="J633">
        <v>1</v>
      </c>
      <c r="K633">
        <v>185</v>
      </c>
      <c r="L633">
        <v>185</v>
      </c>
      <c r="M633">
        <v>32</v>
      </c>
      <c r="N633" t="s">
        <v>38</v>
      </c>
      <c r="O633">
        <v>3.2</v>
      </c>
      <c r="P633" s="2">
        <f>EOMONTH(Table1[[#This Row],[Order_Date]],0)</f>
        <v>45382</v>
      </c>
      <c r="Q633" s="3">
        <f>WEEKNUM(Table1[[#This Row],[Order_Date]])</f>
        <v>12</v>
      </c>
      <c r="R633">
        <f>YEAR(Table1[[#This Row],[Order_Date]])</f>
        <v>2024</v>
      </c>
      <c r="S633" t="str">
        <f>IF(Table1[[#This Row],[Quantity]]&gt;=3,"Promo","Regular")</f>
        <v>Regular</v>
      </c>
    </row>
    <row r="634" spans="1:19" x14ac:dyDescent="0.35">
      <c r="A634" t="s">
        <v>1991</v>
      </c>
      <c r="B634" t="s">
        <v>707</v>
      </c>
      <c r="C634" s="1">
        <v>45426</v>
      </c>
      <c r="D634" t="s">
        <v>15</v>
      </c>
      <c r="E634" t="s">
        <v>23</v>
      </c>
      <c r="F634" t="s">
        <v>85</v>
      </c>
      <c r="G634" t="s">
        <v>73</v>
      </c>
      <c r="H634" t="s">
        <v>120</v>
      </c>
      <c r="I634" t="s">
        <v>60</v>
      </c>
      <c r="J634">
        <v>5</v>
      </c>
      <c r="K634">
        <v>320</v>
      </c>
      <c r="L634">
        <v>1600</v>
      </c>
      <c r="M634">
        <v>54</v>
      </c>
      <c r="N634" t="s">
        <v>38</v>
      </c>
      <c r="O634">
        <v>4.5</v>
      </c>
      <c r="P634" s="2">
        <f>EOMONTH(Table1[[#This Row],[Order_Date]],0)</f>
        <v>45443</v>
      </c>
      <c r="Q634" s="3">
        <f>WEEKNUM(Table1[[#This Row],[Order_Date]])</f>
        <v>20</v>
      </c>
      <c r="R634">
        <f>YEAR(Table1[[#This Row],[Order_Date]])</f>
        <v>2024</v>
      </c>
      <c r="S634" t="str">
        <f>IF(Table1[[#This Row],[Quantity]]&gt;=3,"Promo","Regular")</f>
        <v>Promo</v>
      </c>
    </row>
    <row r="635" spans="1:19" x14ac:dyDescent="0.35">
      <c r="A635" t="s">
        <v>1991</v>
      </c>
      <c r="B635" t="s">
        <v>708</v>
      </c>
      <c r="C635" s="1">
        <v>45511</v>
      </c>
      <c r="D635" t="s">
        <v>43</v>
      </c>
      <c r="E635" t="s">
        <v>44</v>
      </c>
      <c r="F635" t="s">
        <v>72</v>
      </c>
      <c r="G635" t="s">
        <v>31</v>
      </c>
      <c r="H635" t="s">
        <v>19</v>
      </c>
      <c r="I635" t="s">
        <v>20</v>
      </c>
      <c r="J635">
        <v>2</v>
      </c>
      <c r="K635">
        <v>233</v>
      </c>
      <c r="L635">
        <v>466</v>
      </c>
      <c r="M635">
        <v>48</v>
      </c>
      <c r="N635" t="s">
        <v>21</v>
      </c>
      <c r="O635">
        <v>3.8</v>
      </c>
      <c r="P635" s="2">
        <f>EOMONTH(Table1[[#This Row],[Order_Date]],0)</f>
        <v>45535</v>
      </c>
      <c r="Q635" s="3">
        <f>WEEKNUM(Table1[[#This Row],[Order_Date]])</f>
        <v>32</v>
      </c>
      <c r="R635">
        <f>YEAR(Table1[[#This Row],[Order_Date]])</f>
        <v>2024</v>
      </c>
      <c r="S635" t="str">
        <f>IF(Table1[[#This Row],[Quantity]]&gt;=3,"Promo","Regular")</f>
        <v>Regular</v>
      </c>
    </row>
    <row r="636" spans="1:19" x14ac:dyDescent="0.35">
      <c r="A636" t="s">
        <v>1992</v>
      </c>
      <c r="B636" t="s">
        <v>709</v>
      </c>
      <c r="C636" s="1">
        <v>45295</v>
      </c>
      <c r="D636" t="s">
        <v>15</v>
      </c>
      <c r="E636" t="s">
        <v>112</v>
      </c>
      <c r="F636" t="s">
        <v>30</v>
      </c>
      <c r="G636" t="s">
        <v>18</v>
      </c>
      <c r="H636" t="s">
        <v>66</v>
      </c>
      <c r="I636" t="s">
        <v>20</v>
      </c>
      <c r="J636">
        <v>3</v>
      </c>
      <c r="K636">
        <v>149</v>
      </c>
      <c r="L636">
        <v>447</v>
      </c>
      <c r="M636">
        <v>21</v>
      </c>
      <c r="N636" t="s">
        <v>21</v>
      </c>
      <c r="O636">
        <v>4</v>
      </c>
      <c r="P636" s="2">
        <f>EOMONTH(Table1[[#This Row],[Order_Date]],0)</f>
        <v>45322</v>
      </c>
      <c r="Q636" s="3">
        <f>WEEKNUM(Table1[[#This Row],[Order_Date]])</f>
        <v>1</v>
      </c>
      <c r="R636">
        <f>YEAR(Table1[[#This Row],[Order_Date]])</f>
        <v>2024</v>
      </c>
      <c r="S636" t="str">
        <f>IF(Table1[[#This Row],[Quantity]]&gt;=3,"Promo","Regular")</f>
        <v>Promo</v>
      </c>
    </row>
    <row r="637" spans="1:19" x14ac:dyDescent="0.35">
      <c r="A637" t="s">
        <v>1992</v>
      </c>
      <c r="B637" t="s">
        <v>710</v>
      </c>
      <c r="C637" s="1">
        <v>45590</v>
      </c>
      <c r="D637" t="s">
        <v>48</v>
      </c>
      <c r="E637" t="s">
        <v>64</v>
      </c>
      <c r="F637" t="s">
        <v>24</v>
      </c>
      <c r="G637" t="s">
        <v>18</v>
      </c>
      <c r="H637" t="s">
        <v>66</v>
      </c>
      <c r="I637" t="s">
        <v>20</v>
      </c>
      <c r="J637">
        <v>4</v>
      </c>
      <c r="K637">
        <v>234</v>
      </c>
      <c r="L637">
        <v>936</v>
      </c>
      <c r="M637">
        <v>41</v>
      </c>
      <c r="N637" t="s">
        <v>21</v>
      </c>
      <c r="O637">
        <v>4.4000000000000004</v>
      </c>
      <c r="P637" s="2">
        <f>EOMONTH(Table1[[#This Row],[Order_Date]],0)</f>
        <v>45596</v>
      </c>
      <c r="Q637" s="3">
        <f>WEEKNUM(Table1[[#This Row],[Order_Date]])</f>
        <v>43</v>
      </c>
      <c r="R637">
        <f>YEAR(Table1[[#This Row],[Order_Date]])</f>
        <v>2024</v>
      </c>
      <c r="S637" t="str">
        <f>IF(Table1[[#This Row],[Quantity]]&gt;=3,"Promo","Regular")</f>
        <v>Promo</v>
      </c>
    </row>
    <row r="638" spans="1:19" x14ac:dyDescent="0.35">
      <c r="A638" t="s">
        <v>1992</v>
      </c>
      <c r="B638" t="s">
        <v>711</v>
      </c>
      <c r="C638" s="1">
        <v>45556</v>
      </c>
      <c r="D638" t="s">
        <v>28</v>
      </c>
      <c r="E638" t="s">
        <v>98</v>
      </c>
      <c r="F638" t="s">
        <v>85</v>
      </c>
      <c r="G638" t="s">
        <v>73</v>
      </c>
      <c r="H638" t="s">
        <v>120</v>
      </c>
      <c r="I638" t="s">
        <v>60</v>
      </c>
      <c r="J638">
        <v>2</v>
      </c>
      <c r="K638">
        <v>319</v>
      </c>
      <c r="L638">
        <v>638</v>
      </c>
      <c r="M638">
        <v>32</v>
      </c>
      <c r="N638" t="s">
        <v>21</v>
      </c>
      <c r="O638">
        <v>3.1</v>
      </c>
      <c r="P638" s="2">
        <f>EOMONTH(Table1[[#This Row],[Order_Date]],0)</f>
        <v>45565</v>
      </c>
      <c r="Q638" s="3">
        <f>WEEKNUM(Table1[[#This Row],[Order_Date]])</f>
        <v>38</v>
      </c>
      <c r="R638">
        <f>YEAR(Table1[[#This Row],[Order_Date]])</f>
        <v>2024</v>
      </c>
      <c r="S638" t="str">
        <f>IF(Table1[[#This Row],[Quantity]]&gt;=3,"Promo","Regular")</f>
        <v>Regular</v>
      </c>
    </row>
    <row r="639" spans="1:19" x14ac:dyDescent="0.35">
      <c r="A639" t="s">
        <v>1992</v>
      </c>
      <c r="B639" t="s">
        <v>712</v>
      </c>
      <c r="C639" s="1">
        <v>45517</v>
      </c>
      <c r="D639" t="s">
        <v>28</v>
      </c>
      <c r="E639" t="s">
        <v>98</v>
      </c>
      <c r="F639" t="s">
        <v>72</v>
      </c>
      <c r="G639" t="s">
        <v>36</v>
      </c>
      <c r="H639" t="s">
        <v>55</v>
      </c>
      <c r="I639" t="s">
        <v>20</v>
      </c>
      <c r="J639">
        <v>3</v>
      </c>
      <c r="K639">
        <v>175</v>
      </c>
      <c r="L639">
        <v>525</v>
      </c>
      <c r="M639">
        <v>40</v>
      </c>
      <c r="N639" t="s">
        <v>38</v>
      </c>
      <c r="O639">
        <v>4</v>
      </c>
      <c r="P639" s="2">
        <f>EOMONTH(Table1[[#This Row],[Order_Date]],0)</f>
        <v>45535</v>
      </c>
      <c r="Q639" s="3">
        <f>WEEKNUM(Table1[[#This Row],[Order_Date]])</f>
        <v>33</v>
      </c>
      <c r="R639">
        <f>YEAR(Table1[[#This Row],[Order_Date]])</f>
        <v>2024</v>
      </c>
      <c r="S639" t="str">
        <f>IF(Table1[[#This Row],[Quantity]]&gt;=3,"Promo","Regular")</f>
        <v>Promo</v>
      </c>
    </row>
    <row r="640" spans="1:19" x14ac:dyDescent="0.35">
      <c r="A640" t="s">
        <v>1992</v>
      </c>
      <c r="B640" t="s">
        <v>713</v>
      </c>
      <c r="C640" s="1">
        <v>45490</v>
      </c>
      <c r="D640" t="s">
        <v>48</v>
      </c>
      <c r="E640" t="s">
        <v>64</v>
      </c>
      <c r="F640" t="s">
        <v>35</v>
      </c>
      <c r="G640" t="s">
        <v>36</v>
      </c>
      <c r="H640" t="s">
        <v>19</v>
      </c>
      <c r="I640" t="s">
        <v>20</v>
      </c>
      <c r="J640">
        <v>3</v>
      </c>
      <c r="K640">
        <v>401</v>
      </c>
      <c r="L640">
        <v>1203</v>
      </c>
      <c r="M640">
        <v>30</v>
      </c>
      <c r="N640" t="s">
        <v>33</v>
      </c>
      <c r="O640">
        <v>3.3</v>
      </c>
      <c r="P640" s="2">
        <f>EOMONTH(Table1[[#This Row],[Order_Date]],0)</f>
        <v>45504</v>
      </c>
      <c r="Q640" s="3">
        <f>WEEKNUM(Table1[[#This Row],[Order_Date]])</f>
        <v>29</v>
      </c>
      <c r="R640">
        <f>YEAR(Table1[[#This Row],[Order_Date]])</f>
        <v>2024</v>
      </c>
      <c r="S640" t="str">
        <f>IF(Table1[[#This Row],[Quantity]]&gt;=3,"Promo","Regular")</f>
        <v>Promo</v>
      </c>
    </row>
    <row r="641" spans="1:19" x14ac:dyDescent="0.35">
      <c r="A641" t="s">
        <v>1993</v>
      </c>
      <c r="B641" t="s">
        <v>714</v>
      </c>
      <c r="C641" s="1">
        <v>45464</v>
      </c>
      <c r="D641" t="s">
        <v>43</v>
      </c>
      <c r="E641" t="s">
        <v>52</v>
      </c>
      <c r="F641" t="s">
        <v>69</v>
      </c>
      <c r="G641" t="s">
        <v>73</v>
      </c>
      <c r="H641" t="s">
        <v>59</v>
      </c>
      <c r="I641" t="s">
        <v>60</v>
      </c>
      <c r="J641">
        <v>2</v>
      </c>
      <c r="K641">
        <v>104</v>
      </c>
      <c r="L641">
        <v>208</v>
      </c>
      <c r="M641">
        <v>49</v>
      </c>
      <c r="N641" t="s">
        <v>21</v>
      </c>
      <c r="O641">
        <v>4.3</v>
      </c>
      <c r="P641" s="2">
        <f>EOMONTH(Table1[[#This Row],[Order_Date]],0)</f>
        <v>45473</v>
      </c>
      <c r="Q641" s="3">
        <f>WEEKNUM(Table1[[#This Row],[Order_Date]])</f>
        <v>25</v>
      </c>
      <c r="R641">
        <f>YEAR(Table1[[#This Row],[Order_Date]])</f>
        <v>2024</v>
      </c>
      <c r="S641" t="str">
        <f>IF(Table1[[#This Row],[Quantity]]&gt;=3,"Promo","Regular")</f>
        <v>Regular</v>
      </c>
    </row>
    <row r="642" spans="1:19" x14ac:dyDescent="0.35">
      <c r="A642" t="s">
        <v>1993</v>
      </c>
      <c r="B642" t="s">
        <v>715</v>
      </c>
      <c r="C642" s="1">
        <v>45353</v>
      </c>
      <c r="D642" t="s">
        <v>57</v>
      </c>
      <c r="E642" t="s">
        <v>105</v>
      </c>
      <c r="F642" t="s">
        <v>30</v>
      </c>
      <c r="G642" t="s">
        <v>46</v>
      </c>
      <c r="H642" t="s">
        <v>53</v>
      </c>
      <c r="I642" t="s">
        <v>20</v>
      </c>
      <c r="J642">
        <v>1</v>
      </c>
      <c r="K642">
        <v>147</v>
      </c>
      <c r="L642">
        <v>147</v>
      </c>
      <c r="M642">
        <v>53</v>
      </c>
      <c r="N642" t="s">
        <v>33</v>
      </c>
      <c r="O642">
        <v>3.1</v>
      </c>
      <c r="P642" s="2">
        <f>EOMONTH(Table1[[#This Row],[Order_Date]],0)</f>
        <v>45382</v>
      </c>
      <c r="Q642" s="3">
        <f>WEEKNUM(Table1[[#This Row],[Order_Date]])</f>
        <v>9</v>
      </c>
      <c r="R642">
        <f>YEAR(Table1[[#This Row],[Order_Date]])</f>
        <v>2024</v>
      </c>
      <c r="S642" t="str">
        <f>IF(Table1[[#This Row],[Quantity]]&gt;=3,"Promo","Regular")</f>
        <v>Regular</v>
      </c>
    </row>
    <row r="643" spans="1:19" x14ac:dyDescent="0.35">
      <c r="A643" t="s">
        <v>1994</v>
      </c>
      <c r="B643" t="s">
        <v>716</v>
      </c>
      <c r="C643" s="1">
        <v>45441</v>
      </c>
      <c r="D643" t="s">
        <v>28</v>
      </c>
      <c r="E643" t="s">
        <v>40</v>
      </c>
      <c r="F643" t="s">
        <v>35</v>
      </c>
      <c r="G643" t="s">
        <v>25</v>
      </c>
      <c r="H643" t="s">
        <v>26</v>
      </c>
      <c r="I643" t="s">
        <v>20</v>
      </c>
      <c r="J643">
        <v>2</v>
      </c>
      <c r="K643">
        <v>227</v>
      </c>
      <c r="L643">
        <v>454</v>
      </c>
      <c r="M643">
        <v>33</v>
      </c>
      <c r="N643" t="s">
        <v>21</v>
      </c>
      <c r="O643">
        <v>3.6</v>
      </c>
      <c r="P643" s="2">
        <f>EOMONTH(Table1[[#This Row],[Order_Date]],0)</f>
        <v>45443</v>
      </c>
      <c r="Q643" s="3">
        <f>WEEKNUM(Table1[[#This Row],[Order_Date]])</f>
        <v>22</v>
      </c>
      <c r="R643">
        <f>YEAR(Table1[[#This Row],[Order_Date]])</f>
        <v>2024</v>
      </c>
      <c r="S643" t="str">
        <f>IF(Table1[[#This Row],[Quantity]]&gt;=3,"Promo","Regular")</f>
        <v>Regular</v>
      </c>
    </row>
    <row r="644" spans="1:19" x14ac:dyDescent="0.35">
      <c r="A644" t="s">
        <v>1994</v>
      </c>
      <c r="B644" t="s">
        <v>717</v>
      </c>
      <c r="C644" s="1">
        <v>45553</v>
      </c>
      <c r="D644" t="s">
        <v>57</v>
      </c>
      <c r="E644" t="s">
        <v>136</v>
      </c>
      <c r="F644" t="s">
        <v>41</v>
      </c>
      <c r="G644" t="s">
        <v>46</v>
      </c>
      <c r="H644" t="s">
        <v>32</v>
      </c>
      <c r="I644" t="s">
        <v>20</v>
      </c>
      <c r="J644">
        <v>3</v>
      </c>
      <c r="K644">
        <v>450</v>
      </c>
      <c r="L644">
        <v>1350</v>
      </c>
      <c r="M644">
        <v>33</v>
      </c>
      <c r="N644" t="s">
        <v>21</v>
      </c>
      <c r="O644">
        <v>4.4000000000000004</v>
      </c>
      <c r="P644" s="2">
        <f>EOMONTH(Table1[[#This Row],[Order_Date]],0)</f>
        <v>45565</v>
      </c>
      <c r="Q644" s="3">
        <f>WEEKNUM(Table1[[#This Row],[Order_Date]])</f>
        <v>38</v>
      </c>
      <c r="R644">
        <f>YEAR(Table1[[#This Row],[Order_Date]])</f>
        <v>2024</v>
      </c>
      <c r="S644" t="str">
        <f>IF(Table1[[#This Row],[Quantity]]&gt;=3,"Promo","Regular")</f>
        <v>Promo</v>
      </c>
    </row>
    <row r="645" spans="1:19" x14ac:dyDescent="0.35">
      <c r="A645" t="s">
        <v>1994</v>
      </c>
      <c r="B645" t="s">
        <v>718</v>
      </c>
      <c r="C645" s="1">
        <v>45392</v>
      </c>
      <c r="D645" t="s">
        <v>48</v>
      </c>
      <c r="E645" t="s">
        <v>127</v>
      </c>
      <c r="F645" t="s">
        <v>35</v>
      </c>
      <c r="G645" t="s">
        <v>46</v>
      </c>
      <c r="H645" t="s">
        <v>66</v>
      </c>
      <c r="I645" t="s">
        <v>20</v>
      </c>
      <c r="J645">
        <v>2</v>
      </c>
      <c r="K645">
        <v>117</v>
      </c>
      <c r="L645">
        <v>234</v>
      </c>
      <c r="M645">
        <v>26</v>
      </c>
      <c r="N645" t="s">
        <v>21</v>
      </c>
      <c r="O645">
        <v>4</v>
      </c>
      <c r="P645" s="2">
        <f>EOMONTH(Table1[[#This Row],[Order_Date]],0)</f>
        <v>45412</v>
      </c>
      <c r="Q645" s="3">
        <f>WEEKNUM(Table1[[#This Row],[Order_Date]])</f>
        <v>15</v>
      </c>
      <c r="R645">
        <f>YEAR(Table1[[#This Row],[Order_Date]])</f>
        <v>2024</v>
      </c>
      <c r="S645" t="str">
        <f>IF(Table1[[#This Row],[Quantity]]&gt;=3,"Promo","Regular")</f>
        <v>Regular</v>
      </c>
    </row>
    <row r="646" spans="1:19" x14ac:dyDescent="0.35">
      <c r="A646" t="s">
        <v>1994</v>
      </c>
      <c r="B646" t="s">
        <v>719</v>
      </c>
      <c r="C646" s="1">
        <v>45537</v>
      </c>
      <c r="D646" t="s">
        <v>57</v>
      </c>
      <c r="E646" t="s">
        <v>75</v>
      </c>
      <c r="F646" t="s">
        <v>35</v>
      </c>
      <c r="G646" t="s">
        <v>36</v>
      </c>
      <c r="H646" t="s">
        <v>59</v>
      </c>
      <c r="I646" t="s">
        <v>60</v>
      </c>
      <c r="J646">
        <v>4</v>
      </c>
      <c r="K646">
        <v>381</v>
      </c>
      <c r="L646">
        <v>1524</v>
      </c>
      <c r="M646">
        <v>21</v>
      </c>
      <c r="N646" t="s">
        <v>33</v>
      </c>
      <c r="O646">
        <v>3.3</v>
      </c>
      <c r="P646" s="2">
        <f>EOMONTH(Table1[[#This Row],[Order_Date]],0)</f>
        <v>45565</v>
      </c>
      <c r="Q646" s="3">
        <f>WEEKNUM(Table1[[#This Row],[Order_Date]])</f>
        <v>36</v>
      </c>
      <c r="R646">
        <f>YEAR(Table1[[#This Row],[Order_Date]])</f>
        <v>2024</v>
      </c>
      <c r="S646" t="str">
        <f>IF(Table1[[#This Row],[Quantity]]&gt;=3,"Promo","Regular")</f>
        <v>Promo</v>
      </c>
    </row>
    <row r="647" spans="1:19" x14ac:dyDescent="0.35">
      <c r="A647" t="s">
        <v>1994</v>
      </c>
      <c r="B647" t="s">
        <v>720</v>
      </c>
      <c r="C647" s="1">
        <v>45363</v>
      </c>
      <c r="D647" t="s">
        <v>15</v>
      </c>
      <c r="E647" t="s">
        <v>23</v>
      </c>
      <c r="F647" t="s">
        <v>69</v>
      </c>
      <c r="G647" t="s">
        <v>31</v>
      </c>
      <c r="H647" t="s">
        <v>59</v>
      </c>
      <c r="I647" t="s">
        <v>60</v>
      </c>
      <c r="J647">
        <v>4</v>
      </c>
      <c r="K647">
        <v>460</v>
      </c>
      <c r="L647">
        <v>1840</v>
      </c>
      <c r="M647">
        <v>31</v>
      </c>
      <c r="N647" t="s">
        <v>33</v>
      </c>
      <c r="O647">
        <v>4.7</v>
      </c>
      <c r="P647" s="2">
        <f>EOMONTH(Table1[[#This Row],[Order_Date]],0)</f>
        <v>45382</v>
      </c>
      <c r="Q647" s="3">
        <f>WEEKNUM(Table1[[#This Row],[Order_Date]])</f>
        <v>11</v>
      </c>
      <c r="R647">
        <f>YEAR(Table1[[#This Row],[Order_Date]])</f>
        <v>2024</v>
      </c>
      <c r="S647" t="str">
        <f>IF(Table1[[#This Row],[Quantity]]&gt;=3,"Promo","Regular")</f>
        <v>Promo</v>
      </c>
    </row>
    <row r="648" spans="1:19" x14ac:dyDescent="0.35">
      <c r="A648" t="s">
        <v>1995</v>
      </c>
      <c r="B648" t="s">
        <v>721</v>
      </c>
      <c r="C648" s="1">
        <v>45536</v>
      </c>
      <c r="D648" t="s">
        <v>28</v>
      </c>
      <c r="E648" t="s">
        <v>98</v>
      </c>
      <c r="F648" t="s">
        <v>72</v>
      </c>
      <c r="G648" t="s">
        <v>31</v>
      </c>
      <c r="H648" t="s">
        <v>26</v>
      </c>
      <c r="I648" t="s">
        <v>20</v>
      </c>
      <c r="J648">
        <v>2</v>
      </c>
      <c r="K648">
        <v>133</v>
      </c>
      <c r="L648">
        <v>266</v>
      </c>
      <c r="M648">
        <v>60</v>
      </c>
      <c r="N648" t="s">
        <v>33</v>
      </c>
      <c r="O648">
        <v>4.0999999999999996</v>
      </c>
      <c r="P648" s="2">
        <f>EOMONTH(Table1[[#This Row],[Order_Date]],0)</f>
        <v>45565</v>
      </c>
      <c r="Q648" s="3">
        <f>WEEKNUM(Table1[[#This Row],[Order_Date]])</f>
        <v>36</v>
      </c>
      <c r="R648">
        <f>YEAR(Table1[[#This Row],[Order_Date]])</f>
        <v>2024</v>
      </c>
      <c r="S648" t="str">
        <f>IF(Table1[[#This Row],[Quantity]]&gt;=3,"Promo","Regular")</f>
        <v>Regular</v>
      </c>
    </row>
    <row r="649" spans="1:19" x14ac:dyDescent="0.35">
      <c r="A649" t="s">
        <v>1995</v>
      </c>
      <c r="B649" t="s">
        <v>722</v>
      </c>
      <c r="C649" s="1">
        <v>45490</v>
      </c>
      <c r="D649" t="s">
        <v>57</v>
      </c>
      <c r="E649" t="s">
        <v>62</v>
      </c>
      <c r="F649" t="s">
        <v>45</v>
      </c>
      <c r="G649" t="s">
        <v>31</v>
      </c>
      <c r="H649" t="s">
        <v>59</v>
      </c>
      <c r="I649" t="s">
        <v>60</v>
      </c>
      <c r="J649">
        <v>1</v>
      </c>
      <c r="K649">
        <v>497</v>
      </c>
      <c r="L649">
        <v>497</v>
      </c>
      <c r="M649">
        <v>33</v>
      </c>
      <c r="N649" t="s">
        <v>21</v>
      </c>
      <c r="O649">
        <v>4.8</v>
      </c>
      <c r="P649" s="2">
        <f>EOMONTH(Table1[[#This Row],[Order_Date]],0)</f>
        <v>45504</v>
      </c>
      <c r="Q649" s="3">
        <f>WEEKNUM(Table1[[#This Row],[Order_Date]])</f>
        <v>29</v>
      </c>
      <c r="R649">
        <f>YEAR(Table1[[#This Row],[Order_Date]])</f>
        <v>2024</v>
      </c>
      <c r="S649" t="str">
        <f>IF(Table1[[#This Row],[Quantity]]&gt;=3,"Promo","Regular")</f>
        <v>Regular</v>
      </c>
    </row>
    <row r="650" spans="1:19" x14ac:dyDescent="0.35">
      <c r="A650" t="s">
        <v>1996</v>
      </c>
      <c r="B650" t="s">
        <v>723</v>
      </c>
      <c r="C650" s="1">
        <v>45502</v>
      </c>
      <c r="D650" t="s">
        <v>15</v>
      </c>
      <c r="E650" t="s">
        <v>103</v>
      </c>
      <c r="F650" t="s">
        <v>65</v>
      </c>
      <c r="G650" t="s">
        <v>25</v>
      </c>
      <c r="H650" t="s">
        <v>66</v>
      </c>
      <c r="I650" t="s">
        <v>20</v>
      </c>
      <c r="J650">
        <v>2</v>
      </c>
      <c r="K650">
        <v>119</v>
      </c>
      <c r="L650">
        <v>238</v>
      </c>
      <c r="M650">
        <v>58</v>
      </c>
      <c r="N650" t="s">
        <v>21</v>
      </c>
      <c r="O650">
        <v>4.8</v>
      </c>
      <c r="P650" s="2">
        <f>EOMONTH(Table1[[#This Row],[Order_Date]],0)</f>
        <v>45504</v>
      </c>
      <c r="Q650" s="3">
        <f>WEEKNUM(Table1[[#This Row],[Order_Date]])</f>
        <v>31</v>
      </c>
      <c r="R650">
        <f>YEAR(Table1[[#This Row],[Order_Date]])</f>
        <v>2024</v>
      </c>
      <c r="S650" t="str">
        <f>IF(Table1[[#This Row],[Quantity]]&gt;=3,"Promo","Regular")</f>
        <v>Regular</v>
      </c>
    </row>
    <row r="651" spans="1:19" x14ac:dyDescent="0.35">
      <c r="A651" t="s">
        <v>1996</v>
      </c>
      <c r="B651" t="s">
        <v>724</v>
      </c>
      <c r="C651" s="1">
        <v>45466</v>
      </c>
      <c r="D651" t="s">
        <v>28</v>
      </c>
      <c r="E651" t="s">
        <v>29</v>
      </c>
      <c r="F651" t="s">
        <v>17</v>
      </c>
      <c r="G651" t="s">
        <v>73</v>
      </c>
      <c r="H651" t="s">
        <v>120</v>
      </c>
      <c r="I651" t="s">
        <v>60</v>
      </c>
      <c r="J651">
        <v>3</v>
      </c>
      <c r="K651">
        <v>264</v>
      </c>
      <c r="L651">
        <v>792</v>
      </c>
      <c r="M651">
        <v>39</v>
      </c>
      <c r="N651" t="s">
        <v>38</v>
      </c>
      <c r="O651">
        <v>4.5</v>
      </c>
      <c r="P651" s="2">
        <f>EOMONTH(Table1[[#This Row],[Order_Date]],0)</f>
        <v>45473</v>
      </c>
      <c r="Q651" s="3">
        <f>WEEKNUM(Table1[[#This Row],[Order_Date]])</f>
        <v>26</v>
      </c>
      <c r="R651">
        <f>YEAR(Table1[[#This Row],[Order_Date]])</f>
        <v>2024</v>
      </c>
      <c r="S651" t="str">
        <f>IF(Table1[[#This Row],[Quantity]]&gt;=3,"Promo","Regular")</f>
        <v>Promo</v>
      </c>
    </row>
    <row r="652" spans="1:19" x14ac:dyDescent="0.35">
      <c r="A652" t="s">
        <v>1996</v>
      </c>
      <c r="B652" t="s">
        <v>725</v>
      </c>
      <c r="C652" s="1">
        <v>45519</v>
      </c>
      <c r="D652" t="s">
        <v>57</v>
      </c>
      <c r="E652" t="s">
        <v>136</v>
      </c>
      <c r="F652" t="s">
        <v>41</v>
      </c>
      <c r="G652" t="s">
        <v>25</v>
      </c>
      <c r="H652" t="s">
        <v>37</v>
      </c>
      <c r="I652" t="s">
        <v>20</v>
      </c>
      <c r="J652">
        <v>1</v>
      </c>
      <c r="K652">
        <v>495</v>
      </c>
      <c r="L652">
        <v>495</v>
      </c>
      <c r="M652">
        <v>59</v>
      </c>
      <c r="N652" t="s">
        <v>38</v>
      </c>
      <c r="O652">
        <v>3.7</v>
      </c>
      <c r="P652" s="2">
        <f>EOMONTH(Table1[[#This Row],[Order_Date]],0)</f>
        <v>45535</v>
      </c>
      <c r="Q652" s="3">
        <f>WEEKNUM(Table1[[#This Row],[Order_Date]])</f>
        <v>33</v>
      </c>
      <c r="R652">
        <f>YEAR(Table1[[#This Row],[Order_Date]])</f>
        <v>2024</v>
      </c>
      <c r="S652" t="str">
        <f>IF(Table1[[#This Row],[Quantity]]&gt;=3,"Promo","Regular")</f>
        <v>Regular</v>
      </c>
    </row>
    <row r="653" spans="1:19" x14ac:dyDescent="0.35">
      <c r="A653" t="s">
        <v>1996</v>
      </c>
      <c r="B653" t="s">
        <v>726</v>
      </c>
      <c r="C653" s="1">
        <v>45549</v>
      </c>
      <c r="D653" t="s">
        <v>57</v>
      </c>
      <c r="E653" t="s">
        <v>62</v>
      </c>
      <c r="F653" t="s">
        <v>35</v>
      </c>
      <c r="G653" t="s">
        <v>46</v>
      </c>
      <c r="H653" t="s">
        <v>37</v>
      </c>
      <c r="I653" t="s">
        <v>20</v>
      </c>
      <c r="J653">
        <v>2</v>
      </c>
      <c r="K653">
        <v>438</v>
      </c>
      <c r="L653">
        <v>876</v>
      </c>
      <c r="M653">
        <v>25</v>
      </c>
      <c r="N653" t="s">
        <v>21</v>
      </c>
      <c r="O653">
        <v>3.8</v>
      </c>
      <c r="P653" s="2">
        <f>EOMONTH(Table1[[#This Row],[Order_Date]],0)</f>
        <v>45565</v>
      </c>
      <c r="Q653" s="3">
        <f>WEEKNUM(Table1[[#This Row],[Order_Date]])</f>
        <v>37</v>
      </c>
      <c r="R653">
        <f>YEAR(Table1[[#This Row],[Order_Date]])</f>
        <v>2024</v>
      </c>
      <c r="S653" t="str">
        <f>IF(Table1[[#This Row],[Quantity]]&gt;=3,"Promo","Regular")</f>
        <v>Regular</v>
      </c>
    </row>
    <row r="654" spans="1:19" x14ac:dyDescent="0.35">
      <c r="A654" t="s">
        <v>1996</v>
      </c>
      <c r="B654" t="s">
        <v>727</v>
      </c>
      <c r="C654" s="1">
        <v>45438</v>
      </c>
      <c r="D654" t="s">
        <v>57</v>
      </c>
      <c r="E654" t="s">
        <v>62</v>
      </c>
      <c r="F654" t="s">
        <v>69</v>
      </c>
      <c r="G654" t="s">
        <v>31</v>
      </c>
      <c r="H654" t="s">
        <v>66</v>
      </c>
      <c r="I654" t="s">
        <v>20</v>
      </c>
      <c r="J654">
        <v>4</v>
      </c>
      <c r="K654">
        <v>121</v>
      </c>
      <c r="L654">
        <v>484</v>
      </c>
      <c r="M654">
        <v>27</v>
      </c>
      <c r="N654" t="s">
        <v>21</v>
      </c>
      <c r="O654">
        <v>4.5999999999999996</v>
      </c>
      <c r="P654" s="2">
        <f>EOMONTH(Table1[[#This Row],[Order_Date]],0)</f>
        <v>45443</v>
      </c>
      <c r="Q654" s="3">
        <f>WEEKNUM(Table1[[#This Row],[Order_Date]])</f>
        <v>22</v>
      </c>
      <c r="R654">
        <f>YEAR(Table1[[#This Row],[Order_Date]])</f>
        <v>2024</v>
      </c>
      <c r="S654" t="str">
        <f>IF(Table1[[#This Row],[Quantity]]&gt;=3,"Promo","Regular")</f>
        <v>Promo</v>
      </c>
    </row>
    <row r="655" spans="1:19" x14ac:dyDescent="0.35">
      <c r="A655" t="s">
        <v>1997</v>
      </c>
      <c r="B655" t="s">
        <v>728</v>
      </c>
      <c r="C655" s="1">
        <v>45343</v>
      </c>
      <c r="D655" t="s">
        <v>57</v>
      </c>
      <c r="E655" t="s">
        <v>136</v>
      </c>
      <c r="F655" t="s">
        <v>69</v>
      </c>
      <c r="G655" t="s">
        <v>46</v>
      </c>
      <c r="H655" t="s">
        <v>19</v>
      </c>
      <c r="I655" t="s">
        <v>20</v>
      </c>
      <c r="J655">
        <v>1</v>
      </c>
      <c r="K655">
        <v>260</v>
      </c>
      <c r="L655">
        <v>260</v>
      </c>
      <c r="M655">
        <v>21</v>
      </c>
      <c r="N655" t="s">
        <v>21</v>
      </c>
      <c r="O655">
        <v>3</v>
      </c>
      <c r="P655" s="2">
        <f>EOMONTH(Table1[[#This Row],[Order_Date]],0)</f>
        <v>45351</v>
      </c>
      <c r="Q655" s="3">
        <f>WEEKNUM(Table1[[#This Row],[Order_Date]])</f>
        <v>8</v>
      </c>
      <c r="R655">
        <f>YEAR(Table1[[#This Row],[Order_Date]])</f>
        <v>2024</v>
      </c>
      <c r="S655" t="str">
        <f>IF(Table1[[#This Row],[Quantity]]&gt;=3,"Promo","Regular")</f>
        <v>Regular</v>
      </c>
    </row>
    <row r="656" spans="1:19" x14ac:dyDescent="0.35">
      <c r="A656" t="s">
        <v>1997</v>
      </c>
      <c r="B656" t="s">
        <v>729</v>
      </c>
      <c r="C656" s="1">
        <v>45388</v>
      </c>
      <c r="D656" t="s">
        <v>57</v>
      </c>
      <c r="E656" t="s">
        <v>105</v>
      </c>
      <c r="F656" t="s">
        <v>24</v>
      </c>
      <c r="G656" t="s">
        <v>25</v>
      </c>
      <c r="H656" t="s">
        <v>50</v>
      </c>
      <c r="I656" t="s">
        <v>20</v>
      </c>
      <c r="J656">
        <v>2</v>
      </c>
      <c r="K656">
        <v>109</v>
      </c>
      <c r="L656">
        <v>218</v>
      </c>
      <c r="M656">
        <v>51</v>
      </c>
      <c r="N656" t="s">
        <v>38</v>
      </c>
      <c r="O656">
        <v>5</v>
      </c>
      <c r="P656" s="2">
        <f>EOMONTH(Table1[[#This Row],[Order_Date]],0)</f>
        <v>45412</v>
      </c>
      <c r="Q656" s="3">
        <f>WEEKNUM(Table1[[#This Row],[Order_Date]])</f>
        <v>14</v>
      </c>
      <c r="R656">
        <f>YEAR(Table1[[#This Row],[Order_Date]])</f>
        <v>2024</v>
      </c>
      <c r="S656" t="str">
        <f>IF(Table1[[#This Row],[Quantity]]&gt;=3,"Promo","Regular")</f>
        <v>Regular</v>
      </c>
    </row>
    <row r="657" spans="1:19" x14ac:dyDescent="0.35">
      <c r="A657" t="s">
        <v>1997</v>
      </c>
      <c r="B657" t="s">
        <v>730</v>
      </c>
      <c r="C657" s="1">
        <v>45476</v>
      </c>
      <c r="D657" t="s">
        <v>57</v>
      </c>
      <c r="E657" t="s">
        <v>136</v>
      </c>
      <c r="F657" t="s">
        <v>85</v>
      </c>
      <c r="G657" t="s">
        <v>25</v>
      </c>
      <c r="H657" t="s">
        <v>32</v>
      </c>
      <c r="I657" t="s">
        <v>20</v>
      </c>
      <c r="J657">
        <v>4</v>
      </c>
      <c r="K657">
        <v>143</v>
      </c>
      <c r="L657">
        <v>572</v>
      </c>
      <c r="M657">
        <v>47</v>
      </c>
      <c r="N657" t="s">
        <v>21</v>
      </c>
      <c r="O657">
        <v>3.5</v>
      </c>
      <c r="P657" s="2">
        <f>EOMONTH(Table1[[#This Row],[Order_Date]],0)</f>
        <v>45504</v>
      </c>
      <c r="Q657" s="3">
        <f>WEEKNUM(Table1[[#This Row],[Order_Date]])</f>
        <v>27</v>
      </c>
      <c r="R657">
        <f>YEAR(Table1[[#This Row],[Order_Date]])</f>
        <v>2024</v>
      </c>
      <c r="S657" t="str">
        <f>IF(Table1[[#This Row],[Quantity]]&gt;=3,"Promo","Regular")</f>
        <v>Promo</v>
      </c>
    </row>
    <row r="658" spans="1:19" x14ac:dyDescent="0.35">
      <c r="A658" t="s">
        <v>1997</v>
      </c>
      <c r="B658" t="s">
        <v>731</v>
      </c>
      <c r="C658" s="1">
        <v>45551</v>
      </c>
      <c r="D658" t="s">
        <v>28</v>
      </c>
      <c r="E658" t="s">
        <v>98</v>
      </c>
      <c r="F658" t="s">
        <v>30</v>
      </c>
      <c r="G658" t="s">
        <v>36</v>
      </c>
      <c r="H658" t="s">
        <v>26</v>
      </c>
      <c r="I658" t="s">
        <v>20</v>
      </c>
      <c r="J658">
        <v>5</v>
      </c>
      <c r="K658">
        <v>311</v>
      </c>
      <c r="L658">
        <v>1555</v>
      </c>
      <c r="M658">
        <v>56</v>
      </c>
      <c r="N658" t="s">
        <v>38</v>
      </c>
      <c r="O658">
        <v>3.7</v>
      </c>
      <c r="P658" s="2">
        <f>EOMONTH(Table1[[#This Row],[Order_Date]],0)</f>
        <v>45565</v>
      </c>
      <c r="Q658" s="3">
        <f>WEEKNUM(Table1[[#This Row],[Order_Date]])</f>
        <v>38</v>
      </c>
      <c r="R658">
        <f>YEAR(Table1[[#This Row],[Order_Date]])</f>
        <v>2024</v>
      </c>
      <c r="S658" t="str">
        <f>IF(Table1[[#This Row],[Quantity]]&gt;=3,"Promo","Regular")</f>
        <v>Promo</v>
      </c>
    </row>
    <row r="659" spans="1:19" x14ac:dyDescent="0.35">
      <c r="A659" t="s">
        <v>1997</v>
      </c>
      <c r="B659" t="s">
        <v>732</v>
      </c>
      <c r="C659" s="1">
        <v>45549</v>
      </c>
      <c r="D659" t="s">
        <v>28</v>
      </c>
      <c r="E659" t="s">
        <v>40</v>
      </c>
      <c r="F659" t="s">
        <v>24</v>
      </c>
      <c r="G659" t="s">
        <v>25</v>
      </c>
      <c r="H659" t="s">
        <v>66</v>
      </c>
      <c r="I659" t="s">
        <v>20</v>
      </c>
      <c r="J659">
        <v>4</v>
      </c>
      <c r="K659">
        <v>117</v>
      </c>
      <c r="L659">
        <v>468</v>
      </c>
      <c r="M659">
        <v>38</v>
      </c>
      <c r="N659" t="s">
        <v>21</v>
      </c>
      <c r="O659">
        <v>4.2</v>
      </c>
      <c r="P659" s="2">
        <f>EOMONTH(Table1[[#This Row],[Order_Date]],0)</f>
        <v>45565</v>
      </c>
      <c r="Q659" s="3">
        <f>WEEKNUM(Table1[[#This Row],[Order_Date]])</f>
        <v>37</v>
      </c>
      <c r="R659">
        <f>YEAR(Table1[[#This Row],[Order_Date]])</f>
        <v>2024</v>
      </c>
      <c r="S659" t="str">
        <f>IF(Table1[[#This Row],[Quantity]]&gt;=3,"Promo","Regular")</f>
        <v>Promo</v>
      </c>
    </row>
    <row r="660" spans="1:19" x14ac:dyDescent="0.35">
      <c r="A660" t="s">
        <v>1998</v>
      </c>
      <c r="B660" t="s">
        <v>733</v>
      </c>
      <c r="C660" s="1">
        <v>45376</v>
      </c>
      <c r="D660" t="s">
        <v>15</v>
      </c>
      <c r="E660" t="s">
        <v>103</v>
      </c>
      <c r="F660" t="s">
        <v>85</v>
      </c>
      <c r="G660" t="s">
        <v>25</v>
      </c>
      <c r="H660" t="s">
        <v>53</v>
      </c>
      <c r="I660" t="s">
        <v>20</v>
      </c>
      <c r="J660">
        <v>3</v>
      </c>
      <c r="K660">
        <v>336</v>
      </c>
      <c r="L660">
        <v>1008</v>
      </c>
      <c r="M660">
        <v>46</v>
      </c>
      <c r="N660" t="s">
        <v>21</v>
      </c>
      <c r="O660">
        <v>3.7</v>
      </c>
      <c r="P660" s="2">
        <f>EOMONTH(Table1[[#This Row],[Order_Date]],0)</f>
        <v>45382</v>
      </c>
      <c r="Q660" s="3">
        <f>WEEKNUM(Table1[[#This Row],[Order_Date]])</f>
        <v>13</v>
      </c>
      <c r="R660">
        <f>YEAR(Table1[[#This Row],[Order_Date]])</f>
        <v>2024</v>
      </c>
      <c r="S660" t="str">
        <f>IF(Table1[[#This Row],[Quantity]]&gt;=3,"Promo","Regular")</f>
        <v>Promo</v>
      </c>
    </row>
    <row r="661" spans="1:19" x14ac:dyDescent="0.35">
      <c r="A661" t="s">
        <v>1998</v>
      </c>
      <c r="B661" t="s">
        <v>734</v>
      </c>
      <c r="C661" s="1">
        <v>45394</v>
      </c>
      <c r="D661" t="s">
        <v>15</v>
      </c>
      <c r="E661" t="s">
        <v>95</v>
      </c>
      <c r="F661" t="s">
        <v>24</v>
      </c>
      <c r="G661" t="s">
        <v>25</v>
      </c>
      <c r="H661" t="s">
        <v>26</v>
      </c>
      <c r="I661" t="s">
        <v>20</v>
      </c>
      <c r="J661">
        <v>3</v>
      </c>
      <c r="K661">
        <v>170</v>
      </c>
      <c r="L661">
        <v>510</v>
      </c>
      <c r="M661">
        <v>57</v>
      </c>
      <c r="N661" t="s">
        <v>21</v>
      </c>
      <c r="O661">
        <v>3.2</v>
      </c>
      <c r="P661" s="2">
        <f>EOMONTH(Table1[[#This Row],[Order_Date]],0)</f>
        <v>45412</v>
      </c>
      <c r="Q661" s="3">
        <f>WEEKNUM(Table1[[#This Row],[Order_Date]])</f>
        <v>15</v>
      </c>
      <c r="R661">
        <f>YEAR(Table1[[#This Row],[Order_Date]])</f>
        <v>2024</v>
      </c>
      <c r="S661" t="str">
        <f>IF(Table1[[#This Row],[Quantity]]&gt;=3,"Promo","Regular")</f>
        <v>Promo</v>
      </c>
    </row>
    <row r="662" spans="1:19" x14ac:dyDescent="0.35">
      <c r="A662" t="s">
        <v>1998</v>
      </c>
      <c r="B662" t="s">
        <v>735</v>
      </c>
      <c r="C662" s="1">
        <v>45381</v>
      </c>
      <c r="D662" t="s">
        <v>28</v>
      </c>
      <c r="E662" t="s">
        <v>40</v>
      </c>
      <c r="F662" t="s">
        <v>17</v>
      </c>
      <c r="G662" t="s">
        <v>25</v>
      </c>
      <c r="H662" t="s">
        <v>120</v>
      </c>
      <c r="I662" t="s">
        <v>60</v>
      </c>
      <c r="J662">
        <v>2</v>
      </c>
      <c r="K662">
        <v>246</v>
      </c>
      <c r="L662">
        <v>492</v>
      </c>
      <c r="M662">
        <v>49</v>
      </c>
      <c r="N662" t="s">
        <v>33</v>
      </c>
      <c r="O662">
        <v>3.8</v>
      </c>
      <c r="P662" s="2">
        <f>EOMONTH(Table1[[#This Row],[Order_Date]],0)</f>
        <v>45382</v>
      </c>
      <c r="Q662" s="3">
        <f>WEEKNUM(Table1[[#This Row],[Order_Date]])</f>
        <v>13</v>
      </c>
      <c r="R662">
        <f>YEAR(Table1[[#This Row],[Order_Date]])</f>
        <v>2024</v>
      </c>
      <c r="S662" t="str">
        <f>IF(Table1[[#This Row],[Quantity]]&gt;=3,"Promo","Regular")</f>
        <v>Regular</v>
      </c>
    </row>
    <row r="663" spans="1:19" x14ac:dyDescent="0.35">
      <c r="A663" t="s">
        <v>1998</v>
      </c>
      <c r="B663" t="s">
        <v>736</v>
      </c>
      <c r="C663" s="1">
        <v>45337</v>
      </c>
      <c r="D663" t="s">
        <v>48</v>
      </c>
      <c r="E663" t="s">
        <v>127</v>
      </c>
      <c r="F663" t="s">
        <v>72</v>
      </c>
      <c r="G663" t="s">
        <v>31</v>
      </c>
      <c r="H663" t="s">
        <v>26</v>
      </c>
      <c r="I663" t="s">
        <v>20</v>
      </c>
      <c r="J663">
        <v>3</v>
      </c>
      <c r="K663">
        <v>461</v>
      </c>
      <c r="L663">
        <v>1383</v>
      </c>
      <c r="M663">
        <v>57</v>
      </c>
      <c r="N663" t="s">
        <v>33</v>
      </c>
      <c r="O663">
        <v>4.4000000000000004</v>
      </c>
      <c r="P663" s="2">
        <f>EOMONTH(Table1[[#This Row],[Order_Date]],0)</f>
        <v>45351</v>
      </c>
      <c r="Q663" s="3">
        <f>WEEKNUM(Table1[[#This Row],[Order_Date]])</f>
        <v>7</v>
      </c>
      <c r="R663">
        <f>YEAR(Table1[[#This Row],[Order_Date]])</f>
        <v>2024</v>
      </c>
      <c r="S663" t="str">
        <f>IF(Table1[[#This Row],[Quantity]]&gt;=3,"Promo","Regular")</f>
        <v>Promo</v>
      </c>
    </row>
    <row r="664" spans="1:19" x14ac:dyDescent="0.35">
      <c r="A664" t="s">
        <v>1998</v>
      </c>
      <c r="B664" t="s">
        <v>737</v>
      </c>
      <c r="C664" s="1">
        <v>45404</v>
      </c>
      <c r="D664" t="s">
        <v>57</v>
      </c>
      <c r="E664" t="s">
        <v>136</v>
      </c>
      <c r="F664" t="s">
        <v>69</v>
      </c>
      <c r="G664" t="s">
        <v>46</v>
      </c>
      <c r="H664" t="s">
        <v>120</v>
      </c>
      <c r="I664" t="s">
        <v>60</v>
      </c>
      <c r="J664">
        <v>3</v>
      </c>
      <c r="K664">
        <v>296</v>
      </c>
      <c r="L664">
        <v>888</v>
      </c>
      <c r="M664">
        <v>52</v>
      </c>
      <c r="N664" t="s">
        <v>21</v>
      </c>
      <c r="O664">
        <v>3.8</v>
      </c>
      <c r="P664" s="2">
        <f>EOMONTH(Table1[[#This Row],[Order_Date]],0)</f>
        <v>45412</v>
      </c>
      <c r="Q664" s="3">
        <f>WEEKNUM(Table1[[#This Row],[Order_Date]])</f>
        <v>17</v>
      </c>
      <c r="R664">
        <f>YEAR(Table1[[#This Row],[Order_Date]])</f>
        <v>2024</v>
      </c>
      <c r="S664" t="str">
        <f>IF(Table1[[#This Row],[Quantity]]&gt;=3,"Promo","Regular")</f>
        <v>Promo</v>
      </c>
    </row>
    <row r="665" spans="1:19" x14ac:dyDescent="0.35">
      <c r="A665" t="s">
        <v>1999</v>
      </c>
      <c r="B665" t="s">
        <v>738</v>
      </c>
      <c r="C665" s="1">
        <v>45404</v>
      </c>
      <c r="D665" t="s">
        <v>43</v>
      </c>
      <c r="E665" t="s">
        <v>82</v>
      </c>
      <c r="F665" t="s">
        <v>30</v>
      </c>
      <c r="G665" t="s">
        <v>46</v>
      </c>
      <c r="H665" t="s">
        <v>50</v>
      </c>
      <c r="I665" t="s">
        <v>20</v>
      </c>
      <c r="J665">
        <v>2</v>
      </c>
      <c r="K665">
        <v>499</v>
      </c>
      <c r="L665">
        <v>998</v>
      </c>
      <c r="M665">
        <v>44</v>
      </c>
      <c r="N665" t="s">
        <v>38</v>
      </c>
      <c r="O665">
        <v>4.3</v>
      </c>
      <c r="P665" s="2">
        <f>EOMONTH(Table1[[#This Row],[Order_Date]],0)</f>
        <v>45412</v>
      </c>
      <c r="Q665" s="3">
        <f>WEEKNUM(Table1[[#This Row],[Order_Date]])</f>
        <v>17</v>
      </c>
      <c r="R665">
        <f>YEAR(Table1[[#This Row],[Order_Date]])</f>
        <v>2024</v>
      </c>
      <c r="S665" t="str">
        <f>IF(Table1[[#This Row],[Quantity]]&gt;=3,"Promo","Regular")</f>
        <v>Regular</v>
      </c>
    </row>
    <row r="666" spans="1:19" x14ac:dyDescent="0.35">
      <c r="A666" t="s">
        <v>1999</v>
      </c>
      <c r="B666" t="s">
        <v>739</v>
      </c>
      <c r="C666" s="1">
        <v>45587</v>
      </c>
      <c r="D666" t="s">
        <v>57</v>
      </c>
      <c r="E666" t="s">
        <v>105</v>
      </c>
      <c r="F666" t="s">
        <v>41</v>
      </c>
      <c r="G666" t="s">
        <v>46</v>
      </c>
      <c r="H666" t="s">
        <v>66</v>
      </c>
      <c r="I666" t="s">
        <v>20</v>
      </c>
      <c r="J666">
        <v>2</v>
      </c>
      <c r="K666">
        <v>151</v>
      </c>
      <c r="L666">
        <v>302</v>
      </c>
      <c r="M666">
        <v>39</v>
      </c>
      <c r="N666" t="s">
        <v>21</v>
      </c>
      <c r="O666">
        <v>3.7</v>
      </c>
      <c r="P666" s="2">
        <f>EOMONTH(Table1[[#This Row],[Order_Date]],0)</f>
        <v>45596</v>
      </c>
      <c r="Q666" s="3">
        <f>WEEKNUM(Table1[[#This Row],[Order_Date]])</f>
        <v>43</v>
      </c>
      <c r="R666">
        <f>YEAR(Table1[[#This Row],[Order_Date]])</f>
        <v>2024</v>
      </c>
      <c r="S666" t="str">
        <f>IF(Table1[[#This Row],[Quantity]]&gt;=3,"Promo","Regular")</f>
        <v>Regular</v>
      </c>
    </row>
    <row r="667" spans="1:19" x14ac:dyDescent="0.35">
      <c r="A667" t="s">
        <v>2000</v>
      </c>
      <c r="B667" t="s">
        <v>740</v>
      </c>
      <c r="C667" s="1">
        <v>45536</v>
      </c>
      <c r="D667" t="s">
        <v>57</v>
      </c>
      <c r="E667" t="s">
        <v>62</v>
      </c>
      <c r="F667" t="s">
        <v>72</v>
      </c>
      <c r="G667" t="s">
        <v>25</v>
      </c>
      <c r="H667" t="s">
        <v>59</v>
      </c>
      <c r="I667" t="s">
        <v>60</v>
      </c>
      <c r="J667">
        <v>1</v>
      </c>
      <c r="K667">
        <v>124</v>
      </c>
      <c r="L667">
        <v>124</v>
      </c>
      <c r="M667">
        <v>37</v>
      </c>
      <c r="N667" t="s">
        <v>33</v>
      </c>
      <c r="O667">
        <v>3.4</v>
      </c>
      <c r="P667" s="2">
        <f>EOMONTH(Table1[[#This Row],[Order_Date]],0)</f>
        <v>45565</v>
      </c>
      <c r="Q667" s="3">
        <f>WEEKNUM(Table1[[#This Row],[Order_Date]])</f>
        <v>36</v>
      </c>
      <c r="R667">
        <f>YEAR(Table1[[#This Row],[Order_Date]])</f>
        <v>2024</v>
      </c>
      <c r="S667" t="str">
        <f>IF(Table1[[#This Row],[Quantity]]&gt;=3,"Promo","Regular")</f>
        <v>Regular</v>
      </c>
    </row>
    <row r="668" spans="1:19" x14ac:dyDescent="0.35">
      <c r="A668" t="s">
        <v>2000</v>
      </c>
      <c r="B668" t="s">
        <v>741</v>
      </c>
      <c r="C668" s="1">
        <v>45509</v>
      </c>
      <c r="D668" t="s">
        <v>15</v>
      </c>
      <c r="E668" t="s">
        <v>95</v>
      </c>
      <c r="F668" t="s">
        <v>69</v>
      </c>
      <c r="G668" t="s">
        <v>25</v>
      </c>
      <c r="H668" t="s">
        <v>53</v>
      </c>
      <c r="I668" t="s">
        <v>20</v>
      </c>
      <c r="J668">
        <v>5</v>
      </c>
      <c r="K668">
        <v>482</v>
      </c>
      <c r="L668">
        <v>2410</v>
      </c>
      <c r="M668">
        <v>49</v>
      </c>
      <c r="N668" t="s">
        <v>33</v>
      </c>
      <c r="O668">
        <v>3.1</v>
      </c>
      <c r="P668" s="2">
        <f>EOMONTH(Table1[[#This Row],[Order_Date]],0)</f>
        <v>45535</v>
      </c>
      <c r="Q668" s="3">
        <f>WEEKNUM(Table1[[#This Row],[Order_Date]])</f>
        <v>32</v>
      </c>
      <c r="R668">
        <f>YEAR(Table1[[#This Row],[Order_Date]])</f>
        <v>2024</v>
      </c>
      <c r="S668" t="str">
        <f>IF(Table1[[#This Row],[Quantity]]&gt;=3,"Promo","Regular")</f>
        <v>Promo</v>
      </c>
    </row>
    <row r="669" spans="1:19" x14ac:dyDescent="0.35">
      <c r="A669" t="s">
        <v>2001</v>
      </c>
      <c r="B669" t="s">
        <v>742</v>
      </c>
      <c r="C669" s="1">
        <v>45560</v>
      </c>
      <c r="D669" t="s">
        <v>28</v>
      </c>
      <c r="E669" t="s">
        <v>29</v>
      </c>
      <c r="F669" t="s">
        <v>72</v>
      </c>
      <c r="G669" t="s">
        <v>18</v>
      </c>
      <c r="H669" t="s">
        <v>32</v>
      </c>
      <c r="I669" t="s">
        <v>20</v>
      </c>
      <c r="J669">
        <v>1</v>
      </c>
      <c r="K669">
        <v>203</v>
      </c>
      <c r="L669">
        <v>203</v>
      </c>
      <c r="M669">
        <v>55</v>
      </c>
      <c r="N669" t="s">
        <v>21</v>
      </c>
      <c r="O669">
        <v>4.5</v>
      </c>
      <c r="P669" s="2">
        <f>EOMONTH(Table1[[#This Row],[Order_Date]],0)</f>
        <v>45565</v>
      </c>
      <c r="Q669" s="3">
        <f>WEEKNUM(Table1[[#This Row],[Order_Date]])</f>
        <v>39</v>
      </c>
      <c r="R669">
        <f>YEAR(Table1[[#This Row],[Order_Date]])</f>
        <v>2024</v>
      </c>
      <c r="S669" t="str">
        <f>IF(Table1[[#This Row],[Quantity]]&gt;=3,"Promo","Regular")</f>
        <v>Regular</v>
      </c>
    </row>
    <row r="670" spans="1:19" x14ac:dyDescent="0.35">
      <c r="A670" t="s">
        <v>2001</v>
      </c>
      <c r="B670" t="s">
        <v>743</v>
      </c>
      <c r="C670" s="1">
        <v>45373</v>
      </c>
      <c r="D670" t="s">
        <v>57</v>
      </c>
      <c r="E670" t="s">
        <v>105</v>
      </c>
      <c r="F670" t="s">
        <v>35</v>
      </c>
      <c r="G670" t="s">
        <v>36</v>
      </c>
      <c r="H670" t="s">
        <v>50</v>
      </c>
      <c r="I670" t="s">
        <v>20</v>
      </c>
      <c r="J670">
        <v>3</v>
      </c>
      <c r="K670">
        <v>455</v>
      </c>
      <c r="L670">
        <v>1365</v>
      </c>
      <c r="M670">
        <v>29</v>
      </c>
      <c r="N670" t="s">
        <v>21</v>
      </c>
      <c r="O670">
        <v>4.7</v>
      </c>
      <c r="P670" s="2">
        <f>EOMONTH(Table1[[#This Row],[Order_Date]],0)</f>
        <v>45382</v>
      </c>
      <c r="Q670" s="3">
        <f>WEEKNUM(Table1[[#This Row],[Order_Date]])</f>
        <v>12</v>
      </c>
      <c r="R670">
        <f>YEAR(Table1[[#This Row],[Order_Date]])</f>
        <v>2024</v>
      </c>
      <c r="S670" t="str">
        <f>IF(Table1[[#This Row],[Quantity]]&gt;=3,"Promo","Regular")</f>
        <v>Promo</v>
      </c>
    </row>
    <row r="671" spans="1:19" x14ac:dyDescent="0.35">
      <c r="A671" t="s">
        <v>2001</v>
      </c>
      <c r="B671" t="s">
        <v>744</v>
      </c>
      <c r="C671" s="1">
        <v>45551</v>
      </c>
      <c r="D671" t="s">
        <v>15</v>
      </c>
      <c r="E671" t="s">
        <v>23</v>
      </c>
      <c r="F671" t="s">
        <v>35</v>
      </c>
      <c r="G671" t="s">
        <v>31</v>
      </c>
      <c r="H671" t="s">
        <v>26</v>
      </c>
      <c r="I671" t="s">
        <v>20</v>
      </c>
      <c r="J671">
        <v>2</v>
      </c>
      <c r="K671">
        <v>253</v>
      </c>
      <c r="L671">
        <v>506</v>
      </c>
      <c r="M671">
        <v>29</v>
      </c>
      <c r="N671" t="s">
        <v>38</v>
      </c>
      <c r="O671">
        <v>3.5</v>
      </c>
      <c r="P671" s="2">
        <f>EOMONTH(Table1[[#This Row],[Order_Date]],0)</f>
        <v>45565</v>
      </c>
      <c r="Q671" s="3">
        <f>WEEKNUM(Table1[[#This Row],[Order_Date]])</f>
        <v>38</v>
      </c>
      <c r="R671">
        <f>YEAR(Table1[[#This Row],[Order_Date]])</f>
        <v>2024</v>
      </c>
      <c r="S671" t="str">
        <f>IF(Table1[[#This Row],[Quantity]]&gt;=3,"Promo","Regular")</f>
        <v>Regular</v>
      </c>
    </row>
    <row r="672" spans="1:19" x14ac:dyDescent="0.35">
      <c r="A672" t="s">
        <v>2002</v>
      </c>
      <c r="B672" t="s">
        <v>745</v>
      </c>
      <c r="C672" s="1">
        <v>45433</v>
      </c>
      <c r="D672" t="s">
        <v>15</v>
      </c>
      <c r="E672" t="s">
        <v>23</v>
      </c>
      <c r="F672" t="s">
        <v>85</v>
      </c>
      <c r="G672" t="s">
        <v>73</v>
      </c>
      <c r="H672" t="s">
        <v>59</v>
      </c>
      <c r="I672" t="s">
        <v>60</v>
      </c>
      <c r="J672">
        <v>5</v>
      </c>
      <c r="K672">
        <v>356</v>
      </c>
      <c r="L672">
        <v>1780</v>
      </c>
      <c r="M672">
        <v>45</v>
      </c>
      <c r="N672" t="s">
        <v>33</v>
      </c>
      <c r="O672">
        <v>3.7</v>
      </c>
      <c r="P672" s="2">
        <f>EOMONTH(Table1[[#This Row],[Order_Date]],0)</f>
        <v>45443</v>
      </c>
      <c r="Q672" s="3">
        <f>WEEKNUM(Table1[[#This Row],[Order_Date]])</f>
        <v>21</v>
      </c>
      <c r="R672">
        <f>YEAR(Table1[[#This Row],[Order_Date]])</f>
        <v>2024</v>
      </c>
      <c r="S672" t="str">
        <f>IF(Table1[[#This Row],[Quantity]]&gt;=3,"Promo","Regular")</f>
        <v>Promo</v>
      </c>
    </row>
    <row r="673" spans="1:19" x14ac:dyDescent="0.35">
      <c r="A673" t="s">
        <v>2002</v>
      </c>
      <c r="B673" t="s">
        <v>746</v>
      </c>
      <c r="C673" s="1">
        <v>45365</v>
      </c>
      <c r="D673" t="s">
        <v>48</v>
      </c>
      <c r="E673" t="s">
        <v>49</v>
      </c>
      <c r="F673" t="s">
        <v>30</v>
      </c>
      <c r="G673" t="s">
        <v>36</v>
      </c>
      <c r="H673" t="s">
        <v>32</v>
      </c>
      <c r="I673" t="s">
        <v>20</v>
      </c>
      <c r="J673">
        <v>2</v>
      </c>
      <c r="K673">
        <v>209</v>
      </c>
      <c r="L673">
        <v>418</v>
      </c>
      <c r="M673">
        <v>53</v>
      </c>
      <c r="N673" t="s">
        <v>38</v>
      </c>
      <c r="O673">
        <v>3.8</v>
      </c>
      <c r="P673" s="2">
        <f>EOMONTH(Table1[[#This Row],[Order_Date]],0)</f>
        <v>45382</v>
      </c>
      <c r="Q673" s="3">
        <f>WEEKNUM(Table1[[#This Row],[Order_Date]])</f>
        <v>11</v>
      </c>
      <c r="R673">
        <f>YEAR(Table1[[#This Row],[Order_Date]])</f>
        <v>2024</v>
      </c>
      <c r="S673" t="str">
        <f>IF(Table1[[#This Row],[Quantity]]&gt;=3,"Promo","Regular")</f>
        <v>Regular</v>
      </c>
    </row>
    <row r="674" spans="1:19" x14ac:dyDescent="0.35">
      <c r="A674" t="s">
        <v>2002</v>
      </c>
      <c r="B674" t="s">
        <v>747</v>
      </c>
      <c r="C674" s="1">
        <v>45549</v>
      </c>
      <c r="D674" t="s">
        <v>15</v>
      </c>
      <c r="E674" t="s">
        <v>16</v>
      </c>
      <c r="F674" t="s">
        <v>72</v>
      </c>
      <c r="G674" t="s">
        <v>36</v>
      </c>
      <c r="H674" t="s">
        <v>55</v>
      </c>
      <c r="I674" t="s">
        <v>20</v>
      </c>
      <c r="J674">
        <v>2</v>
      </c>
      <c r="K674">
        <v>408</v>
      </c>
      <c r="L674">
        <v>816</v>
      </c>
      <c r="M674">
        <v>43</v>
      </c>
      <c r="N674" t="s">
        <v>33</v>
      </c>
      <c r="O674">
        <v>3</v>
      </c>
      <c r="P674" s="2">
        <f>EOMONTH(Table1[[#This Row],[Order_Date]],0)</f>
        <v>45565</v>
      </c>
      <c r="Q674" s="3">
        <f>WEEKNUM(Table1[[#This Row],[Order_Date]])</f>
        <v>37</v>
      </c>
      <c r="R674">
        <f>YEAR(Table1[[#This Row],[Order_Date]])</f>
        <v>2024</v>
      </c>
      <c r="S674" t="str">
        <f>IF(Table1[[#This Row],[Quantity]]&gt;=3,"Promo","Regular")</f>
        <v>Regular</v>
      </c>
    </row>
    <row r="675" spans="1:19" x14ac:dyDescent="0.35">
      <c r="A675" t="s">
        <v>2003</v>
      </c>
      <c r="B675" t="s">
        <v>748</v>
      </c>
      <c r="C675" s="1">
        <v>45476</v>
      </c>
      <c r="D675" t="s">
        <v>57</v>
      </c>
      <c r="E675" t="s">
        <v>136</v>
      </c>
      <c r="F675" t="s">
        <v>17</v>
      </c>
      <c r="G675" t="s">
        <v>18</v>
      </c>
      <c r="H675" t="s">
        <v>26</v>
      </c>
      <c r="I675" t="s">
        <v>20</v>
      </c>
      <c r="J675">
        <v>4</v>
      </c>
      <c r="K675">
        <v>375</v>
      </c>
      <c r="L675">
        <v>1500</v>
      </c>
      <c r="M675">
        <v>22</v>
      </c>
      <c r="N675" t="s">
        <v>21</v>
      </c>
      <c r="O675">
        <v>4.8</v>
      </c>
      <c r="P675" s="2">
        <f>EOMONTH(Table1[[#This Row],[Order_Date]],0)</f>
        <v>45504</v>
      </c>
      <c r="Q675" s="3">
        <f>WEEKNUM(Table1[[#This Row],[Order_Date]])</f>
        <v>27</v>
      </c>
      <c r="R675">
        <f>YEAR(Table1[[#This Row],[Order_Date]])</f>
        <v>2024</v>
      </c>
      <c r="S675" t="str">
        <f>IF(Table1[[#This Row],[Quantity]]&gt;=3,"Promo","Regular")</f>
        <v>Promo</v>
      </c>
    </row>
    <row r="676" spans="1:19" x14ac:dyDescent="0.35">
      <c r="A676" t="s">
        <v>2003</v>
      </c>
      <c r="B676" t="s">
        <v>749</v>
      </c>
      <c r="C676" s="1">
        <v>45586</v>
      </c>
      <c r="D676" t="s">
        <v>57</v>
      </c>
      <c r="E676" t="s">
        <v>105</v>
      </c>
      <c r="F676" t="s">
        <v>85</v>
      </c>
      <c r="G676" t="s">
        <v>73</v>
      </c>
      <c r="H676" t="s">
        <v>50</v>
      </c>
      <c r="I676" t="s">
        <v>20</v>
      </c>
      <c r="J676">
        <v>4</v>
      </c>
      <c r="K676">
        <v>117</v>
      </c>
      <c r="L676">
        <v>468</v>
      </c>
      <c r="M676">
        <v>34</v>
      </c>
      <c r="N676" t="s">
        <v>38</v>
      </c>
      <c r="O676">
        <v>3.4</v>
      </c>
      <c r="P676" s="2">
        <f>EOMONTH(Table1[[#This Row],[Order_Date]],0)</f>
        <v>45596</v>
      </c>
      <c r="Q676" s="3">
        <f>WEEKNUM(Table1[[#This Row],[Order_Date]])</f>
        <v>43</v>
      </c>
      <c r="R676">
        <f>YEAR(Table1[[#This Row],[Order_Date]])</f>
        <v>2024</v>
      </c>
      <c r="S676" t="str">
        <f>IF(Table1[[#This Row],[Quantity]]&gt;=3,"Promo","Regular")</f>
        <v>Promo</v>
      </c>
    </row>
    <row r="677" spans="1:19" x14ac:dyDescent="0.35">
      <c r="A677" t="s">
        <v>2003</v>
      </c>
      <c r="B677" t="s">
        <v>750</v>
      </c>
      <c r="C677" s="1">
        <v>45564</v>
      </c>
      <c r="D677" t="s">
        <v>48</v>
      </c>
      <c r="E677" t="s">
        <v>68</v>
      </c>
      <c r="F677" t="s">
        <v>65</v>
      </c>
      <c r="G677" t="s">
        <v>73</v>
      </c>
      <c r="H677" t="s">
        <v>59</v>
      </c>
      <c r="I677" t="s">
        <v>60</v>
      </c>
      <c r="J677">
        <v>3</v>
      </c>
      <c r="K677">
        <v>407</v>
      </c>
      <c r="L677">
        <v>1221</v>
      </c>
      <c r="M677">
        <v>32</v>
      </c>
      <c r="N677" t="s">
        <v>21</v>
      </c>
      <c r="O677">
        <v>3.8</v>
      </c>
      <c r="P677" s="2">
        <f>EOMONTH(Table1[[#This Row],[Order_Date]],0)</f>
        <v>45565</v>
      </c>
      <c r="Q677" s="3">
        <f>WEEKNUM(Table1[[#This Row],[Order_Date]])</f>
        <v>40</v>
      </c>
      <c r="R677">
        <f>YEAR(Table1[[#This Row],[Order_Date]])</f>
        <v>2024</v>
      </c>
      <c r="S677" t="str">
        <f>IF(Table1[[#This Row],[Quantity]]&gt;=3,"Promo","Regular")</f>
        <v>Promo</v>
      </c>
    </row>
    <row r="678" spans="1:19" x14ac:dyDescent="0.35">
      <c r="A678" t="s">
        <v>2004</v>
      </c>
      <c r="B678" t="s">
        <v>751</v>
      </c>
      <c r="C678" s="1">
        <v>45521</v>
      </c>
      <c r="D678" t="s">
        <v>43</v>
      </c>
      <c r="E678" t="s">
        <v>52</v>
      </c>
      <c r="F678" t="s">
        <v>35</v>
      </c>
      <c r="G678" t="s">
        <v>73</v>
      </c>
      <c r="H678" t="s">
        <v>37</v>
      </c>
      <c r="I678" t="s">
        <v>20</v>
      </c>
      <c r="J678">
        <v>3</v>
      </c>
      <c r="K678">
        <v>292</v>
      </c>
      <c r="L678">
        <v>876</v>
      </c>
      <c r="M678">
        <v>22</v>
      </c>
      <c r="N678" t="s">
        <v>21</v>
      </c>
      <c r="O678">
        <v>4.9000000000000004</v>
      </c>
      <c r="P678" s="2">
        <f>EOMONTH(Table1[[#This Row],[Order_Date]],0)</f>
        <v>45535</v>
      </c>
      <c r="Q678" s="3">
        <f>WEEKNUM(Table1[[#This Row],[Order_Date]])</f>
        <v>33</v>
      </c>
      <c r="R678">
        <f>YEAR(Table1[[#This Row],[Order_Date]])</f>
        <v>2024</v>
      </c>
      <c r="S678" t="str">
        <f>IF(Table1[[#This Row],[Quantity]]&gt;=3,"Promo","Regular")</f>
        <v>Promo</v>
      </c>
    </row>
    <row r="679" spans="1:19" x14ac:dyDescent="0.35">
      <c r="A679" t="s">
        <v>2004</v>
      </c>
      <c r="B679" t="s">
        <v>752</v>
      </c>
      <c r="C679" s="1">
        <v>45546</v>
      </c>
      <c r="D679" t="s">
        <v>15</v>
      </c>
      <c r="E679" t="s">
        <v>16</v>
      </c>
      <c r="F679" t="s">
        <v>69</v>
      </c>
      <c r="G679" t="s">
        <v>31</v>
      </c>
      <c r="H679" t="s">
        <v>59</v>
      </c>
      <c r="I679" t="s">
        <v>60</v>
      </c>
      <c r="J679">
        <v>5</v>
      </c>
      <c r="K679">
        <v>165</v>
      </c>
      <c r="L679">
        <v>825</v>
      </c>
      <c r="M679">
        <v>29</v>
      </c>
      <c r="N679" t="s">
        <v>33</v>
      </c>
      <c r="O679">
        <v>4.7</v>
      </c>
      <c r="P679" s="2">
        <f>EOMONTH(Table1[[#This Row],[Order_Date]],0)</f>
        <v>45565</v>
      </c>
      <c r="Q679" s="3">
        <f>WEEKNUM(Table1[[#This Row],[Order_Date]])</f>
        <v>37</v>
      </c>
      <c r="R679">
        <f>YEAR(Table1[[#This Row],[Order_Date]])</f>
        <v>2024</v>
      </c>
      <c r="S679" t="str">
        <f>IF(Table1[[#This Row],[Quantity]]&gt;=3,"Promo","Regular")</f>
        <v>Promo</v>
      </c>
    </row>
    <row r="680" spans="1:19" x14ac:dyDescent="0.35">
      <c r="A680" t="s">
        <v>2004</v>
      </c>
      <c r="B680" t="s">
        <v>753</v>
      </c>
      <c r="C680" s="1">
        <v>45513</v>
      </c>
      <c r="D680" t="s">
        <v>15</v>
      </c>
      <c r="E680" t="s">
        <v>95</v>
      </c>
      <c r="F680" t="s">
        <v>45</v>
      </c>
      <c r="G680" t="s">
        <v>46</v>
      </c>
      <c r="H680" t="s">
        <v>19</v>
      </c>
      <c r="I680" t="s">
        <v>20</v>
      </c>
      <c r="J680">
        <v>2</v>
      </c>
      <c r="K680">
        <v>268</v>
      </c>
      <c r="L680">
        <v>536</v>
      </c>
      <c r="M680">
        <v>60</v>
      </c>
      <c r="N680" t="s">
        <v>33</v>
      </c>
      <c r="O680">
        <v>4.9000000000000004</v>
      </c>
      <c r="P680" s="2">
        <f>EOMONTH(Table1[[#This Row],[Order_Date]],0)</f>
        <v>45535</v>
      </c>
      <c r="Q680" s="3">
        <f>WEEKNUM(Table1[[#This Row],[Order_Date]])</f>
        <v>32</v>
      </c>
      <c r="R680">
        <f>YEAR(Table1[[#This Row],[Order_Date]])</f>
        <v>2024</v>
      </c>
      <c r="S680" t="str">
        <f>IF(Table1[[#This Row],[Quantity]]&gt;=3,"Promo","Regular")</f>
        <v>Regular</v>
      </c>
    </row>
    <row r="681" spans="1:19" x14ac:dyDescent="0.35">
      <c r="A681" t="s">
        <v>2004</v>
      </c>
      <c r="B681" t="s">
        <v>754</v>
      </c>
      <c r="C681" s="1">
        <v>45511</v>
      </c>
      <c r="D681" t="s">
        <v>28</v>
      </c>
      <c r="E681" t="s">
        <v>77</v>
      </c>
      <c r="F681" t="s">
        <v>24</v>
      </c>
      <c r="G681" t="s">
        <v>25</v>
      </c>
      <c r="H681" t="s">
        <v>53</v>
      </c>
      <c r="I681" t="s">
        <v>20</v>
      </c>
      <c r="J681">
        <v>3</v>
      </c>
      <c r="K681">
        <v>355</v>
      </c>
      <c r="L681">
        <v>1065</v>
      </c>
      <c r="M681">
        <v>28</v>
      </c>
      <c r="N681" t="s">
        <v>21</v>
      </c>
      <c r="O681">
        <v>5</v>
      </c>
      <c r="P681" s="2">
        <f>EOMONTH(Table1[[#This Row],[Order_Date]],0)</f>
        <v>45535</v>
      </c>
      <c r="Q681" s="3">
        <f>WEEKNUM(Table1[[#This Row],[Order_Date]])</f>
        <v>32</v>
      </c>
      <c r="R681">
        <f>YEAR(Table1[[#This Row],[Order_Date]])</f>
        <v>2024</v>
      </c>
      <c r="S681" t="str">
        <f>IF(Table1[[#This Row],[Quantity]]&gt;=3,"Promo","Regular")</f>
        <v>Promo</v>
      </c>
    </row>
    <row r="682" spans="1:19" x14ac:dyDescent="0.35">
      <c r="A682" t="s">
        <v>2005</v>
      </c>
      <c r="B682" t="s">
        <v>755</v>
      </c>
      <c r="C682" s="1">
        <v>45417</v>
      </c>
      <c r="D682" t="s">
        <v>43</v>
      </c>
      <c r="E682" t="s">
        <v>93</v>
      </c>
      <c r="F682" t="s">
        <v>35</v>
      </c>
      <c r="G682" t="s">
        <v>31</v>
      </c>
      <c r="H682" t="s">
        <v>66</v>
      </c>
      <c r="I682" t="s">
        <v>20</v>
      </c>
      <c r="J682">
        <v>5</v>
      </c>
      <c r="K682">
        <v>118</v>
      </c>
      <c r="L682">
        <v>590</v>
      </c>
      <c r="M682">
        <v>43</v>
      </c>
      <c r="N682" t="s">
        <v>33</v>
      </c>
      <c r="O682">
        <v>4.2</v>
      </c>
      <c r="P682" s="2">
        <f>EOMONTH(Table1[[#This Row],[Order_Date]],0)</f>
        <v>45443</v>
      </c>
      <c r="Q682" s="3">
        <f>WEEKNUM(Table1[[#This Row],[Order_Date]])</f>
        <v>19</v>
      </c>
      <c r="R682">
        <f>YEAR(Table1[[#This Row],[Order_Date]])</f>
        <v>2024</v>
      </c>
      <c r="S682" t="str">
        <f>IF(Table1[[#This Row],[Quantity]]&gt;=3,"Promo","Regular")</f>
        <v>Promo</v>
      </c>
    </row>
    <row r="683" spans="1:19" x14ac:dyDescent="0.35">
      <c r="A683" t="s">
        <v>2005</v>
      </c>
      <c r="B683" t="s">
        <v>756</v>
      </c>
      <c r="C683" s="1">
        <v>45470</v>
      </c>
      <c r="D683" t="s">
        <v>57</v>
      </c>
      <c r="E683" t="s">
        <v>75</v>
      </c>
      <c r="F683" t="s">
        <v>65</v>
      </c>
      <c r="G683" t="s">
        <v>36</v>
      </c>
      <c r="H683" t="s">
        <v>37</v>
      </c>
      <c r="I683" t="s">
        <v>20</v>
      </c>
      <c r="J683">
        <v>2</v>
      </c>
      <c r="K683">
        <v>412</v>
      </c>
      <c r="L683">
        <v>824</v>
      </c>
      <c r="M683">
        <v>32</v>
      </c>
      <c r="N683" t="s">
        <v>21</v>
      </c>
      <c r="O683">
        <v>4.0999999999999996</v>
      </c>
      <c r="P683" s="2">
        <f>EOMONTH(Table1[[#This Row],[Order_Date]],0)</f>
        <v>45473</v>
      </c>
      <c r="Q683" s="3">
        <f>WEEKNUM(Table1[[#This Row],[Order_Date]])</f>
        <v>26</v>
      </c>
      <c r="R683">
        <f>YEAR(Table1[[#This Row],[Order_Date]])</f>
        <v>2024</v>
      </c>
      <c r="S683" t="str">
        <f>IF(Table1[[#This Row],[Quantity]]&gt;=3,"Promo","Regular")</f>
        <v>Regular</v>
      </c>
    </row>
    <row r="684" spans="1:19" x14ac:dyDescent="0.35">
      <c r="A684" t="s">
        <v>2005</v>
      </c>
      <c r="B684" t="s">
        <v>757</v>
      </c>
      <c r="C684" s="1">
        <v>45401</v>
      </c>
      <c r="D684" t="s">
        <v>48</v>
      </c>
      <c r="E684" t="s">
        <v>49</v>
      </c>
      <c r="F684" t="s">
        <v>17</v>
      </c>
      <c r="G684" t="s">
        <v>36</v>
      </c>
      <c r="H684" t="s">
        <v>19</v>
      </c>
      <c r="I684" t="s">
        <v>20</v>
      </c>
      <c r="J684">
        <v>3</v>
      </c>
      <c r="K684">
        <v>317</v>
      </c>
      <c r="L684">
        <v>951</v>
      </c>
      <c r="M684">
        <v>58</v>
      </c>
      <c r="N684" t="s">
        <v>38</v>
      </c>
      <c r="O684">
        <v>3.7</v>
      </c>
      <c r="P684" s="2">
        <f>EOMONTH(Table1[[#This Row],[Order_Date]],0)</f>
        <v>45412</v>
      </c>
      <c r="Q684" s="3">
        <f>WEEKNUM(Table1[[#This Row],[Order_Date]])</f>
        <v>16</v>
      </c>
      <c r="R684">
        <f>YEAR(Table1[[#This Row],[Order_Date]])</f>
        <v>2024</v>
      </c>
      <c r="S684" t="str">
        <f>IF(Table1[[#This Row],[Quantity]]&gt;=3,"Promo","Regular")</f>
        <v>Promo</v>
      </c>
    </row>
    <row r="685" spans="1:19" x14ac:dyDescent="0.35">
      <c r="A685" t="s">
        <v>2005</v>
      </c>
      <c r="B685" t="s">
        <v>758</v>
      </c>
      <c r="C685" s="1">
        <v>45432</v>
      </c>
      <c r="D685" t="s">
        <v>57</v>
      </c>
      <c r="E685" t="s">
        <v>105</v>
      </c>
      <c r="F685" t="s">
        <v>17</v>
      </c>
      <c r="G685" t="s">
        <v>25</v>
      </c>
      <c r="H685" t="s">
        <v>55</v>
      </c>
      <c r="I685" t="s">
        <v>20</v>
      </c>
      <c r="J685">
        <v>5</v>
      </c>
      <c r="K685">
        <v>339</v>
      </c>
      <c r="L685">
        <v>1695</v>
      </c>
      <c r="M685">
        <v>59</v>
      </c>
      <c r="N685" t="s">
        <v>21</v>
      </c>
      <c r="O685">
        <v>4.0999999999999996</v>
      </c>
      <c r="P685" s="2">
        <f>EOMONTH(Table1[[#This Row],[Order_Date]],0)</f>
        <v>45443</v>
      </c>
      <c r="Q685" s="3">
        <f>WEEKNUM(Table1[[#This Row],[Order_Date]])</f>
        <v>21</v>
      </c>
      <c r="R685">
        <f>YEAR(Table1[[#This Row],[Order_Date]])</f>
        <v>2024</v>
      </c>
      <c r="S685" t="str">
        <f>IF(Table1[[#This Row],[Quantity]]&gt;=3,"Promo","Regular")</f>
        <v>Promo</v>
      </c>
    </row>
    <row r="686" spans="1:19" x14ac:dyDescent="0.35">
      <c r="A686" t="s">
        <v>2005</v>
      </c>
      <c r="B686" t="s">
        <v>759</v>
      </c>
      <c r="C686" s="1">
        <v>45570</v>
      </c>
      <c r="D686" t="s">
        <v>57</v>
      </c>
      <c r="E686" t="s">
        <v>58</v>
      </c>
      <c r="F686" t="s">
        <v>72</v>
      </c>
      <c r="G686" t="s">
        <v>25</v>
      </c>
      <c r="H686" t="s">
        <v>53</v>
      </c>
      <c r="I686" t="s">
        <v>20</v>
      </c>
      <c r="J686">
        <v>4</v>
      </c>
      <c r="K686">
        <v>480</v>
      </c>
      <c r="L686">
        <v>1920</v>
      </c>
      <c r="M686">
        <v>44</v>
      </c>
      <c r="N686" t="s">
        <v>38</v>
      </c>
      <c r="O686">
        <v>3.8</v>
      </c>
      <c r="P686" s="2">
        <f>EOMONTH(Table1[[#This Row],[Order_Date]],0)</f>
        <v>45596</v>
      </c>
      <c r="Q686" s="3">
        <f>WEEKNUM(Table1[[#This Row],[Order_Date]])</f>
        <v>40</v>
      </c>
      <c r="R686">
        <f>YEAR(Table1[[#This Row],[Order_Date]])</f>
        <v>2024</v>
      </c>
      <c r="S686" t="str">
        <f>IF(Table1[[#This Row],[Quantity]]&gt;=3,"Promo","Regular")</f>
        <v>Promo</v>
      </c>
    </row>
    <row r="687" spans="1:19" x14ac:dyDescent="0.35">
      <c r="A687" t="s">
        <v>2006</v>
      </c>
      <c r="B687" t="s">
        <v>760</v>
      </c>
      <c r="C687" s="1">
        <v>45453</v>
      </c>
      <c r="D687" t="s">
        <v>48</v>
      </c>
      <c r="E687" t="s">
        <v>132</v>
      </c>
      <c r="F687" t="s">
        <v>17</v>
      </c>
      <c r="G687" t="s">
        <v>18</v>
      </c>
      <c r="H687" t="s">
        <v>37</v>
      </c>
      <c r="I687" t="s">
        <v>20</v>
      </c>
      <c r="J687">
        <v>4</v>
      </c>
      <c r="K687">
        <v>410</v>
      </c>
      <c r="L687">
        <v>1640</v>
      </c>
      <c r="M687">
        <v>59</v>
      </c>
      <c r="N687" t="s">
        <v>21</v>
      </c>
      <c r="O687">
        <v>4.9000000000000004</v>
      </c>
      <c r="P687" s="2">
        <f>EOMONTH(Table1[[#This Row],[Order_Date]],0)</f>
        <v>45473</v>
      </c>
      <c r="Q687" s="3">
        <f>WEEKNUM(Table1[[#This Row],[Order_Date]])</f>
        <v>24</v>
      </c>
      <c r="R687">
        <f>YEAR(Table1[[#This Row],[Order_Date]])</f>
        <v>2024</v>
      </c>
      <c r="S687" t="str">
        <f>IF(Table1[[#This Row],[Quantity]]&gt;=3,"Promo","Regular")</f>
        <v>Promo</v>
      </c>
    </row>
    <row r="688" spans="1:19" x14ac:dyDescent="0.35">
      <c r="A688" t="s">
        <v>2006</v>
      </c>
      <c r="B688" t="s">
        <v>761</v>
      </c>
      <c r="C688" s="1">
        <v>45543</v>
      </c>
      <c r="D688" t="s">
        <v>43</v>
      </c>
      <c r="E688" t="s">
        <v>44</v>
      </c>
      <c r="F688" t="s">
        <v>17</v>
      </c>
      <c r="G688" t="s">
        <v>73</v>
      </c>
      <c r="H688" t="s">
        <v>32</v>
      </c>
      <c r="I688" t="s">
        <v>20</v>
      </c>
      <c r="J688">
        <v>2</v>
      </c>
      <c r="K688">
        <v>349</v>
      </c>
      <c r="L688">
        <v>698</v>
      </c>
      <c r="M688">
        <v>28</v>
      </c>
      <c r="N688" t="s">
        <v>38</v>
      </c>
      <c r="O688">
        <v>4.3</v>
      </c>
      <c r="P688" s="2">
        <f>EOMONTH(Table1[[#This Row],[Order_Date]],0)</f>
        <v>45565</v>
      </c>
      <c r="Q688" s="3">
        <f>WEEKNUM(Table1[[#This Row],[Order_Date]])</f>
        <v>37</v>
      </c>
      <c r="R688">
        <f>YEAR(Table1[[#This Row],[Order_Date]])</f>
        <v>2024</v>
      </c>
      <c r="S688" t="str">
        <f>IF(Table1[[#This Row],[Quantity]]&gt;=3,"Promo","Regular")</f>
        <v>Regular</v>
      </c>
    </row>
    <row r="689" spans="1:19" x14ac:dyDescent="0.35">
      <c r="A689" t="s">
        <v>2007</v>
      </c>
      <c r="B689" t="s">
        <v>762</v>
      </c>
      <c r="C689" s="1">
        <v>45477</v>
      </c>
      <c r="D689" t="s">
        <v>48</v>
      </c>
      <c r="E689" t="s">
        <v>127</v>
      </c>
      <c r="F689" t="s">
        <v>24</v>
      </c>
      <c r="G689" t="s">
        <v>46</v>
      </c>
      <c r="H689" t="s">
        <v>59</v>
      </c>
      <c r="I689" t="s">
        <v>60</v>
      </c>
      <c r="J689">
        <v>2</v>
      </c>
      <c r="K689">
        <v>341</v>
      </c>
      <c r="L689">
        <v>682</v>
      </c>
      <c r="M689">
        <v>50</v>
      </c>
      <c r="N689" t="s">
        <v>33</v>
      </c>
      <c r="O689">
        <v>3.1</v>
      </c>
      <c r="P689" s="2">
        <f>EOMONTH(Table1[[#This Row],[Order_Date]],0)</f>
        <v>45504</v>
      </c>
      <c r="Q689" s="3">
        <f>WEEKNUM(Table1[[#This Row],[Order_Date]])</f>
        <v>27</v>
      </c>
      <c r="R689">
        <f>YEAR(Table1[[#This Row],[Order_Date]])</f>
        <v>2024</v>
      </c>
      <c r="S689" t="str">
        <f>IF(Table1[[#This Row],[Quantity]]&gt;=3,"Promo","Regular")</f>
        <v>Regular</v>
      </c>
    </row>
    <row r="690" spans="1:19" x14ac:dyDescent="0.35">
      <c r="A690" t="s">
        <v>2007</v>
      </c>
      <c r="B690" t="s">
        <v>763</v>
      </c>
      <c r="C690" s="1">
        <v>45369</v>
      </c>
      <c r="D690" t="s">
        <v>28</v>
      </c>
      <c r="E690" t="s">
        <v>77</v>
      </c>
      <c r="F690" t="s">
        <v>35</v>
      </c>
      <c r="G690" t="s">
        <v>31</v>
      </c>
      <c r="H690" t="s">
        <v>59</v>
      </c>
      <c r="I690" t="s">
        <v>60</v>
      </c>
      <c r="J690">
        <v>4</v>
      </c>
      <c r="K690">
        <v>468</v>
      </c>
      <c r="L690">
        <v>1872</v>
      </c>
      <c r="M690">
        <v>33</v>
      </c>
      <c r="N690" t="s">
        <v>21</v>
      </c>
      <c r="O690">
        <v>3.4</v>
      </c>
      <c r="P690" s="2">
        <f>EOMONTH(Table1[[#This Row],[Order_Date]],0)</f>
        <v>45382</v>
      </c>
      <c r="Q690" s="3">
        <f>WEEKNUM(Table1[[#This Row],[Order_Date]])</f>
        <v>12</v>
      </c>
      <c r="R690">
        <f>YEAR(Table1[[#This Row],[Order_Date]])</f>
        <v>2024</v>
      </c>
      <c r="S690" t="str">
        <f>IF(Table1[[#This Row],[Quantity]]&gt;=3,"Promo","Regular")</f>
        <v>Promo</v>
      </c>
    </row>
    <row r="691" spans="1:19" x14ac:dyDescent="0.35">
      <c r="A691" t="s">
        <v>2007</v>
      </c>
      <c r="B691" t="s">
        <v>764</v>
      </c>
      <c r="C691" s="1">
        <v>45507</v>
      </c>
      <c r="D691" t="s">
        <v>48</v>
      </c>
      <c r="E691" t="s">
        <v>68</v>
      </c>
      <c r="F691" t="s">
        <v>30</v>
      </c>
      <c r="G691" t="s">
        <v>46</v>
      </c>
      <c r="H691" t="s">
        <v>50</v>
      </c>
      <c r="I691" t="s">
        <v>20</v>
      </c>
      <c r="J691">
        <v>1</v>
      </c>
      <c r="K691">
        <v>260</v>
      </c>
      <c r="L691">
        <v>260</v>
      </c>
      <c r="M691">
        <v>59</v>
      </c>
      <c r="N691" t="s">
        <v>33</v>
      </c>
      <c r="O691">
        <v>4</v>
      </c>
      <c r="P691" s="2">
        <f>EOMONTH(Table1[[#This Row],[Order_Date]],0)</f>
        <v>45535</v>
      </c>
      <c r="Q691" s="3">
        <f>WEEKNUM(Table1[[#This Row],[Order_Date]])</f>
        <v>31</v>
      </c>
      <c r="R691">
        <f>YEAR(Table1[[#This Row],[Order_Date]])</f>
        <v>2024</v>
      </c>
      <c r="S691" t="str">
        <f>IF(Table1[[#This Row],[Quantity]]&gt;=3,"Promo","Regular")</f>
        <v>Regular</v>
      </c>
    </row>
    <row r="692" spans="1:19" x14ac:dyDescent="0.35">
      <c r="A692" t="s">
        <v>2007</v>
      </c>
      <c r="B692" t="s">
        <v>765</v>
      </c>
      <c r="C692" s="1">
        <v>45539</v>
      </c>
      <c r="D692" t="s">
        <v>28</v>
      </c>
      <c r="E692" t="s">
        <v>71</v>
      </c>
      <c r="F692" t="s">
        <v>41</v>
      </c>
      <c r="G692" t="s">
        <v>31</v>
      </c>
      <c r="H692" t="s">
        <v>50</v>
      </c>
      <c r="I692" t="s">
        <v>20</v>
      </c>
      <c r="J692">
        <v>4</v>
      </c>
      <c r="K692">
        <v>374</v>
      </c>
      <c r="L692">
        <v>1496</v>
      </c>
      <c r="M692">
        <v>47</v>
      </c>
      <c r="N692" t="s">
        <v>21</v>
      </c>
      <c r="O692">
        <v>4.2</v>
      </c>
      <c r="P692" s="2">
        <f>EOMONTH(Table1[[#This Row],[Order_Date]],0)</f>
        <v>45565</v>
      </c>
      <c r="Q692" s="3">
        <f>WEEKNUM(Table1[[#This Row],[Order_Date]])</f>
        <v>36</v>
      </c>
      <c r="R692">
        <f>YEAR(Table1[[#This Row],[Order_Date]])</f>
        <v>2024</v>
      </c>
      <c r="S692" t="str">
        <f>IF(Table1[[#This Row],[Quantity]]&gt;=3,"Promo","Regular")</f>
        <v>Promo</v>
      </c>
    </row>
    <row r="693" spans="1:19" x14ac:dyDescent="0.35">
      <c r="A693" t="s">
        <v>2007</v>
      </c>
      <c r="B693" t="s">
        <v>766</v>
      </c>
      <c r="C693" s="1">
        <v>45304</v>
      </c>
      <c r="D693" t="s">
        <v>28</v>
      </c>
      <c r="E693" t="s">
        <v>98</v>
      </c>
      <c r="F693" t="s">
        <v>69</v>
      </c>
      <c r="G693" t="s">
        <v>73</v>
      </c>
      <c r="H693" t="s">
        <v>59</v>
      </c>
      <c r="I693" t="s">
        <v>60</v>
      </c>
      <c r="J693">
        <v>3</v>
      </c>
      <c r="K693">
        <v>266</v>
      </c>
      <c r="L693">
        <v>798</v>
      </c>
      <c r="M693">
        <v>60</v>
      </c>
      <c r="N693" t="s">
        <v>21</v>
      </c>
      <c r="O693">
        <v>4.0999999999999996</v>
      </c>
      <c r="P693" s="2">
        <f>EOMONTH(Table1[[#This Row],[Order_Date]],0)</f>
        <v>45322</v>
      </c>
      <c r="Q693" s="3">
        <f>WEEKNUM(Table1[[#This Row],[Order_Date]])</f>
        <v>2</v>
      </c>
      <c r="R693">
        <f>YEAR(Table1[[#This Row],[Order_Date]])</f>
        <v>2024</v>
      </c>
      <c r="S693" t="str">
        <f>IF(Table1[[#This Row],[Quantity]]&gt;=3,"Promo","Regular")</f>
        <v>Promo</v>
      </c>
    </row>
    <row r="694" spans="1:19" x14ac:dyDescent="0.35">
      <c r="A694" t="s">
        <v>2008</v>
      </c>
      <c r="B694" t="s">
        <v>767</v>
      </c>
      <c r="C694" s="1">
        <v>45430</v>
      </c>
      <c r="D694" t="s">
        <v>43</v>
      </c>
      <c r="E694" t="s">
        <v>52</v>
      </c>
      <c r="F694" t="s">
        <v>17</v>
      </c>
      <c r="G694" t="s">
        <v>36</v>
      </c>
      <c r="H694" t="s">
        <v>120</v>
      </c>
      <c r="I694" t="s">
        <v>60</v>
      </c>
      <c r="J694">
        <v>2</v>
      </c>
      <c r="K694">
        <v>368</v>
      </c>
      <c r="L694">
        <v>736</v>
      </c>
      <c r="M694">
        <v>47</v>
      </c>
      <c r="N694" t="s">
        <v>38</v>
      </c>
      <c r="O694">
        <v>3.7</v>
      </c>
      <c r="P694" s="2">
        <f>EOMONTH(Table1[[#This Row],[Order_Date]],0)</f>
        <v>45443</v>
      </c>
      <c r="Q694" s="3">
        <f>WEEKNUM(Table1[[#This Row],[Order_Date]])</f>
        <v>20</v>
      </c>
      <c r="R694">
        <f>YEAR(Table1[[#This Row],[Order_Date]])</f>
        <v>2024</v>
      </c>
      <c r="S694" t="str">
        <f>IF(Table1[[#This Row],[Quantity]]&gt;=3,"Promo","Regular")</f>
        <v>Regular</v>
      </c>
    </row>
    <row r="695" spans="1:19" x14ac:dyDescent="0.35">
      <c r="A695" t="s">
        <v>2008</v>
      </c>
      <c r="B695" t="s">
        <v>768</v>
      </c>
      <c r="C695" s="1">
        <v>45484</v>
      </c>
      <c r="D695" t="s">
        <v>28</v>
      </c>
      <c r="E695" t="s">
        <v>71</v>
      </c>
      <c r="F695" t="s">
        <v>69</v>
      </c>
      <c r="G695" t="s">
        <v>31</v>
      </c>
      <c r="H695" t="s">
        <v>120</v>
      </c>
      <c r="I695" t="s">
        <v>60</v>
      </c>
      <c r="J695">
        <v>1</v>
      </c>
      <c r="K695">
        <v>131</v>
      </c>
      <c r="L695">
        <v>131</v>
      </c>
      <c r="M695">
        <v>45</v>
      </c>
      <c r="N695" t="s">
        <v>33</v>
      </c>
      <c r="O695">
        <v>3.8</v>
      </c>
      <c r="P695" s="2">
        <f>EOMONTH(Table1[[#This Row],[Order_Date]],0)</f>
        <v>45504</v>
      </c>
      <c r="Q695" s="3">
        <f>WEEKNUM(Table1[[#This Row],[Order_Date]])</f>
        <v>28</v>
      </c>
      <c r="R695">
        <f>YEAR(Table1[[#This Row],[Order_Date]])</f>
        <v>2024</v>
      </c>
      <c r="S695" t="str">
        <f>IF(Table1[[#This Row],[Quantity]]&gt;=3,"Promo","Regular")</f>
        <v>Regular</v>
      </c>
    </row>
    <row r="696" spans="1:19" x14ac:dyDescent="0.35">
      <c r="A696" t="s">
        <v>2008</v>
      </c>
      <c r="B696" t="s">
        <v>769</v>
      </c>
      <c r="C696" s="1">
        <v>45582</v>
      </c>
      <c r="D696" t="s">
        <v>28</v>
      </c>
      <c r="E696" t="s">
        <v>71</v>
      </c>
      <c r="F696" t="s">
        <v>30</v>
      </c>
      <c r="G696" t="s">
        <v>36</v>
      </c>
      <c r="H696" t="s">
        <v>120</v>
      </c>
      <c r="I696" t="s">
        <v>60</v>
      </c>
      <c r="J696">
        <v>1</v>
      </c>
      <c r="K696">
        <v>489</v>
      </c>
      <c r="L696">
        <v>489</v>
      </c>
      <c r="M696">
        <v>32</v>
      </c>
      <c r="N696" t="s">
        <v>21</v>
      </c>
      <c r="O696">
        <v>3.1</v>
      </c>
      <c r="P696" s="2">
        <f>EOMONTH(Table1[[#This Row],[Order_Date]],0)</f>
        <v>45596</v>
      </c>
      <c r="Q696" s="3">
        <f>WEEKNUM(Table1[[#This Row],[Order_Date]])</f>
        <v>42</v>
      </c>
      <c r="R696">
        <f>YEAR(Table1[[#This Row],[Order_Date]])</f>
        <v>2024</v>
      </c>
      <c r="S696" t="str">
        <f>IF(Table1[[#This Row],[Quantity]]&gt;=3,"Promo","Regular")</f>
        <v>Regular</v>
      </c>
    </row>
    <row r="697" spans="1:19" x14ac:dyDescent="0.35">
      <c r="A697" t="s">
        <v>2009</v>
      </c>
      <c r="B697" t="s">
        <v>770</v>
      </c>
      <c r="C697" s="1">
        <v>45540</v>
      </c>
      <c r="D697" t="s">
        <v>48</v>
      </c>
      <c r="E697" t="s">
        <v>68</v>
      </c>
      <c r="F697" t="s">
        <v>72</v>
      </c>
      <c r="G697" t="s">
        <v>73</v>
      </c>
      <c r="H697" t="s">
        <v>32</v>
      </c>
      <c r="I697" t="s">
        <v>20</v>
      </c>
      <c r="J697">
        <v>1</v>
      </c>
      <c r="K697">
        <v>451</v>
      </c>
      <c r="L697">
        <v>451</v>
      </c>
      <c r="M697">
        <v>21</v>
      </c>
      <c r="N697" t="s">
        <v>38</v>
      </c>
      <c r="O697">
        <v>4.3</v>
      </c>
      <c r="P697" s="2">
        <f>EOMONTH(Table1[[#This Row],[Order_Date]],0)</f>
        <v>45565</v>
      </c>
      <c r="Q697" s="3">
        <f>WEEKNUM(Table1[[#This Row],[Order_Date]])</f>
        <v>36</v>
      </c>
      <c r="R697">
        <f>YEAR(Table1[[#This Row],[Order_Date]])</f>
        <v>2024</v>
      </c>
      <c r="S697" t="str">
        <f>IF(Table1[[#This Row],[Quantity]]&gt;=3,"Promo","Regular")</f>
        <v>Regular</v>
      </c>
    </row>
    <row r="698" spans="1:19" x14ac:dyDescent="0.35">
      <c r="A698" t="s">
        <v>2009</v>
      </c>
      <c r="B698" t="s">
        <v>771</v>
      </c>
      <c r="C698" s="1">
        <v>45592</v>
      </c>
      <c r="D698" t="s">
        <v>15</v>
      </c>
      <c r="E698" t="s">
        <v>23</v>
      </c>
      <c r="F698" t="s">
        <v>17</v>
      </c>
      <c r="G698" t="s">
        <v>73</v>
      </c>
      <c r="H698" t="s">
        <v>59</v>
      </c>
      <c r="I698" t="s">
        <v>60</v>
      </c>
      <c r="J698">
        <v>3</v>
      </c>
      <c r="K698">
        <v>212</v>
      </c>
      <c r="L698">
        <v>636</v>
      </c>
      <c r="M698">
        <v>32</v>
      </c>
      <c r="N698" t="s">
        <v>21</v>
      </c>
      <c r="O698">
        <v>3</v>
      </c>
      <c r="P698" s="2">
        <f>EOMONTH(Table1[[#This Row],[Order_Date]],0)</f>
        <v>45596</v>
      </c>
      <c r="Q698" s="3">
        <f>WEEKNUM(Table1[[#This Row],[Order_Date]])</f>
        <v>44</v>
      </c>
      <c r="R698">
        <f>YEAR(Table1[[#This Row],[Order_Date]])</f>
        <v>2024</v>
      </c>
      <c r="S698" t="str">
        <f>IF(Table1[[#This Row],[Quantity]]&gt;=3,"Promo","Regular")</f>
        <v>Promo</v>
      </c>
    </row>
    <row r="699" spans="1:19" x14ac:dyDescent="0.35">
      <c r="A699" t="s">
        <v>2010</v>
      </c>
      <c r="B699" t="s">
        <v>772</v>
      </c>
      <c r="C699" s="1">
        <v>45504</v>
      </c>
      <c r="D699" t="s">
        <v>43</v>
      </c>
      <c r="E699" t="s">
        <v>93</v>
      </c>
      <c r="F699" t="s">
        <v>69</v>
      </c>
      <c r="G699" t="s">
        <v>31</v>
      </c>
      <c r="H699" t="s">
        <v>37</v>
      </c>
      <c r="I699" t="s">
        <v>20</v>
      </c>
      <c r="J699">
        <v>2</v>
      </c>
      <c r="K699">
        <v>104</v>
      </c>
      <c r="L699">
        <v>208</v>
      </c>
      <c r="M699">
        <v>29</v>
      </c>
      <c r="N699" t="s">
        <v>21</v>
      </c>
      <c r="O699">
        <v>3.4</v>
      </c>
      <c r="P699" s="2">
        <f>EOMONTH(Table1[[#This Row],[Order_Date]],0)</f>
        <v>45504</v>
      </c>
      <c r="Q699" s="3">
        <f>WEEKNUM(Table1[[#This Row],[Order_Date]])</f>
        <v>31</v>
      </c>
      <c r="R699">
        <f>YEAR(Table1[[#This Row],[Order_Date]])</f>
        <v>2024</v>
      </c>
      <c r="S699" t="str">
        <f>IF(Table1[[#This Row],[Quantity]]&gt;=3,"Promo","Regular")</f>
        <v>Regular</v>
      </c>
    </row>
    <row r="700" spans="1:19" x14ac:dyDescent="0.35">
      <c r="A700" t="s">
        <v>2010</v>
      </c>
      <c r="B700" t="s">
        <v>773</v>
      </c>
      <c r="C700" s="1">
        <v>45455</v>
      </c>
      <c r="D700" t="s">
        <v>43</v>
      </c>
      <c r="E700" t="s">
        <v>110</v>
      </c>
      <c r="F700" t="s">
        <v>72</v>
      </c>
      <c r="G700" t="s">
        <v>46</v>
      </c>
      <c r="H700" t="s">
        <v>32</v>
      </c>
      <c r="I700" t="s">
        <v>20</v>
      </c>
      <c r="J700">
        <v>2</v>
      </c>
      <c r="K700">
        <v>421</v>
      </c>
      <c r="L700">
        <v>842</v>
      </c>
      <c r="M700">
        <v>45</v>
      </c>
      <c r="N700" t="s">
        <v>33</v>
      </c>
      <c r="O700">
        <v>3.4</v>
      </c>
      <c r="P700" s="2">
        <f>EOMONTH(Table1[[#This Row],[Order_Date]],0)</f>
        <v>45473</v>
      </c>
      <c r="Q700" s="3">
        <f>WEEKNUM(Table1[[#This Row],[Order_Date]])</f>
        <v>24</v>
      </c>
      <c r="R700">
        <f>YEAR(Table1[[#This Row],[Order_Date]])</f>
        <v>2024</v>
      </c>
      <c r="S700" t="str">
        <f>IF(Table1[[#This Row],[Quantity]]&gt;=3,"Promo","Regular")</f>
        <v>Regular</v>
      </c>
    </row>
    <row r="701" spans="1:19" x14ac:dyDescent="0.35">
      <c r="A701" t="s">
        <v>2011</v>
      </c>
      <c r="B701" t="s">
        <v>774</v>
      </c>
      <c r="C701" s="1">
        <v>45343</v>
      </c>
      <c r="D701" t="s">
        <v>57</v>
      </c>
      <c r="E701" t="s">
        <v>58</v>
      </c>
      <c r="F701" t="s">
        <v>65</v>
      </c>
      <c r="G701" t="s">
        <v>25</v>
      </c>
      <c r="H701" t="s">
        <v>59</v>
      </c>
      <c r="I701" t="s">
        <v>60</v>
      </c>
      <c r="J701">
        <v>2</v>
      </c>
      <c r="K701">
        <v>190</v>
      </c>
      <c r="L701">
        <v>380</v>
      </c>
      <c r="M701">
        <v>55</v>
      </c>
      <c r="N701" t="s">
        <v>21</v>
      </c>
      <c r="O701">
        <v>3.1</v>
      </c>
      <c r="P701" s="2">
        <f>EOMONTH(Table1[[#This Row],[Order_Date]],0)</f>
        <v>45351</v>
      </c>
      <c r="Q701" s="3">
        <f>WEEKNUM(Table1[[#This Row],[Order_Date]])</f>
        <v>8</v>
      </c>
      <c r="R701">
        <f>YEAR(Table1[[#This Row],[Order_Date]])</f>
        <v>2024</v>
      </c>
      <c r="S701" t="str">
        <f>IF(Table1[[#This Row],[Quantity]]&gt;=3,"Promo","Regular")</f>
        <v>Regular</v>
      </c>
    </row>
    <row r="702" spans="1:19" x14ac:dyDescent="0.35">
      <c r="A702" t="s">
        <v>2011</v>
      </c>
      <c r="B702" t="s">
        <v>775</v>
      </c>
      <c r="C702" s="1">
        <v>45308</v>
      </c>
      <c r="D702" t="s">
        <v>57</v>
      </c>
      <c r="E702" t="s">
        <v>75</v>
      </c>
      <c r="F702" t="s">
        <v>24</v>
      </c>
      <c r="G702" t="s">
        <v>31</v>
      </c>
      <c r="H702" t="s">
        <v>66</v>
      </c>
      <c r="I702" t="s">
        <v>20</v>
      </c>
      <c r="J702">
        <v>3</v>
      </c>
      <c r="K702">
        <v>190</v>
      </c>
      <c r="L702">
        <v>570</v>
      </c>
      <c r="M702">
        <v>60</v>
      </c>
      <c r="N702" t="s">
        <v>33</v>
      </c>
      <c r="O702">
        <v>3.8</v>
      </c>
      <c r="P702" s="2">
        <f>EOMONTH(Table1[[#This Row],[Order_Date]],0)</f>
        <v>45322</v>
      </c>
      <c r="Q702" s="3">
        <f>WEEKNUM(Table1[[#This Row],[Order_Date]])</f>
        <v>3</v>
      </c>
      <c r="R702">
        <f>YEAR(Table1[[#This Row],[Order_Date]])</f>
        <v>2024</v>
      </c>
      <c r="S702" t="str">
        <f>IF(Table1[[#This Row],[Quantity]]&gt;=3,"Promo","Regular")</f>
        <v>Promo</v>
      </c>
    </row>
    <row r="703" spans="1:19" x14ac:dyDescent="0.35">
      <c r="A703" t="s">
        <v>2011</v>
      </c>
      <c r="B703" t="s">
        <v>776</v>
      </c>
      <c r="C703" s="1">
        <v>45381</v>
      </c>
      <c r="D703" t="s">
        <v>28</v>
      </c>
      <c r="E703" t="s">
        <v>98</v>
      </c>
      <c r="F703" t="s">
        <v>69</v>
      </c>
      <c r="G703" t="s">
        <v>25</v>
      </c>
      <c r="H703" t="s">
        <v>37</v>
      </c>
      <c r="I703" t="s">
        <v>20</v>
      </c>
      <c r="J703">
        <v>1</v>
      </c>
      <c r="K703">
        <v>150</v>
      </c>
      <c r="L703">
        <v>150</v>
      </c>
      <c r="M703">
        <v>47</v>
      </c>
      <c r="N703" t="s">
        <v>38</v>
      </c>
      <c r="O703">
        <v>4.9000000000000004</v>
      </c>
      <c r="P703" s="2">
        <f>EOMONTH(Table1[[#This Row],[Order_Date]],0)</f>
        <v>45382</v>
      </c>
      <c r="Q703" s="3">
        <f>WEEKNUM(Table1[[#This Row],[Order_Date]])</f>
        <v>13</v>
      </c>
      <c r="R703">
        <f>YEAR(Table1[[#This Row],[Order_Date]])</f>
        <v>2024</v>
      </c>
      <c r="S703" t="str">
        <f>IF(Table1[[#This Row],[Quantity]]&gt;=3,"Promo","Regular")</f>
        <v>Regular</v>
      </c>
    </row>
    <row r="704" spans="1:19" x14ac:dyDescent="0.35">
      <c r="A704" t="s">
        <v>2011</v>
      </c>
      <c r="B704" t="s">
        <v>777</v>
      </c>
      <c r="C704" s="1">
        <v>45550</v>
      </c>
      <c r="D704" t="s">
        <v>28</v>
      </c>
      <c r="E704" t="s">
        <v>98</v>
      </c>
      <c r="F704" t="s">
        <v>35</v>
      </c>
      <c r="G704" t="s">
        <v>46</v>
      </c>
      <c r="H704" t="s">
        <v>50</v>
      </c>
      <c r="I704" t="s">
        <v>20</v>
      </c>
      <c r="J704">
        <v>2</v>
      </c>
      <c r="K704">
        <v>337</v>
      </c>
      <c r="L704">
        <v>674</v>
      </c>
      <c r="M704">
        <v>32</v>
      </c>
      <c r="N704" t="s">
        <v>38</v>
      </c>
      <c r="O704">
        <v>4.8</v>
      </c>
      <c r="P704" s="2">
        <f>EOMONTH(Table1[[#This Row],[Order_Date]],0)</f>
        <v>45565</v>
      </c>
      <c r="Q704" s="3">
        <f>WEEKNUM(Table1[[#This Row],[Order_Date]])</f>
        <v>38</v>
      </c>
      <c r="R704">
        <f>YEAR(Table1[[#This Row],[Order_Date]])</f>
        <v>2024</v>
      </c>
      <c r="S704" t="str">
        <f>IF(Table1[[#This Row],[Quantity]]&gt;=3,"Promo","Regular")</f>
        <v>Regular</v>
      </c>
    </row>
    <row r="705" spans="1:19" x14ac:dyDescent="0.35">
      <c r="A705" t="s">
        <v>2012</v>
      </c>
      <c r="B705" t="s">
        <v>778</v>
      </c>
      <c r="C705" s="1">
        <v>45475</v>
      </c>
      <c r="D705" t="s">
        <v>28</v>
      </c>
      <c r="E705" t="s">
        <v>71</v>
      </c>
      <c r="F705" t="s">
        <v>35</v>
      </c>
      <c r="G705" t="s">
        <v>25</v>
      </c>
      <c r="H705" t="s">
        <v>19</v>
      </c>
      <c r="I705" t="s">
        <v>20</v>
      </c>
      <c r="J705">
        <v>2</v>
      </c>
      <c r="K705">
        <v>408</v>
      </c>
      <c r="L705">
        <v>816</v>
      </c>
      <c r="M705">
        <v>38</v>
      </c>
      <c r="N705" t="s">
        <v>21</v>
      </c>
      <c r="O705">
        <v>3.4</v>
      </c>
      <c r="P705" s="2">
        <f>EOMONTH(Table1[[#This Row],[Order_Date]],0)</f>
        <v>45504</v>
      </c>
      <c r="Q705" s="3">
        <f>WEEKNUM(Table1[[#This Row],[Order_Date]])</f>
        <v>27</v>
      </c>
      <c r="R705">
        <f>YEAR(Table1[[#This Row],[Order_Date]])</f>
        <v>2024</v>
      </c>
      <c r="S705" t="str">
        <f>IF(Table1[[#This Row],[Quantity]]&gt;=3,"Promo","Regular")</f>
        <v>Regular</v>
      </c>
    </row>
    <row r="706" spans="1:19" x14ac:dyDescent="0.35">
      <c r="A706" t="s">
        <v>2012</v>
      </c>
      <c r="B706" t="s">
        <v>779</v>
      </c>
      <c r="C706" s="1">
        <v>45315</v>
      </c>
      <c r="D706" t="s">
        <v>48</v>
      </c>
      <c r="E706" t="s">
        <v>49</v>
      </c>
      <c r="F706" t="s">
        <v>45</v>
      </c>
      <c r="G706" t="s">
        <v>73</v>
      </c>
      <c r="H706" t="s">
        <v>120</v>
      </c>
      <c r="I706" t="s">
        <v>60</v>
      </c>
      <c r="J706">
        <v>3</v>
      </c>
      <c r="K706">
        <v>412</v>
      </c>
      <c r="L706">
        <v>1236</v>
      </c>
      <c r="M706">
        <v>38</v>
      </c>
      <c r="N706" t="s">
        <v>33</v>
      </c>
      <c r="O706">
        <v>3.2</v>
      </c>
      <c r="P706" s="2">
        <f>EOMONTH(Table1[[#This Row],[Order_Date]],0)</f>
        <v>45322</v>
      </c>
      <c r="Q706" s="3">
        <f>WEEKNUM(Table1[[#This Row],[Order_Date]])</f>
        <v>4</v>
      </c>
      <c r="R706">
        <f>YEAR(Table1[[#This Row],[Order_Date]])</f>
        <v>2024</v>
      </c>
      <c r="S706" t="str">
        <f>IF(Table1[[#This Row],[Quantity]]&gt;=3,"Promo","Regular")</f>
        <v>Promo</v>
      </c>
    </row>
    <row r="707" spans="1:19" x14ac:dyDescent="0.35">
      <c r="A707" t="s">
        <v>2012</v>
      </c>
      <c r="B707" t="s">
        <v>780</v>
      </c>
      <c r="C707" s="1">
        <v>45427</v>
      </c>
      <c r="D707" t="s">
        <v>48</v>
      </c>
      <c r="E707" t="s">
        <v>49</v>
      </c>
      <c r="F707" t="s">
        <v>45</v>
      </c>
      <c r="G707" t="s">
        <v>25</v>
      </c>
      <c r="H707" t="s">
        <v>53</v>
      </c>
      <c r="I707" t="s">
        <v>20</v>
      </c>
      <c r="J707">
        <v>3</v>
      </c>
      <c r="K707">
        <v>117</v>
      </c>
      <c r="L707">
        <v>351</v>
      </c>
      <c r="M707">
        <v>25</v>
      </c>
      <c r="N707" t="s">
        <v>38</v>
      </c>
      <c r="O707">
        <v>3.8</v>
      </c>
      <c r="P707" s="2">
        <f>EOMONTH(Table1[[#This Row],[Order_Date]],0)</f>
        <v>45443</v>
      </c>
      <c r="Q707" s="3">
        <f>WEEKNUM(Table1[[#This Row],[Order_Date]])</f>
        <v>20</v>
      </c>
      <c r="R707">
        <f>YEAR(Table1[[#This Row],[Order_Date]])</f>
        <v>2024</v>
      </c>
      <c r="S707" t="str">
        <f>IF(Table1[[#This Row],[Quantity]]&gt;=3,"Promo","Regular")</f>
        <v>Promo</v>
      </c>
    </row>
    <row r="708" spans="1:19" x14ac:dyDescent="0.35">
      <c r="A708" t="s">
        <v>2012</v>
      </c>
      <c r="B708" t="s">
        <v>781</v>
      </c>
      <c r="C708" s="1">
        <v>45447</v>
      </c>
      <c r="D708" t="s">
        <v>48</v>
      </c>
      <c r="E708" t="s">
        <v>127</v>
      </c>
      <c r="F708" t="s">
        <v>85</v>
      </c>
      <c r="G708" t="s">
        <v>46</v>
      </c>
      <c r="H708" t="s">
        <v>53</v>
      </c>
      <c r="I708" t="s">
        <v>20</v>
      </c>
      <c r="J708">
        <v>4</v>
      </c>
      <c r="K708">
        <v>389</v>
      </c>
      <c r="L708">
        <v>1556</v>
      </c>
      <c r="M708">
        <v>33</v>
      </c>
      <c r="N708" t="s">
        <v>21</v>
      </c>
      <c r="O708">
        <v>4.4000000000000004</v>
      </c>
      <c r="P708" s="2">
        <f>EOMONTH(Table1[[#This Row],[Order_Date]],0)</f>
        <v>45473</v>
      </c>
      <c r="Q708" s="3">
        <f>WEEKNUM(Table1[[#This Row],[Order_Date]])</f>
        <v>23</v>
      </c>
      <c r="R708">
        <f>YEAR(Table1[[#This Row],[Order_Date]])</f>
        <v>2024</v>
      </c>
      <c r="S708" t="str">
        <f>IF(Table1[[#This Row],[Quantity]]&gt;=3,"Promo","Regular")</f>
        <v>Promo</v>
      </c>
    </row>
    <row r="709" spans="1:19" x14ac:dyDescent="0.35">
      <c r="A709" t="s">
        <v>2013</v>
      </c>
      <c r="B709" t="s">
        <v>782</v>
      </c>
      <c r="C709" s="1">
        <v>45511</v>
      </c>
      <c r="D709" t="s">
        <v>57</v>
      </c>
      <c r="E709" t="s">
        <v>62</v>
      </c>
      <c r="F709" t="s">
        <v>17</v>
      </c>
      <c r="G709" t="s">
        <v>31</v>
      </c>
      <c r="H709" t="s">
        <v>66</v>
      </c>
      <c r="I709" t="s">
        <v>20</v>
      </c>
      <c r="J709">
        <v>3</v>
      </c>
      <c r="K709">
        <v>395</v>
      </c>
      <c r="L709">
        <v>1185</v>
      </c>
      <c r="M709">
        <v>21</v>
      </c>
      <c r="N709" t="s">
        <v>33</v>
      </c>
      <c r="O709">
        <v>4.4000000000000004</v>
      </c>
      <c r="P709" s="2">
        <f>EOMONTH(Table1[[#This Row],[Order_Date]],0)</f>
        <v>45535</v>
      </c>
      <c r="Q709" s="3">
        <f>WEEKNUM(Table1[[#This Row],[Order_Date]])</f>
        <v>32</v>
      </c>
      <c r="R709">
        <f>YEAR(Table1[[#This Row],[Order_Date]])</f>
        <v>2024</v>
      </c>
      <c r="S709" t="str">
        <f>IF(Table1[[#This Row],[Quantity]]&gt;=3,"Promo","Regular")</f>
        <v>Promo</v>
      </c>
    </row>
    <row r="710" spans="1:19" x14ac:dyDescent="0.35">
      <c r="A710" t="s">
        <v>2013</v>
      </c>
      <c r="B710" t="s">
        <v>783</v>
      </c>
      <c r="C710" s="1">
        <v>45529</v>
      </c>
      <c r="D710" t="s">
        <v>15</v>
      </c>
      <c r="E710" t="s">
        <v>23</v>
      </c>
      <c r="F710" t="s">
        <v>30</v>
      </c>
      <c r="G710" t="s">
        <v>46</v>
      </c>
      <c r="H710" t="s">
        <v>50</v>
      </c>
      <c r="I710" t="s">
        <v>20</v>
      </c>
      <c r="J710">
        <v>2</v>
      </c>
      <c r="K710">
        <v>229</v>
      </c>
      <c r="L710">
        <v>458</v>
      </c>
      <c r="M710">
        <v>35</v>
      </c>
      <c r="N710" t="s">
        <v>21</v>
      </c>
      <c r="O710">
        <v>4.2</v>
      </c>
      <c r="P710" s="2">
        <f>EOMONTH(Table1[[#This Row],[Order_Date]],0)</f>
        <v>45535</v>
      </c>
      <c r="Q710" s="3">
        <f>WEEKNUM(Table1[[#This Row],[Order_Date]])</f>
        <v>35</v>
      </c>
      <c r="R710">
        <f>YEAR(Table1[[#This Row],[Order_Date]])</f>
        <v>2024</v>
      </c>
      <c r="S710" t="str">
        <f>IF(Table1[[#This Row],[Quantity]]&gt;=3,"Promo","Regular")</f>
        <v>Regular</v>
      </c>
    </row>
    <row r="711" spans="1:19" x14ac:dyDescent="0.35">
      <c r="A711" t="s">
        <v>2013</v>
      </c>
      <c r="B711" t="s">
        <v>784</v>
      </c>
      <c r="C711" s="1">
        <v>45547</v>
      </c>
      <c r="D711" t="s">
        <v>57</v>
      </c>
      <c r="E711" t="s">
        <v>136</v>
      </c>
      <c r="F711" t="s">
        <v>35</v>
      </c>
      <c r="G711" t="s">
        <v>25</v>
      </c>
      <c r="H711" t="s">
        <v>32</v>
      </c>
      <c r="I711" t="s">
        <v>20</v>
      </c>
      <c r="J711">
        <v>4</v>
      </c>
      <c r="K711">
        <v>397</v>
      </c>
      <c r="L711">
        <v>1588</v>
      </c>
      <c r="M711">
        <v>26</v>
      </c>
      <c r="N711" t="s">
        <v>21</v>
      </c>
      <c r="O711">
        <v>3.7</v>
      </c>
      <c r="P711" s="2">
        <f>EOMONTH(Table1[[#This Row],[Order_Date]],0)</f>
        <v>45565</v>
      </c>
      <c r="Q711" s="3">
        <f>WEEKNUM(Table1[[#This Row],[Order_Date]])</f>
        <v>37</v>
      </c>
      <c r="R711">
        <f>YEAR(Table1[[#This Row],[Order_Date]])</f>
        <v>2024</v>
      </c>
      <c r="S711" t="str">
        <f>IF(Table1[[#This Row],[Quantity]]&gt;=3,"Promo","Regular")</f>
        <v>Promo</v>
      </c>
    </row>
    <row r="712" spans="1:19" x14ac:dyDescent="0.35">
      <c r="A712" t="s">
        <v>2013</v>
      </c>
      <c r="B712" t="s">
        <v>785</v>
      </c>
      <c r="C712" s="1">
        <v>45295</v>
      </c>
      <c r="D712" t="s">
        <v>48</v>
      </c>
      <c r="E712" t="s">
        <v>49</v>
      </c>
      <c r="F712" t="s">
        <v>69</v>
      </c>
      <c r="G712" t="s">
        <v>25</v>
      </c>
      <c r="H712" t="s">
        <v>19</v>
      </c>
      <c r="I712" t="s">
        <v>20</v>
      </c>
      <c r="J712">
        <v>3</v>
      </c>
      <c r="K712">
        <v>208</v>
      </c>
      <c r="L712">
        <v>624</v>
      </c>
      <c r="M712">
        <v>57</v>
      </c>
      <c r="N712" t="s">
        <v>33</v>
      </c>
      <c r="O712">
        <v>3.2</v>
      </c>
      <c r="P712" s="2">
        <f>EOMONTH(Table1[[#This Row],[Order_Date]],0)</f>
        <v>45322</v>
      </c>
      <c r="Q712" s="3">
        <f>WEEKNUM(Table1[[#This Row],[Order_Date]])</f>
        <v>1</v>
      </c>
      <c r="R712">
        <f>YEAR(Table1[[#This Row],[Order_Date]])</f>
        <v>2024</v>
      </c>
      <c r="S712" t="str">
        <f>IF(Table1[[#This Row],[Quantity]]&gt;=3,"Promo","Regular")</f>
        <v>Promo</v>
      </c>
    </row>
    <row r="713" spans="1:19" x14ac:dyDescent="0.35">
      <c r="A713" t="s">
        <v>2013</v>
      </c>
      <c r="B713" t="s">
        <v>786</v>
      </c>
      <c r="C713" s="1">
        <v>45499</v>
      </c>
      <c r="D713" t="s">
        <v>15</v>
      </c>
      <c r="E713" t="s">
        <v>103</v>
      </c>
      <c r="F713" t="s">
        <v>30</v>
      </c>
      <c r="G713" t="s">
        <v>46</v>
      </c>
      <c r="H713" t="s">
        <v>50</v>
      </c>
      <c r="I713" t="s">
        <v>20</v>
      </c>
      <c r="J713">
        <v>5</v>
      </c>
      <c r="K713">
        <v>347</v>
      </c>
      <c r="L713">
        <v>1735</v>
      </c>
      <c r="M713">
        <v>35</v>
      </c>
      <c r="N713" t="s">
        <v>38</v>
      </c>
      <c r="O713">
        <v>3.9</v>
      </c>
      <c r="P713" s="2">
        <f>EOMONTH(Table1[[#This Row],[Order_Date]],0)</f>
        <v>45504</v>
      </c>
      <c r="Q713" s="3">
        <f>WEEKNUM(Table1[[#This Row],[Order_Date]])</f>
        <v>30</v>
      </c>
      <c r="R713">
        <f>YEAR(Table1[[#This Row],[Order_Date]])</f>
        <v>2024</v>
      </c>
      <c r="S713" t="str">
        <f>IF(Table1[[#This Row],[Quantity]]&gt;=3,"Promo","Regular")</f>
        <v>Promo</v>
      </c>
    </row>
    <row r="714" spans="1:19" x14ac:dyDescent="0.35">
      <c r="A714" t="s">
        <v>2014</v>
      </c>
      <c r="B714" t="s">
        <v>787</v>
      </c>
      <c r="C714" s="1">
        <v>45516</v>
      </c>
      <c r="D714" t="s">
        <v>43</v>
      </c>
      <c r="E714" t="s">
        <v>110</v>
      </c>
      <c r="F714" t="s">
        <v>72</v>
      </c>
      <c r="G714" t="s">
        <v>36</v>
      </c>
      <c r="H714" t="s">
        <v>50</v>
      </c>
      <c r="I714" t="s">
        <v>20</v>
      </c>
      <c r="J714">
        <v>4</v>
      </c>
      <c r="K714">
        <v>218</v>
      </c>
      <c r="L714">
        <v>872</v>
      </c>
      <c r="M714">
        <v>41</v>
      </c>
      <c r="N714" t="s">
        <v>33</v>
      </c>
      <c r="O714">
        <v>3.2</v>
      </c>
      <c r="P714" s="2">
        <f>EOMONTH(Table1[[#This Row],[Order_Date]],0)</f>
        <v>45535</v>
      </c>
      <c r="Q714" s="3">
        <f>WEEKNUM(Table1[[#This Row],[Order_Date]])</f>
        <v>33</v>
      </c>
      <c r="R714">
        <f>YEAR(Table1[[#This Row],[Order_Date]])</f>
        <v>2024</v>
      </c>
      <c r="S714" t="str">
        <f>IF(Table1[[#This Row],[Quantity]]&gt;=3,"Promo","Regular")</f>
        <v>Promo</v>
      </c>
    </row>
    <row r="715" spans="1:19" x14ac:dyDescent="0.35">
      <c r="A715" t="s">
        <v>2014</v>
      </c>
      <c r="B715" t="s">
        <v>788</v>
      </c>
      <c r="C715" s="1">
        <v>45523</v>
      </c>
      <c r="D715" t="s">
        <v>48</v>
      </c>
      <c r="E715" t="s">
        <v>49</v>
      </c>
      <c r="F715" t="s">
        <v>30</v>
      </c>
      <c r="G715" t="s">
        <v>73</v>
      </c>
      <c r="H715" t="s">
        <v>37</v>
      </c>
      <c r="I715" t="s">
        <v>20</v>
      </c>
      <c r="J715">
        <v>5</v>
      </c>
      <c r="K715">
        <v>302</v>
      </c>
      <c r="L715">
        <v>1510</v>
      </c>
      <c r="M715">
        <v>42</v>
      </c>
      <c r="N715" t="s">
        <v>21</v>
      </c>
      <c r="O715">
        <v>3.1</v>
      </c>
      <c r="P715" s="2">
        <f>EOMONTH(Table1[[#This Row],[Order_Date]],0)</f>
        <v>45535</v>
      </c>
      <c r="Q715" s="3">
        <f>WEEKNUM(Table1[[#This Row],[Order_Date]])</f>
        <v>34</v>
      </c>
      <c r="R715">
        <f>YEAR(Table1[[#This Row],[Order_Date]])</f>
        <v>2024</v>
      </c>
      <c r="S715" t="str">
        <f>IF(Table1[[#This Row],[Quantity]]&gt;=3,"Promo","Regular")</f>
        <v>Promo</v>
      </c>
    </row>
    <row r="716" spans="1:19" x14ac:dyDescent="0.35">
      <c r="A716" t="s">
        <v>2014</v>
      </c>
      <c r="B716" t="s">
        <v>789</v>
      </c>
      <c r="C716" s="1">
        <v>45544</v>
      </c>
      <c r="D716" t="s">
        <v>28</v>
      </c>
      <c r="E716" t="s">
        <v>98</v>
      </c>
      <c r="F716" t="s">
        <v>85</v>
      </c>
      <c r="G716" t="s">
        <v>46</v>
      </c>
      <c r="H716" t="s">
        <v>26</v>
      </c>
      <c r="I716" t="s">
        <v>20</v>
      </c>
      <c r="J716">
        <v>1</v>
      </c>
      <c r="K716">
        <v>194</v>
      </c>
      <c r="L716">
        <v>194</v>
      </c>
      <c r="M716">
        <v>53</v>
      </c>
      <c r="N716" t="s">
        <v>38</v>
      </c>
      <c r="O716">
        <v>3.2</v>
      </c>
      <c r="P716" s="2">
        <f>EOMONTH(Table1[[#This Row],[Order_Date]],0)</f>
        <v>45565</v>
      </c>
      <c r="Q716" s="3">
        <f>WEEKNUM(Table1[[#This Row],[Order_Date]])</f>
        <v>37</v>
      </c>
      <c r="R716">
        <f>YEAR(Table1[[#This Row],[Order_Date]])</f>
        <v>2024</v>
      </c>
      <c r="S716" t="str">
        <f>IF(Table1[[#This Row],[Quantity]]&gt;=3,"Promo","Regular")</f>
        <v>Regular</v>
      </c>
    </row>
    <row r="717" spans="1:19" x14ac:dyDescent="0.35">
      <c r="A717" t="s">
        <v>2014</v>
      </c>
      <c r="B717" t="s">
        <v>790</v>
      </c>
      <c r="C717" s="1">
        <v>45526</v>
      </c>
      <c r="D717" t="s">
        <v>57</v>
      </c>
      <c r="E717" t="s">
        <v>105</v>
      </c>
      <c r="F717" t="s">
        <v>30</v>
      </c>
      <c r="G717" t="s">
        <v>46</v>
      </c>
      <c r="H717" t="s">
        <v>19</v>
      </c>
      <c r="I717" t="s">
        <v>20</v>
      </c>
      <c r="J717">
        <v>1</v>
      </c>
      <c r="K717">
        <v>199</v>
      </c>
      <c r="L717">
        <v>199</v>
      </c>
      <c r="M717">
        <v>39</v>
      </c>
      <c r="N717" t="s">
        <v>33</v>
      </c>
      <c r="O717">
        <v>3.8</v>
      </c>
      <c r="P717" s="2">
        <f>EOMONTH(Table1[[#This Row],[Order_Date]],0)</f>
        <v>45535</v>
      </c>
      <c r="Q717" s="3">
        <f>WEEKNUM(Table1[[#This Row],[Order_Date]])</f>
        <v>34</v>
      </c>
      <c r="R717">
        <f>YEAR(Table1[[#This Row],[Order_Date]])</f>
        <v>2024</v>
      </c>
      <c r="S717" t="str">
        <f>IF(Table1[[#This Row],[Quantity]]&gt;=3,"Promo","Regular")</f>
        <v>Regular</v>
      </c>
    </row>
    <row r="718" spans="1:19" x14ac:dyDescent="0.35">
      <c r="A718" t="s">
        <v>2015</v>
      </c>
      <c r="B718" t="s">
        <v>791</v>
      </c>
      <c r="C718" s="1">
        <v>45354</v>
      </c>
      <c r="D718" t="s">
        <v>48</v>
      </c>
      <c r="E718" t="s">
        <v>64</v>
      </c>
      <c r="F718" t="s">
        <v>35</v>
      </c>
      <c r="G718" t="s">
        <v>73</v>
      </c>
      <c r="H718" t="s">
        <v>120</v>
      </c>
      <c r="I718" t="s">
        <v>60</v>
      </c>
      <c r="J718">
        <v>5</v>
      </c>
      <c r="K718">
        <v>156</v>
      </c>
      <c r="L718">
        <v>780</v>
      </c>
      <c r="M718">
        <v>35</v>
      </c>
      <c r="N718" t="s">
        <v>33</v>
      </c>
      <c r="O718">
        <v>3</v>
      </c>
      <c r="P718" s="2">
        <f>EOMONTH(Table1[[#This Row],[Order_Date]],0)</f>
        <v>45382</v>
      </c>
      <c r="Q718" s="3">
        <f>WEEKNUM(Table1[[#This Row],[Order_Date]])</f>
        <v>10</v>
      </c>
      <c r="R718">
        <f>YEAR(Table1[[#This Row],[Order_Date]])</f>
        <v>2024</v>
      </c>
      <c r="S718" t="str">
        <f>IF(Table1[[#This Row],[Quantity]]&gt;=3,"Promo","Regular")</f>
        <v>Promo</v>
      </c>
    </row>
    <row r="719" spans="1:19" x14ac:dyDescent="0.35">
      <c r="A719" t="s">
        <v>2015</v>
      </c>
      <c r="B719" t="s">
        <v>792</v>
      </c>
      <c r="C719" s="1">
        <v>45363</v>
      </c>
      <c r="D719" t="s">
        <v>57</v>
      </c>
      <c r="E719" t="s">
        <v>136</v>
      </c>
      <c r="F719" t="s">
        <v>35</v>
      </c>
      <c r="G719" t="s">
        <v>31</v>
      </c>
      <c r="H719" t="s">
        <v>59</v>
      </c>
      <c r="I719" t="s">
        <v>60</v>
      </c>
      <c r="J719">
        <v>4</v>
      </c>
      <c r="K719">
        <v>484</v>
      </c>
      <c r="L719">
        <v>1936</v>
      </c>
      <c r="M719">
        <v>20</v>
      </c>
      <c r="N719" t="s">
        <v>21</v>
      </c>
      <c r="O719">
        <v>3.1</v>
      </c>
      <c r="P719" s="2">
        <f>EOMONTH(Table1[[#This Row],[Order_Date]],0)</f>
        <v>45382</v>
      </c>
      <c r="Q719" s="3">
        <f>WEEKNUM(Table1[[#This Row],[Order_Date]])</f>
        <v>11</v>
      </c>
      <c r="R719">
        <f>YEAR(Table1[[#This Row],[Order_Date]])</f>
        <v>2024</v>
      </c>
      <c r="S719" t="str">
        <f>IF(Table1[[#This Row],[Quantity]]&gt;=3,"Promo","Regular")</f>
        <v>Promo</v>
      </c>
    </row>
    <row r="720" spans="1:19" x14ac:dyDescent="0.35">
      <c r="A720" t="s">
        <v>2016</v>
      </c>
      <c r="B720" t="s">
        <v>793</v>
      </c>
      <c r="C720" s="1">
        <v>45386</v>
      </c>
      <c r="D720" t="s">
        <v>15</v>
      </c>
      <c r="E720" t="s">
        <v>95</v>
      </c>
      <c r="F720" t="s">
        <v>30</v>
      </c>
      <c r="G720" t="s">
        <v>18</v>
      </c>
      <c r="H720" t="s">
        <v>37</v>
      </c>
      <c r="I720" t="s">
        <v>20</v>
      </c>
      <c r="J720">
        <v>5</v>
      </c>
      <c r="K720">
        <v>482</v>
      </c>
      <c r="L720">
        <v>2410</v>
      </c>
      <c r="M720">
        <v>47</v>
      </c>
      <c r="N720" t="s">
        <v>21</v>
      </c>
      <c r="O720">
        <v>3.4</v>
      </c>
      <c r="P720" s="2">
        <f>EOMONTH(Table1[[#This Row],[Order_Date]],0)</f>
        <v>45412</v>
      </c>
      <c r="Q720" s="3">
        <f>WEEKNUM(Table1[[#This Row],[Order_Date]])</f>
        <v>14</v>
      </c>
      <c r="R720">
        <f>YEAR(Table1[[#This Row],[Order_Date]])</f>
        <v>2024</v>
      </c>
      <c r="S720" t="str">
        <f>IF(Table1[[#This Row],[Quantity]]&gt;=3,"Promo","Regular")</f>
        <v>Promo</v>
      </c>
    </row>
    <row r="721" spans="1:19" x14ac:dyDescent="0.35">
      <c r="A721" t="s">
        <v>2016</v>
      </c>
      <c r="B721" t="s">
        <v>794</v>
      </c>
      <c r="C721" s="1">
        <v>45507</v>
      </c>
      <c r="D721" t="s">
        <v>28</v>
      </c>
      <c r="E721" t="s">
        <v>71</v>
      </c>
      <c r="F721" t="s">
        <v>24</v>
      </c>
      <c r="G721" t="s">
        <v>73</v>
      </c>
      <c r="H721" t="s">
        <v>37</v>
      </c>
      <c r="I721" t="s">
        <v>20</v>
      </c>
      <c r="J721">
        <v>5</v>
      </c>
      <c r="K721">
        <v>406</v>
      </c>
      <c r="L721">
        <v>2030</v>
      </c>
      <c r="M721">
        <v>55</v>
      </c>
      <c r="N721" t="s">
        <v>33</v>
      </c>
      <c r="O721">
        <v>4</v>
      </c>
      <c r="P721" s="2">
        <f>EOMONTH(Table1[[#This Row],[Order_Date]],0)</f>
        <v>45535</v>
      </c>
      <c r="Q721" s="3">
        <f>WEEKNUM(Table1[[#This Row],[Order_Date]])</f>
        <v>31</v>
      </c>
      <c r="R721">
        <f>YEAR(Table1[[#This Row],[Order_Date]])</f>
        <v>2024</v>
      </c>
      <c r="S721" t="str">
        <f>IF(Table1[[#This Row],[Quantity]]&gt;=3,"Promo","Regular")</f>
        <v>Promo</v>
      </c>
    </row>
    <row r="722" spans="1:19" x14ac:dyDescent="0.35">
      <c r="A722" t="s">
        <v>2016</v>
      </c>
      <c r="B722" t="s">
        <v>795</v>
      </c>
      <c r="C722" s="1">
        <v>45324</v>
      </c>
      <c r="D722" t="s">
        <v>48</v>
      </c>
      <c r="E722" t="s">
        <v>127</v>
      </c>
      <c r="F722" t="s">
        <v>65</v>
      </c>
      <c r="G722" t="s">
        <v>73</v>
      </c>
      <c r="H722" t="s">
        <v>19</v>
      </c>
      <c r="I722" t="s">
        <v>20</v>
      </c>
      <c r="J722">
        <v>2</v>
      </c>
      <c r="K722">
        <v>137</v>
      </c>
      <c r="L722">
        <v>274</v>
      </c>
      <c r="M722">
        <v>25</v>
      </c>
      <c r="N722" t="s">
        <v>38</v>
      </c>
      <c r="O722">
        <v>3.9</v>
      </c>
      <c r="P722" s="2">
        <f>EOMONTH(Table1[[#This Row],[Order_Date]],0)</f>
        <v>45351</v>
      </c>
      <c r="Q722" s="3">
        <f>WEEKNUM(Table1[[#This Row],[Order_Date]])</f>
        <v>5</v>
      </c>
      <c r="R722">
        <f>YEAR(Table1[[#This Row],[Order_Date]])</f>
        <v>2024</v>
      </c>
      <c r="S722" t="str">
        <f>IF(Table1[[#This Row],[Quantity]]&gt;=3,"Promo","Regular")</f>
        <v>Regular</v>
      </c>
    </row>
    <row r="723" spans="1:19" x14ac:dyDescent="0.35">
      <c r="A723" t="s">
        <v>2016</v>
      </c>
      <c r="B723" t="s">
        <v>796</v>
      </c>
      <c r="C723" s="1">
        <v>45346</v>
      </c>
      <c r="D723" t="s">
        <v>48</v>
      </c>
      <c r="E723" t="s">
        <v>127</v>
      </c>
      <c r="F723" t="s">
        <v>72</v>
      </c>
      <c r="G723" t="s">
        <v>36</v>
      </c>
      <c r="H723" t="s">
        <v>50</v>
      </c>
      <c r="I723" t="s">
        <v>20</v>
      </c>
      <c r="J723">
        <v>2</v>
      </c>
      <c r="K723">
        <v>186</v>
      </c>
      <c r="L723">
        <v>372</v>
      </c>
      <c r="M723">
        <v>23</v>
      </c>
      <c r="N723" t="s">
        <v>21</v>
      </c>
      <c r="O723">
        <v>4.8</v>
      </c>
      <c r="P723" s="2">
        <f>EOMONTH(Table1[[#This Row],[Order_Date]],0)</f>
        <v>45351</v>
      </c>
      <c r="Q723" s="3">
        <f>WEEKNUM(Table1[[#This Row],[Order_Date]])</f>
        <v>8</v>
      </c>
      <c r="R723">
        <f>YEAR(Table1[[#This Row],[Order_Date]])</f>
        <v>2024</v>
      </c>
      <c r="S723" t="str">
        <f>IF(Table1[[#This Row],[Quantity]]&gt;=3,"Promo","Regular")</f>
        <v>Regular</v>
      </c>
    </row>
    <row r="724" spans="1:19" x14ac:dyDescent="0.35">
      <c r="A724" t="s">
        <v>2016</v>
      </c>
      <c r="B724" t="s">
        <v>797</v>
      </c>
      <c r="C724" s="1">
        <v>45373</v>
      </c>
      <c r="D724" t="s">
        <v>28</v>
      </c>
      <c r="E724" t="s">
        <v>71</v>
      </c>
      <c r="F724" t="s">
        <v>17</v>
      </c>
      <c r="G724" t="s">
        <v>36</v>
      </c>
      <c r="H724" t="s">
        <v>50</v>
      </c>
      <c r="I724" t="s">
        <v>20</v>
      </c>
      <c r="J724">
        <v>2</v>
      </c>
      <c r="K724">
        <v>194</v>
      </c>
      <c r="L724">
        <v>388</v>
      </c>
      <c r="M724">
        <v>32</v>
      </c>
      <c r="N724" t="s">
        <v>38</v>
      </c>
      <c r="O724">
        <v>3.5</v>
      </c>
      <c r="P724" s="2">
        <f>EOMONTH(Table1[[#This Row],[Order_Date]],0)</f>
        <v>45382</v>
      </c>
      <c r="Q724" s="3">
        <f>WEEKNUM(Table1[[#This Row],[Order_Date]])</f>
        <v>12</v>
      </c>
      <c r="R724">
        <f>YEAR(Table1[[#This Row],[Order_Date]])</f>
        <v>2024</v>
      </c>
      <c r="S724" t="str">
        <f>IF(Table1[[#This Row],[Quantity]]&gt;=3,"Promo","Regular")</f>
        <v>Regular</v>
      </c>
    </row>
    <row r="725" spans="1:19" x14ac:dyDescent="0.35">
      <c r="A725" t="s">
        <v>2017</v>
      </c>
      <c r="B725" t="s">
        <v>798</v>
      </c>
      <c r="C725" s="1">
        <v>45414</v>
      </c>
      <c r="D725" t="s">
        <v>48</v>
      </c>
      <c r="E725" t="s">
        <v>49</v>
      </c>
      <c r="F725" t="s">
        <v>35</v>
      </c>
      <c r="G725" t="s">
        <v>73</v>
      </c>
      <c r="H725" t="s">
        <v>120</v>
      </c>
      <c r="I725" t="s">
        <v>60</v>
      </c>
      <c r="J725">
        <v>4</v>
      </c>
      <c r="K725">
        <v>306</v>
      </c>
      <c r="L725">
        <v>1224</v>
      </c>
      <c r="M725">
        <v>50</v>
      </c>
      <c r="N725" t="s">
        <v>21</v>
      </c>
      <c r="O725">
        <v>4.2</v>
      </c>
      <c r="P725" s="2">
        <f>EOMONTH(Table1[[#This Row],[Order_Date]],0)</f>
        <v>45443</v>
      </c>
      <c r="Q725" s="3">
        <f>WEEKNUM(Table1[[#This Row],[Order_Date]])</f>
        <v>18</v>
      </c>
      <c r="R725">
        <f>YEAR(Table1[[#This Row],[Order_Date]])</f>
        <v>2024</v>
      </c>
      <c r="S725" t="str">
        <f>IF(Table1[[#This Row],[Quantity]]&gt;=3,"Promo","Regular")</f>
        <v>Promo</v>
      </c>
    </row>
    <row r="726" spans="1:19" x14ac:dyDescent="0.35">
      <c r="A726" t="s">
        <v>2017</v>
      </c>
      <c r="B726" t="s">
        <v>799</v>
      </c>
      <c r="C726" s="1">
        <v>45531</v>
      </c>
      <c r="D726" t="s">
        <v>43</v>
      </c>
      <c r="E726" t="s">
        <v>44</v>
      </c>
      <c r="F726" t="s">
        <v>65</v>
      </c>
      <c r="G726" t="s">
        <v>36</v>
      </c>
      <c r="H726" t="s">
        <v>55</v>
      </c>
      <c r="I726" t="s">
        <v>20</v>
      </c>
      <c r="J726">
        <v>5</v>
      </c>
      <c r="K726">
        <v>305</v>
      </c>
      <c r="L726">
        <v>1525</v>
      </c>
      <c r="M726">
        <v>33</v>
      </c>
      <c r="N726" t="s">
        <v>21</v>
      </c>
      <c r="O726">
        <v>4.3</v>
      </c>
      <c r="P726" s="2">
        <f>EOMONTH(Table1[[#This Row],[Order_Date]],0)</f>
        <v>45535</v>
      </c>
      <c r="Q726" s="3">
        <f>WEEKNUM(Table1[[#This Row],[Order_Date]])</f>
        <v>35</v>
      </c>
      <c r="R726">
        <f>YEAR(Table1[[#This Row],[Order_Date]])</f>
        <v>2024</v>
      </c>
      <c r="S726" t="str">
        <f>IF(Table1[[#This Row],[Quantity]]&gt;=3,"Promo","Regular")</f>
        <v>Promo</v>
      </c>
    </row>
    <row r="727" spans="1:19" x14ac:dyDescent="0.35">
      <c r="A727" t="s">
        <v>2018</v>
      </c>
      <c r="B727" t="s">
        <v>800</v>
      </c>
      <c r="C727" s="1">
        <v>45307</v>
      </c>
      <c r="D727" t="s">
        <v>15</v>
      </c>
      <c r="E727" t="s">
        <v>23</v>
      </c>
      <c r="F727" t="s">
        <v>24</v>
      </c>
      <c r="G727" t="s">
        <v>25</v>
      </c>
      <c r="H727" t="s">
        <v>53</v>
      </c>
      <c r="I727" t="s">
        <v>20</v>
      </c>
      <c r="J727">
        <v>2</v>
      </c>
      <c r="K727">
        <v>119</v>
      </c>
      <c r="L727">
        <v>238</v>
      </c>
      <c r="M727">
        <v>33</v>
      </c>
      <c r="N727" t="s">
        <v>21</v>
      </c>
      <c r="O727">
        <v>4.2</v>
      </c>
      <c r="P727" s="2">
        <f>EOMONTH(Table1[[#This Row],[Order_Date]],0)</f>
        <v>45322</v>
      </c>
      <c r="Q727" s="3">
        <f>WEEKNUM(Table1[[#This Row],[Order_Date]])</f>
        <v>3</v>
      </c>
      <c r="R727">
        <f>YEAR(Table1[[#This Row],[Order_Date]])</f>
        <v>2024</v>
      </c>
      <c r="S727" t="str">
        <f>IF(Table1[[#This Row],[Quantity]]&gt;=3,"Promo","Regular")</f>
        <v>Regular</v>
      </c>
    </row>
    <row r="728" spans="1:19" x14ac:dyDescent="0.35">
      <c r="A728" t="s">
        <v>2018</v>
      </c>
      <c r="B728" t="s">
        <v>801</v>
      </c>
      <c r="C728" s="1">
        <v>45503</v>
      </c>
      <c r="D728" t="s">
        <v>48</v>
      </c>
      <c r="E728" t="s">
        <v>132</v>
      </c>
      <c r="F728" t="s">
        <v>45</v>
      </c>
      <c r="G728" t="s">
        <v>25</v>
      </c>
      <c r="H728" t="s">
        <v>19</v>
      </c>
      <c r="I728" t="s">
        <v>20</v>
      </c>
      <c r="J728">
        <v>3</v>
      </c>
      <c r="K728">
        <v>360</v>
      </c>
      <c r="L728">
        <v>1080</v>
      </c>
      <c r="M728">
        <v>53</v>
      </c>
      <c r="N728" t="s">
        <v>21</v>
      </c>
      <c r="O728">
        <v>4.5999999999999996</v>
      </c>
      <c r="P728" s="2">
        <f>EOMONTH(Table1[[#This Row],[Order_Date]],0)</f>
        <v>45504</v>
      </c>
      <c r="Q728" s="3">
        <f>WEEKNUM(Table1[[#This Row],[Order_Date]])</f>
        <v>31</v>
      </c>
      <c r="R728">
        <f>YEAR(Table1[[#This Row],[Order_Date]])</f>
        <v>2024</v>
      </c>
      <c r="S728" t="str">
        <f>IF(Table1[[#This Row],[Quantity]]&gt;=3,"Promo","Regular")</f>
        <v>Promo</v>
      </c>
    </row>
    <row r="729" spans="1:19" x14ac:dyDescent="0.35">
      <c r="A729" t="s">
        <v>2018</v>
      </c>
      <c r="B729" t="s">
        <v>802</v>
      </c>
      <c r="C729" s="1">
        <v>45548</v>
      </c>
      <c r="D729" t="s">
        <v>57</v>
      </c>
      <c r="E729" t="s">
        <v>62</v>
      </c>
      <c r="F729" t="s">
        <v>35</v>
      </c>
      <c r="G729" t="s">
        <v>25</v>
      </c>
      <c r="H729" t="s">
        <v>55</v>
      </c>
      <c r="I729" t="s">
        <v>20</v>
      </c>
      <c r="J729">
        <v>4</v>
      </c>
      <c r="K729">
        <v>188</v>
      </c>
      <c r="L729">
        <v>752</v>
      </c>
      <c r="M729">
        <v>50</v>
      </c>
      <c r="N729" t="s">
        <v>33</v>
      </c>
      <c r="O729">
        <v>3.4</v>
      </c>
      <c r="P729" s="2">
        <f>EOMONTH(Table1[[#This Row],[Order_Date]],0)</f>
        <v>45565</v>
      </c>
      <c r="Q729" s="3">
        <f>WEEKNUM(Table1[[#This Row],[Order_Date]])</f>
        <v>37</v>
      </c>
      <c r="R729">
        <f>YEAR(Table1[[#This Row],[Order_Date]])</f>
        <v>2024</v>
      </c>
      <c r="S729" t="str">
        <f>IF(Table1[[#This Row],[Quantity]]&gt;=3,"Promo","Regular")</f>
        <v>Promo</v>
      </c>
    </row>
    <row r="730" spans="1:19" x14ac:dyDescent="0.35">
      <c r="A730" t="s">
        <v>2019</v>
      </c>
      <c r="B730" t="s">
        <v>803</v>
      </c>
      <c r="C730" s="1">
        <v>45389</v>
      </c>
      <c r="D730" t="s">
        <v>43</v>
      </c>
      <c r="E730" t="s">
        <v>82</v>
      </c>
      <c r="F730" t="s">
        <v>45</v>
      </c>
      <c r="G730" t="s">
        <v>18</v>
      </c>
      <c r="H730" t="s">
        <v>26</v>
      </c>
      <c r="I730" t="s">
        <v>20</v>
      </c>
      <c r="J730">
        <v>3</v>
      </c>
      <c r="K730">
        <v>256</v>
      </c>
      <c r="L730">
        <v>768</v>
      </c>
      <c r="M730">
        <v>23</v>
      </c>
      <c r="N730" t="s">
        <v>38</v>
      </c>
      <c r="O730">
        <v>4.0999999999999996</v>
      </c>
      <c r="P730" s="2">
        <f>EOMONTH(Table1[[#This Row],[Order_Date]],0)</f>
        <v>45412</v>
      </c>
      <c r="Q730" s="3">
        <f>WEEKNUM(Table1[[#This Row],[Order_Date]])</f>
        <v>15</v>
      </c>
      <c r="R730">
        <f>YEAR(Table1[[#This Row],[Order_Date]])</f>
        <v>2024</v>
      </c>
      <c r="S730" t="str">
        <f>IF(Table1[[#This Row],[Quantity]]&gt;=3,"Promo","Regular")</f>
        <v>Promo</v>
      </c>
    </row>
    <row r="731" spans="1:19" x14ac:dyDescent="0.35">
      <c r="A731" t="s">
        <v>2019</v>
      </c>
      <c r="B731" t="s">
        <v>804</v>
      </c>
      <c r="C731" s="1">
        <v>45303</v>
      </c>
      <c r="D731" t="s">
        <v>28</v>
      </c>
      <c r="E731" t="s">
        <v>77</v>
      </c>
      <c r="F731" t="s">
        <v>24</v>
      </c>
      <c r="G731" t="s">
        <v>31</v>
      </c>
      <c r="H731" t="s">
        <v>66</v>
      </c>
      <c r="I731" t="s">
        <v>20</v>
      </c>
      <c r="J731">
        <v>5</v>
      </c>
      <c r="K731">
        <v>442</v>
      </c>
      <c r="L731">
        <v>2210</v>
      </c>
      <c r="M731">
        <v>43</v>
      </c>
      <c r="N731" t="s">
        <v>21</v>
      </c>
      <c r="O731">
        <v>3.7</v>
      </c>
      <c r="P731" s="2">
        <f>EOMONTH(Table1[[#This Row],[Order_Date]],0)</f>
        <v>45322</v>
      </c>
      <c r="Q731" s="3">
        <f>WEEKNUM(Table1[[#This Row],[Order_Date]])</f>
        <v>2</v>
      </c>
      <c r="R731">
        <f>YEAR(Table1[[#This Row],[Order_Date]])</f>
        <v>2024</v>
      </c>
      <c r="S731" t="str">
        <f>IF(Table1[[#This Row],[Quantity]]&gt;=3,"Promo","Regular")</f>
        <v>Promo</v>
      </c>
    </row>
    <row r="732" spans="1:19" x14ac:dyDescent="0.35">
      <c r="A732" t="s">
        <v>2019</v>
      </c>
      <c r="B732" t="s">
        <v>805</v>
      </c>
      <c r="C732" s="1">
        <v>45405</v>
      </c>
      <c r="D732" t="s">
        <v>28</v>
      </c>
      <c r="E732" t="s">
        <v>98</v>
      </c>
      <c r="F732" t="s">
        <v>30</v>
      </c>
      <c r="G732" t="s">
        <v>46</v>
      </c>
      <c r="H732" t="s">
        <v>50</v>
      </c>
      <c r="I732" t="s">
        <v>20</v>
      </c>
      <c r="J732">
        <v>1</v>
      </c>
      <c r="K732">
        <v>355</v>
      </c>
      <c r="L732">
        <v>355</v>
      </c>
      <c r="M732">
        <v>43</v>
      </c>
      <c r="N732" t="s">
        <v>21</v>
      </c>
      <c r="O732">
        <v>4.9000000000000004</v>
      </c>
      <c r="P732" s="2">
        <f>EOMONTH(Table1[[#This Row],[Order_Date]],0)</f>
        <v>45412</v>
      </c>
      <c r="Q732" s="3">
        <f>WEEKNUM(Table1[[#This Row],[Order_Date]])</f>
        <v>17</v>
      </c>
      <c r="R732">
        <f>YEAR(Table1[[#This Row],[Order_Date]])</f>
        <v>2024</v>
      </c>
      <c r="S732" t="str">
        <f>IF(Table1[[#This Row],[Quantity]]&gt;=3,"Promo","Regular")</f>
        <v>Regular</v>
      </c>
    </row>
    <row r="733" spans="1:19" x14ac:dyDescent="0.35">
      <c r="A733" t="s">
        <v>2019</v>
      </c>
      <c r="B733" t="s">
        <v>806</v>
      </c>
      <c r="C733" s="1">
        <v>45468</v>
      </c>
      <c r="D733" t="s">
        <v>48</v>
      </c>
      <c r="E733" t="s">
        <v>68</v>
      </c>
      <c r="F733" t="s">
        <v>41</v>
      </c>
      <c r="G733" t="s">
        <v>46</v>
      </c>
      <c r="H733" t="s">
        <v>53</v>
      </c>
      <c r="I733" t="s">
        <v>20</v>
      </c>
      <c r="J733">
        <v>4</v>
      </c>
      <c r="K733">
        <v>279</v>
      </c>
      <c r="L733">
        <v>1116</v>
      </c>
      <c r="M733">
        <v>22</v>
      </c>
      <c r="N733" t="s">
        <v>21</v>
      </c>
      <c r="O733">
        <v>4.2</v>
      </c>
      <c r="P733" s="2">
        <f>EOMONTH(Table1[[#This Row],[Order_Date]],0)</f>
        <v>45473</v>
      </c>
      <c r="Q733" s="3">
        <f>WEEKNUM(Table1[[#This Row],[Order_Date]])</f>
        <v>26</v>
      </c>
      <c r="R733">
        <f>YEAR(Table1[[#This Row],[Order_Date]])</f>
        <v>2024</v>
      </c>
      <c r="S733" t="str">
        <f>IF(Table1[[#This Row],[Quantity]]&gt;=3,"Promo","Regular")</f>
        <v>Promo</v>
      </c>
    </row>
    <row r="734" spans="1:19" x14ac:dyDescent="0.35">
      <c r="A734" t="s">
        <v>2019</v>
      </c>
      <c r="B734" t="s">
        <v>807</v>
      </c>
      <c r="C734" s="1">
        <v>45410</v>
      </c>
      <c r="D734" t="s">
        <v>57</v>
      </c>
      <c r="E734" t="s">
        <v>62</v>
      </c>
      <c r="F734" t="s">
        <v>17</v>
      </c>
      <c r="G734" t="s">
        <v>73</v>
      </c>
      <c r="H734" t="s">
        <v>50</v>
      </c>
      <c r="I734" t="s">
        <v>20</v>
      </c>
      <c r="J734">
        <v>2</v>
      </c>
      <c r="K734">
        <v>173</v>
      </c>
      <c r="L734">
        <v>346</v>
      </c>
      <c r="M734">
        <v>21</v>
      </c>
      <c r="N734" t="s">
        <v>33</v>
      </c>
      <c r="O734">
        <v>3.5</v>
      </c>
      <c r="P734" s="2">
        <f>EOMONTH(Table1[[#This Row],[Order_Date]],0)</f>
        <v>45412</v>
      </c>
      <c r="Q734" s="3">
        <f>WEEKNUM(Table1[[#This Row],[Order_Date]])</f>
        <v>18</v>
      </c>
      <c r="R734">
        <f>YEAR(Table1[[#This Row],[Order_Date]])</f>
        <v>2024</v>
      </c>
      <c r="S734" t="str">
        <f>IF(Table1[[#This Row],[Quantity]]&gt;=3,"Promo","Regular")</f>
        <v>Regular</v>
      </c>
    </row>
    <row r="735" spans="1:19" x14ac:dyDescent="0.35">
      <c r="A735" t="s">
        <v>2020</v>
      </c>
      <c r="B735" t="s">
        <v>808</v>
      </c>
      <c r="C735" s="1">
        <v>45441</v>
      </c>
      <c r="D735" t="s">
        <v>28</v>
      </c>
      <c r="E735" t="s">
        <v>29</v>
      </c>
      <c r="F735" t="s">
        <v>45</v>
      </c>
      <c r="G735" t="s">
        <v>46</v>
      </c>
      <c r="H735" t="s">
        <v>66</v>
      </c>
      <c r="I735" t="s">
        <v>20</v>
      </c>
      <c r="J735">
        <v>4</v>
      </c>
      <c r="K735">
        <v>159</v>
      </c>
      <c r="L735">
        <v>636</v>
      </c>
      <c r="M735">
        <v>31</v>
      </c>
      <c r="N735" t="s">
        <v>38</v>
      </c>
      <c r="O735">
        <v>3.4</v>
      </c>
      <c r="P735" s="2">
        <f>EOMONTH(Table1[[#This Row],[Order_Date]],0)</f>
        <v>45443</v>
      </c>
      <c r="Q735" s="3">
        <f>WEEKNUM(Table1[[#This Row],[Order_Date]])</f>
        <v>22</v>
      </c>
      <c r="R735">
        <f>YEAR(Table1[[#This Row],[Order_Date]])</f>
        <v>2024</v>
      </c>
      <c r="S735" t="str">
        <f>IF(Table1[[#This Row],[Quantity]]&gt;=3,"Promo","Regular")</f>
        <v>Promo</v>
      </c>
    </row>
    <row r="736" spans="1:19" x14ac:dyDescent="0.35">
      <c r="A736" t="s">
        <v>2020</v>
      </c>
      <c r="B736" t="s">
        <v>809</v>
      </c>
      <c r="C736" s="1">
        <v>45490</v>
      </c>
      <c r="D736" t="s">
        <v>57</v>
      </c>
      <c r="E736" t="s">
        <v>105</v>
      </c>
      <c r="F736" t="s">
        <v>69</v>
      </c>
      <c r="G736" t="s">
        <v>46</v>
      </c>
      <c r="H736" t="s">
        <v>55</v>
      </c>
      <c r="I736" t="s">
        <v>20</v>
      </c>
      <c r="J736">
        <v>2</v>
      </c>
      <c r="K736">
        <v>316</v>
      </c>
      <c r="L736">
        <v>632</v>
      </c>
      <c r="M736">
        <v>43</v>
      </c>
      <c r="N736" t="s">
        <v>33</v>
      </c>
      <c r="O736">
        <v>4</v>
      </c>
      <c r="P736" s="2">
        <f>EOMONTH(Table1[[#This Row],[Order_Date]],0)</f>
        <v>45504</v>
      </c>
      <c r="Q736" s="3">
        <f>WEEKNUM(Table1[[#This Row],[Order_Date]])</f>
        <v>29</v>
      </c>
      <c r="R736">
        <f>YEAR(Table1[[#This Row],[Order_Date]])</f>
        <v>2024</v>
      </c>
      <c r="S736" t="str">
        <f>IF(Table1[[#This Row],[Quantity]]&gt;=3,"Promo","Regular")</f>
        <v>Regular</v>
      </c>
    </row>
    <row r="737" spans="1:19" x14ac:dyDescent="0.35">
      <c r="A737" t="s">
        <v>2021</v>
      </c>
      <c r="B737" t="s">
        <v>810</v>
      </c>
      <c r="C737" s="1">
        <v>45530</v>
      </c>
      <c r="D737" t="s">
        <v>43</v>
      </c>
      <c r="E737" t="s">
        <v>82</v>
      </c>
      <c r="F737" t="s">
        <v>24</v>
      </c>
      <c r="G737" t="s">
        <v>31</v>
      </c>
      <c r="H737" t="s">
        <v>66</v>
      </c>
      <c r="I737" t="s">
        <v>20</v>
      </c>
      <c r="J737">
        <v>3</v>
      </c>
      <c r="K737">
        <v>270</v>
      </c>
      <c r="L737">
        <v>810</v>
      </c>
      <c r="M737">
        <v>42</v>
      </c>
      <c r="N737" t="s">
        <v>33</v>
      </c>
      <c r="O737">
        <v>4</v>
      </c>
      <c r="P737" s="2">
        <f>EOMONTH(Table1[[#This Row],[Order_Date]],0)</f>
        <v>45535</v>
      </c>
      <c r="Q737" s="3">
        <f>WEEKNUM(Table1[[#This Row],[Order_Date]])</f>
        <v>35</v>
      </c>
      <c r="R737">
        <f>YEAR(Table1[[#This Row],[Order_Date]])</f>
        <v>2024</v>
      </c>
      <c r="S737" t="str">
        <f>IF(Table1[[#This Row],[Quantity]]&gt;=3,"Promo","Regular")</f>
        <v>Promo</v>
      </c>
    </row>
    <row r="738" spans="1:19" x14ac:dyDescent="0.35">
      <c r="A738" t="s">
        <v>2021</v>
      </c>
      <c r="B738" t="s">
        <v>811</v>
      </c>
      <c r="C738" s="1">
        <v>45318</v>
      </c>
      <c r="D738" t="s">
        <v>28</v>
      </c>
      <c r="E738" t="s">
        <v>71</v>
      </c>
      <c r="F738" t="s">
        <v>72</v>
      </c>
      <c r="G738" t="s">
        <v>36</v>
      </c>
      <c r="H738" t="s">
        <v>37</v>
      </c>
      <c r="I738" t="s">
        <v>20</v>
      </c>
      <c r="J738">
        <v>4</v>
      </c>
      <c r="K738">
        <v>434</v>
      </c>
      <c r="L738">
        <v>1736</v>
      </c>
      <c r="M738">
        <v>36</v>
      </c>
      <c r="N738" t="s">
        <v>33</v>
      </c>
      <c r="O738">
        <v>4</v>
      </c>
      <c r="P738" s="2">
        <f>EOMONTH(Table1[[#This Row],[Order_Date]],0)</f>
        <v>45322</v>
      </c>
      <c r="Q738" s="3">
        <f>WEEKNUM(Table1[[#This Row],[Order_Date]])</f>
        <v>4</v>
      </c>
      <c r="R738">
        <f>YEAR(Table1[[#This Row],[Order_Date]])</f>
        <v>2024</v>
      </c>
      <c r="S738" t="str">
        <f>IF(Table1[[#This Row],[Quantity]]&gt;=3,"Promo","Regular")</f>
        <v>Promo</v>
      </c>
    </row>
    <row r="739" spans="1:19" x14ac:dyDescent="0.35">
      <c r="A739" t="s">
        <v>2021</v>
      </c>
      <c r="B739" t="s">
        <v>812</v>
      </c>
      <c r="C739" s="1">
        <v>45439</v>
      </c>
      <c r="D739" t="s">
        <v>43</v>
      </c>
      <c r="E739" t="s">
        <v>52</v>
      </c>
      <c r="F739" t="s">
        <v>24</v>
      </c>
      <c r="G739" t="s">
        <v>31</v>
      </c>
      <c r="H739" t="s">
        <v>66</v>
      </c>
      <c r="I739" t="s">
        <v>20</v>
      </c>
      <c r="J739">
        <v>3</v>
      </c>
      <c r="K739">
        <v>104</v>
      </c>
      <c r="L739">
        <v>312</v>
      </c>
      <c r="M739">
        <v>42</v>
      </c>
      <c r="N739" t="s">
        <v>21</v>
      </c>
      <c r="O739">
        <v>3.1</v>
      </c>
      <c r="P739" s="2">
        <f>EOMONTH(Table1[[#This Row],[Order_Date]],0)</f>
        <v>45443</v>
      </c>
      <c r="Q739" s="3">
        <f>WEEKNUM(Table1[[#This Row],[Order_Date]])</f>
        <v>22</v>
      </c>
      <c r="R739">
        <f>YEAR(Table1[[#This Row],[Order_Date]])</f>
        <v>2024</v>
      </c>
      <c r="S739" t="str">
        <f>IF(Table1[[#This Row],[Quantity]]&gt;=3,"Promo","Regular")</f>
        <v>Promo</v>
      </c>
    </row>
    <row r="740" spans="1:19" x14ac:dyDescent="0.35">
      <c r="A740" t="s">
        <v>2022</v>
      </c>
      <c r="B740" t="s">
        <v>813</v>
      </c>
      <c r="C740" s="1">
        <v>45406</v>
      </c>
      <c r="D740" t="s">
        <v>28</v>
      </c>
      <c r="E740" t="s">
        <v>40</v>
      </c>
      <c r="F740" t="s">
        <v>72</v>
      </c>
      <c r="G740" t="s">
        <v>25</v>
      </c>
      <c r="H740" t="s">
        <v>32</v>
      </c>
      <c r="I740" t="s">
        <v>20</v>
      </c>
      <c r="J740">
        <v>3</v>
      </c>
      <c r="K740">
        <v>187</v>
      </c>
      <c r="L740">
        <v>561</v>
      </c>
      <c r="M740">
        <v>25</v>
      </c>
      <c r="N740" t="s">
        <v>33</v>
      </c>
      <c r="O740">
        <v>4.3</v>
      </c>
      <c r="P740" s="2">
        <f>EOMONTH(Table1[[#This Row],[Order_Date]],0)</f>
        <v>45412</v>
      </c>
      <c r="Q740" s="3">
        <f>WEEKNUM(Table1[[#This Row],[Order_Date]])</f>
        <v>17</v>
      </c>
      <c r="R740">
        <f>YEAR(Table1[[#This Row],[Order_Date]])</f>
        <v>2024</v>
      </c>
      <c r="S740" t="str">
        <f>IF(Table1[[#This Row],[Quantity]]&gt;=3,"Promo","Regular")</f>
        <v>Promo</v>
      </c>
    </row>
    <row r="741" spans="1:19" x14ac:dyDescent="0.35">
      <c r="A741" t="s">
        <v>2022</v>
      </c>
      <c r="B741" t="s">
        <v>814</v>
      </c>
      <c r="C741" s="1">
        <v>45412</v>
      </c>
      <c r="D741" t="s">
        <v>28</v>
      </c>
      <c r="E741" t="s">
        <v>40</v>
      </c>
      <c r="F741" t="s">
        <v>41</v>
      </c>
      <c r="G741" t="s">
        <v>36</v>
      </c>
      <c r="H741" t="s">
        <v>26</v>
      </c>
      <c r="I741" t="s">
        <v>20</v>
      </c>
      <c r="J741">
        <v>2</v>
      </c>
      <c r="K741">
        <v>254</v>
      </c>
      <c r="L741">
        <v>508</v>
      </c>
      <c r="M741">
        <v>36</v>
      </c>
      <c r="N741" t="s">
        <v>21</v>
      </c>
      <c r="O741">
        <v>3.8</v>
      </c>
      <c r="P741" s="2">
        <f>EOMONTH(Table1[[#This Row],[Order_Date]],0)</f>
        <v>45412</v>
      </c>
      <c r="Q741" s="3">
        <f>WEEKNUM(Table1[[#This Row],[Order_Date]])</f>
        <v>18</v>
      </c>
      <c r="R741">
        <f>YEAR(Table1[[#This Row],[Order_Date]])</f>
        <v>2024</v>
      </c>
      <c r="S741" t="str">
        <f>IF(Table1[[#This Row],[Quantity]]&gt;=3,"Promo","Regular")</f>
        <v>Regular</v>
      </c>
    </row>
    <row r="742" spans="1:19" x14ac:dyDescent="0.35">
      <c r="A742" t="s">
        <v>2023</v>
      </c>
      <c r="B742" t="s">
        <v>815</v>
      </c>
      <c r="C742" s="1">
        <v>45565</v>
      </c>
      <c r="D742" t="s">
        <v>43</v>
      </c>
      <c r="E742" t="s">
        <v>82</v>
      </c>
      <c r="F742" t="s">
        <v>65</v>
      </c>
      <c r="G742" t="s">
        <v>18</v>
      </c>
      <c r="H742" t="s">
        <v>26</v>
      </c>
      <c r="I742" t="s">
        <v>20</v>
      </c>
      <c r="J742">
        <v>3</v>
      </c>
      <c r="K742">
        <v>165</v>
      </c>
      <c r="L742">
        <v>495</v>
      </c>
      <c r="M742">
        <v>37</v>
      </c>
      <c r="N742" t="s">
        <v>38</v>
      </c>
      <c r="O742">
        <v>4</v>
      </c>
      <c r="P742" s="2">
        <f>EOMONTH(Table1[[#This Row],[Order_Date]],0)</f>
        <v>45565</v>
      </c>
      <c r="Q742" s="3">
        <f>WEEKNUM(Table1[[#This Row],[Order_Date]])</f>
        <v>40</v>
      </c>
      <c r="R742">
        <f>YEAR(Table1[[#This Row],[Order_Date]])</f>
        <v>2024</v>
      </c>
      <c r="S742" t="str">
        <f>IF(Table1[[#This Row],[Quantity]]&gt;=3,"Promo","Regular")</f>
        <v>Promo</v>
      </c>
    </row>
    <row r="743" spans="1:19" x14ac:dyDescent="0.35">
      <c r="A743" t="s">
        <v>2023</v>
      </c>
      <c r="B743" t="s">
        <v>816</v>
      </c>
      <c r="C743" s="1">
        <v>45519</v>
      </c>
      <c r="D743" t="s">
        <v>28</v>
      </c>
      <c r="E743" t="s">
        <v>98</v>
      </c>
      <c r="F743" t="s">
        <v>41</v>
      </c>
      <c r="G743" t="s">
        <v>31</v>
      </c>
      <c r="H743" t="s">
        <v>59</v>
      </c>
      <c r="I743" t="s">
        <v>60</v>
      </c>
      <c r="J743">
        <v>3</v>
      </c>
      <c r="K743">
        <v>177</v>
      </c>
      <c r="L743">
        <v>531</v>
      </c>
      <c r="M743">
        <v>27</v>
      </c>
      <c r="N743" t="s">
        <v>33</v>
      </c>
      <c r="O743">
        <v>3.6</v>
      </c>
      <c r="P743" s="2">
        <f>EOMONTH(Table1[[#This Row],[Order_Date]],0)</f>
        <v>45535</v>
      </c>
      <c r="Q743" s="3">
        <f>WEEKNUM(Table1[[#This Row],[Order_Date]])</f>
        <v>33</v>
      </c>
      <c r="R743">
        <f>YEAR(Table1[[#This Row],[Order_Date]])</f>
        <v>2024</v>
      </c>
      <c r="S743" t="str">
        <f>IF(Table1[[#This Row],[Quantity]]&gt;=3,"Promo","Regular")</f>
        <v>Promo</v>
      </c>
    </row>
    <row r="744" spans="1:19" x14ac:dyDescent="0.35">
      <c r="A744" t="s">
        <v>2024</v>
      </c>
      <c r="B744" t="s">
        <v>817</v>
      </c>
      <c r="C744" s="1">
        <v>45564</v>
      </c>
      <c r="D744" t="s">
        <v>15</v>
      </c>
      <c r="E744" t="s">
        <v>95</v>
      </c>
      <c r="F744" t="s">
        <v>24</v>
      </c>
      <c r="G744" t="s">
        <v>73</v>
      </c>
      <c r="H744" t="s">
        <v>59</v>
      </c>
      <c r="I744" t="s">
        <v>60</v>
      </c>
      <c r="J744">
        <v>3</v>
      </c>
      <c r="K744">
        <v>357</v>
      </c>
      <c r="L744">
        <v>1071</v>
      </c>
      <c r="M744">
        <v>36</v>
      </c>
      <c r="N744" t="s">
        <v>33</v>
      </c>
      <c r="O744">
        <v>4.0999999999999996</v>
      </c>
      <c r="P744" s="2">
        <f>EOMONTH(Table1[[#This Row],[Order_Date]],0)</f>
        <v>45565</v>
      </c>
      <c r="Q744" s="3">
        <f>WEEKNUM(Table1[[#This Row],[Order_Date]])</f>
        <v>40</v>
      </c>
      <c r="R744">
        <f>YEAR(Table1[[#This Row],[Order_Date]])</f>
        <v>2024</v>
      </c>
      <c r="S744" t="str">
        <f>IF(Table1[[#This Row],[Quantity]]&gt;=3,"Promo","Regular")</f>
        <v>Promo</v>
      </c>
    </row>
    <row r="745" spans="1:19" x14ac:dyDescent="0.35">
      <c r="A745" t="s">
        <v>2024</v>
      </c>
      <c r="B745" t="s">
        <v>818</v>
      </c>
      <c r="C745" s="1">
        <v>45506</v>
      </c>
      <c r="D745" t="s">
        <v>15</v>
      </c>
      <c r="E745" t="s">
        <v>103</v>
      </c>
      <c r="F745" t="s">
        <v>41</v>
      </c>
      <c r="G745" t="s">
        <v>18</v>
      </c>
      <c r="H745" t="s">
        <v>120</v>
      </c>
      <c r="I745" t="s">
        <v>60</v>
      </c>
      <c r="J745">
        <v>4</v>
      </c>
      <c r="K745">
        <v>372</v>
      </c>
      <c r="L745">
        <v>1488</v>
      </c>
      <c r="M745">
        <v>45</v>
      </c>
      <c r="N745" t="s">
        <v>38</v>
      </c>
      <c r="O745">
        <v>3.7</v>
      </c>
      <c r="P745" s="2">
        <f>EOMONTH(Table1[[#This Row],[Order_Date]],0)</f>
        <v>45535</v>
      </c>
      <c r="Q745" s="3">
        <f>WEEKNUM(Table1[[#This Row],[Order_Date]])</f>
        <v>31</v>
      </c>
      <c r="R745">
        <f>YEAR(Table1[[#This Row],[Order_Date]])</f>
        <v>2024</v>
      </c>
      <c r="S745" t="str">
        <f>IF(Table1[[#This Row],[Quantity]]&gt;=3,"Promo","Regular")</f>
        <v>Promo</v>
      </c>
    </row>
    <row r="746" spans="1:19" x14ac:dyDescent="0.35">
      <c r="A746" t="s">
        <v>2024</v>
      </c>
      <c r="B746" t="s">
        <v>819</v>
      </c>
      <c r="C746" s="1">
        <v>45494</v>
      </c>
      <c r="D746" t="s">
        <v>15</v>
      </c>
      <c r="E746" t="s">
        <v>103</v>
      </c>
      <c r="F746" t="s">
        <v>69</v>
      </c>
      <c r="G746" t="s">
        <v>46</v>
      </c>
      <c r="H746" t="s">
        <v>53</v>
      </c>
      <c r="I746" t="s">
        <v>20</v>
      </c>
      <c r="J746">
        <v>4</v>
      </c>
      <c r="K746">
        <v>364</v>
      </c>
      <c r="L746">
        <v>1456</v>
      </c>
      <c r="M746">
        <v>36</v>
      </c>
      <c r="N746" t="s">
        <v>38</v>
      </c>
      <c r="O746">
        <v>3.1</v>
      </c>
      <c r="P746" s="2">
        <f>EOMONTH(Table1[[#This Row],[Order_Date]],0)</f>
        <v>45504</v>
      </c>
      <c r="Q746" s="3">
        <f>WEEKNUM(Table1[[#This Row],[Order_Date]])</f>
        <v>30</v>
      </c>
      <c r="R746">
        <f>YEAR(Table1[[#This Row],[Order_Date]])</f>
        <v>2024</v>
      </c>
      <c r="S746" t="str">
        <f>IF(Table1[[#This Row],[Quantity]]&gt;=3,"Promo","Regular")</f>
        <v>Promo</v>
      </c>
    </row>
    <row r="747" spans="1:19" x14ac:dyDescent="0.35">
      <c r="A747" t="s">
        <v>2024</v>
      </c>
      <c r="B747" t="s">
        <v>820</v>
      </c>
      <c r="C747" s="1">
        <v>45386</v>
      </c>
      <c r="D747" t="s">
        <v>48</v>
      </c>
      <c r="E747" t="s">
        <v>68</v>
      </c>
      <c r="F747" t="s">
        <v>30</v>
      </c>
      <c r="G747" t="s">
        <v>73</v>
      </c>
      <c r="H747" t="s">
        <v>59</v>
      </c>
      <c r="I747" t="s">
        <v>60</v>
      </c>
      <c r="J747">
        <v>2</v>
      </c>
      <c r="K747">
        <v>380</v>
      </c>
      <c r="L747">
        <v>760</v>
      </c>
      <c r="M747">
        <v>44</v>
      </c>
      <c r="N747" t="s">
        <v>38</v>
      </c>
      <c r="O747">
        <v>3.8</v>
      </c>
      <c r="P747" s="2">
        <f>EOMONTH(Table1[[#This Row],[Order_Date]],0)</f>
        <v>45412</v>
      </c>
      <c r="Q747" s="3">
        <f>WEEKNUM(Table1[[#This Row],[Order_Date]])</f>
        <v>14</v>
      </c>
      <c r="R747">
        <f>YEAR(Table1[[#This Row],[Order_Date]])</f>
        <v>2024</v>
      </c>
      <c r="S747" t="str">
        <f>IF(Table1[[#This Row],[Quantity]]&gt;=3,"Promo","Regular")</f>
        <v>Regular</v>
      </c>
    </row>
    <row r="748" spans="1:19" x14ac:dyDescent="0.35">
      <c r="A748" t="s">
        <v>2025</v>
      </c>
      <c r="B748" t="s">
        <v>821</v>
      </c>
      <c r="C748" s="1">
        <v>45400</v>
      </c>
      <c r="D748" t="s">
        <v>15</v>
      </c>
      <c r="E748" t="s">
        <v>103</v>
      </c>
      <c r="F748" t="s">
        <v>65</v>
      </c>
      <c r="G748" t="s">
        <v>18</v>
      </c>
      <c r="H748" t="s">
        <v>120</v>
      </c>
      <c r="I748" t="s">
        <v>60</v>
      </c>
      <c r="J748">
        <v>2</v>
      </c>
      <c r="K748">
        <v>316</v>
      </c>
      <c r="L748">
        <v>632</v>
      </c>
      <c r="M748">
        <v>41</v>
      </c>
      <c r="N748" t="s">
        <v>33</v>
      </c>
      <c r="O748">
        <v>3.4</v>
      </c>
      <c r="P748" s="2">
        <f>EOMONTH(Table1[[#This Row],[Order_Date]],0)</f>
        <v>45412</v>
      </c>
      <c r="Q748" s="3">
        <f>WEEKNUM(Table1[[#This Row],[Order_Date]])</f>
        <v>16</v>
      </c>
      <c r="R748">
        <f>YEAR(Table1[[#This Row],[Order_Date]])</f>
        <v>2024</v>
      </c>
      <c r="S748" t="str">
        <f>IF(Table1[[#This Row],[Quantity]]&gt;=3,"Promo","Regular")</f>
        <v>Regular</v>
      </c>
    </row>
    <row r="749" spans="1:19" x14ac:dyDescent="0.35">
      <c r="A749" t="s">
        <v>2025</v>
      </c>
      <c r="B749" t="s">
        <v>822</v>
      </c>
      <c r="C749" s="1">
        <v>45306</v>
      </c>
      <c r="D749" t="s">
        <v>15</v>
      </c>
      <c r="E749" t="s">
        <v>23</v>
      </c>
      <c r="F749" t="s">
        <v>17</v>
      </c>
      <c r="G749" t="s">
        <v>46</v>
      </c>
      <c r="H749" t="s">
        <v>50</v>
      </c>
      <c r="I749" t="s">
        <v>20</v>
      </c>
      <c r="J749">
        <v>3</v>
      </c>
      <c r="K749">
        <v>344</v>
      </c>
      <c r="L749">
        <v>1032</v>
      </c>
      <c r="M749">
        <v>36</v>
      </c>
      <c r="N749" t="s">
        <v>21</v>
      </c>
      <c r="O749">
        <v>3.2</v>
      </c>
      <c r="P749" s="2">
        <f>EOMONTH(Table1[[#This Row],[Order_Date]],0)</f>
        <v>45322</v>
      </c>
      <c r="Q749" s="3">
        <f>WEEKNUM(Table1[[#This Row],[Order_Date]])</f>
        <v>3</v>
      </c>
      <c r="R749">
        <f>YEAR(Table1[[#This Row],[Order_Date]])</f>
        <v>2024</v>
      </c>
      <c r="S749" t="str">
        <f>IF(Table1[[#This Row],[Quantity]]&gt;=3,"Promo","Regular")</f>
        <v>Promo</v>
      </c>
    </row>
    <row r="750" spans="1:19" x14ac:dyDescent="0.35">
      <c r="A750" t="s">
        <v>2026</v>
      </c>
      <c r="B750" t="s">
        <v>823</v>
      </c>
      <c r="C750" s="1">
        <v>45295</v>
      </c>
      <c r="D750" t="s">
        <v>43</v>
      </c>
      <c r="E750" t="s">
        <v>52</v>
      </c>
      <c r="F750" t="s">
        <v>65</v>
      </c>
      <c r="G750" t="s">
        <v>73</v>
      </c>
      <c r="H750" t="s">
        <v>53</v>
      </c>
      <c r="I750" t="s">
        <v>20</v>
      </c>
      <c r="J750">
        <v>3</v>
      </c>
      <c r="K750">
        <v>244</v>
      </c>
      <c r="L750">
        <v>732</v>
      </c>
      <c r="M750">
        <v>20</v>
      </c>
      <c r="N750" t="s">
        <v>21</v>
      </c>
      <c r="O750">
        <v>4.5</v>
      </c>
      <c r="P750" s="2">
        <f>EOMONTH(Table1[[#This Row],[Order_Date]],0)</f>
        <v>45322</v>
      </c>
      <c r="Q750" s="3">
        <f>WEEKNUM(Table1[[#This Row],[Order_Date]])</f>
        <v>1</v>
      </c>
      <c r="R750">
        <f>YEAR(Table1[[#This Row],[Order_Date]])</f>
        <v>2024</v>
      </c>
      <c r="S750" t="str">
        <f>IF(Table1[[#This Row],[Quantity]]&gt;=3,"Promo","Regular")</f>
        <v>Promo</v>
      </c>
    </row>
    <row r="751" spans="1:19" x14ac:dyDescent="0.35">
      <c r="A751" t="s">
        <v>2026</v>
      </c>
      <c r="B751" t="s">
        <v>824</v>
      </c>
      <c r="C751" s="1">
        <v>45562</v>
      </c>
      <c r="D751" t="s">
        <v>15</v>
      </c>
      <c r="E751" t="s">
        <v>103</v>
      </c>
      <c r="F751" t="s">
        <v>69</v>
      </c>
      <c r="G751" t="s">
        <v>18</v>
      </c>
      <c r="H751" t="s">
        <v>19</v>
      </c>
      <c r="I751" t="s">
        <v>20</v>
      </c>
      <c r="J751">
        <v>4</v>
      </c>
      <c r="K751">
        <v>336</v>
      </c>
      <c r="L751">
        <v>1344</v>
      </c>
      <c r="M751">
        <v>28</v>
      </c>
      <c r="N751" t="s">
        <v>33</v>
      </c>
      <c r="O751">
        <v>3.4</v>
      </c>
      <c r="P751" s="2">
        <f>EOMONTH(Table1[[#This Row],[Order_Date]],0)</f>
        <v>45565</v>
      </c>
      <c r="Q751" s="3">
        <f>WEEKNUM(Table1[[#This Row],[Order_Date]])</f>
        <v>39</v>
      </c>
      <c r="R751">
        <f>YEAR(Table1[[#This Row],[Order_Date]])</f>
        <v>2024</v>
      </c>
      <c r="S751" t="str">
        <f>IF(Table1[[#This Row],[Quantity]]&gt;=3,"Promo","Regular")</f>
        <v>Promo</v>
      </c>
    </row>
    <row r="752" spans="1:19" x14ac:dyDescent="0.35">
      <c r="A752" t="s">
        <v>2027</v>
      </c>
      <c r="B752" t="s">
        <v>825</v>
      </c>
      <c r="C752" s="1">
        <v>45314</v>
      </c>
      <c r="D752" t="s">
        <v>48</v>
      </c>
      <c r="E752" t="s">
        <v>64</v>
      </c>
      <c r="F752" t="s">
        <v>85</v>
      </c>
      <c r="G752" t="s">
        <v>36</v>
      </c>
      <c r="H752" t="s">
        <v>120</v>
      </c>
      <c r="I752" t="s">
        <v>60</v>
      </c>
      <c r="J752">
        <v>3</v>
      </c>
      <c r="K752">
        <v>259</v>
      </c>
      <c r="L752">
        <v>777</v>
      </c>
      <c r="M752">
        <v>50</v>
      </c>
      <c r="N752" t="s">
        <v>21</v>
      </c>
      <c r="O752">
        <v>4.4000000000000004</v>
      </c>
      <c r="P752" s="2">
        <f>EOMONTH(Table1[[#This Row],[Order_Date]],0)</f>
        <v>45322</v>
      </c>
      <c r="Q752" s="3">
        <f>WEEKNUM(Table1[[#This Row],[Order_Date]])</f>
        <v>4</v>
      </c>
      <c r="R752">
        <f>YEAR(Table1[[#This Row],[Order_Date]])</f>
        <v>2024</v>
      </c>
      <c r="S752" t="str">
        <f>IF(Table1[[#This Row],[Quantity]]&gt;=3,"Promo","Regular")</f>
        <v>Promo</v>
      </c>
    </row>
    <row r="753" spans="1:19" x14ac:dyDescent="0.35">
      <c r="A753" t="s">
        <v>2027</v>
      </c>
      <c r="B753" t="s">
        <v>826</v>
      </c>
      <c r="C753" s="1">
        <v>45477</v>
      </c>
      <c r="D753" t="s">
        <v>15</v>
      </c>
      <c r="E753" t="s">
        <v>95</v>
      </c>
      <c r="F753" t="s">
        <v>65</v>
      </c>
      <c r="G753" t="s">
        <v>46</v>
      </c>
      <c r="H753" t="s">
        <v>50</v>
      </c>
      <c r="I753" t="s">
        <v>20</v>
      </c>
      <c r="J753">
        <v>3</v>
      </c>
      <c r="K753">
        <v>113</v>
      </c>
      <c r="L753">
        <v>339</v>
      </c>
      <c r="M753">
        <v>48</v>
      </c>
      <c r="N753" t="s">
        <v>33</v>
      </c>
      <c r="O753">
        <v>4.4000000000000004</v>
      </c>
      <c r="P753" s="2">
        <f>EOMONTH(Table1[[#This Row],[Order_Date]],0)</f>
        <v>45504</v>
      </c>
      <c r="Q753" s="3">
        <f>WEEKNUM(Table1[[#This Row],[Order_Date]])</f>
        <v>27</v>
      </c>
      <c r="R753">
        <f>YEAR(Table1[[#This Row],[Order_Date]])</f>
        <v>2024</v>
      </c>
      <c r="S753" t="str">
        <f>IF(Table1[[#This Row],[Quantity]]&gt;=3,"Promo","Regular")</f>
        <v>Promo</v>
      </c>
    </row>
    <row r="754" spans="1:19" x14ac:dyDescent="0.35">
      <c r="A754" t="s">
        <v>2027</v>
      </c>
      <c r="B754" t="s">
        <v>827</v>
      </c>
      <c r="C754" s="1">
        <v>45484</v>
      </c>
      <c r="D754" t="s">
        <v>48</v>
      </c>
      <c r="E754" t="s">
        <v>132</v>
      </c>
      <c r="F754" t="s">
        <v>85</v>
      </c>
      <c r="G754" t="s">
        <v>25</v>
      </c>
      <c r="H754" t="s">
        <v>66</v>
      </c>
      <c r="I754" t="s">
        <v>20</v>
      </c>
      <c r="J754">
        <v>1</v>
      </c>
      <c r="K754">
        <v>471</v>
      </c>
      <c r="L754">
        <v>471</v>
      </c>
      <c r="M754">
        <v>27</v>
      </c>
      <c r="N754" t="s">
        <v>21</v>
      </c>
      <c r="O754">
        <v>3.5</v>
      </c>
      <c r="P754" s="2">
        <f>EOMONTH(Table1[[#This Row],[Order_Date]],0)</f>
        <v>45504</v>
      </c>
      <c r="Q754" s="3">
        <f>WEEKNUM(Table1[[#This Row],[Order_Date]])</f>
        <v>28</v>
      </c>
      <c r="R754">
        <f>YEAR(Table1[[#This Row],[Order_Date]])</f>
        <v>2024</v>
      </c>
      <c r="S754" t="str">
        <f>IF(Table1[[#This Row],[Quantity]]&gt;=3,"Promo","Regular")</f>
        <v>Regular</v>
      </c>
    </row>
    <row r="755" spans="1:19" x14ac:dyDescent="0.35">
      <c r="A755" t="s">
        <v>2027</v>
      </c>
      <c r="B755" t="s">
        <v>828</v>
      </c>
      <c r="C755" s="1">
        <v>45376</v>
      </c>
      <c r="D755" t="s">
        <v>48</v>
      </c>
      <c r="E755" t="s">
        <v>49</v>
      </c>
      <c r="F755" t="s">
        <v>85</v>
      </c>
      <c r="G755" t="s">
        <v>46</v>
      </c>
      <c r="H755" t="s">
        <v>37</v>
      </c>
      <c r="I755" t="s">
        <v>20</v>
      </c>
      <c r="J755">
        <v>1</v>
      </c>
      <c r="K755">
        <v>272</v>
      </c>
      <c r="L755">
        <v>272</v>
      </c>
      <c r="M755">
        <v>32</v>
      </c>
      <c r="N755" t="s">
        <v>21</v>
      </c>
      <c r="O755">
        <v>3.4</v>
      </c>
      <c r="P755" s="2">
        <f>EOMONTH(Table1[[#This Row],[Order_Date]],0)</f>
        <v>45382</v>
      </c>
      <c r="Q755" s="3">
        <f>WEEKNUM(Table1[[#This Row],[Order_Date]])</f>
        <v>13</v>
      </c>
      <c r="R755">
        <f>YEAR(Table1[[#This Row],[Order_Date]])</f>
        <v>2024</v>
      </c>
      <c r="S755" t="str">
        <f>IF(Table1[[#This Row],[Quantity]]&gt;=3,"Promo","Regular")</f>
        <v>Regular</v>
      </c>
    </row>
    <row r="756" spans="1:19" x14ac:dyDescent="0.35">
      <c r="A756" t="s">
        <v>2028</v>
      </c>
      <c r="B756" t="s">
        <v>829</v>
      </c>
      <c r="C756" s="1">
        <v>45422</v>
      </c>
      <c r="D756" t="s">
        <v>57</v>
      </c>
      <c r="E756" t="s">
        <v>105</v>
      </c>
      <c r="F756" t="s">
        <v>41</v>
      </c>
      <c r="G756" t="s">
        <v>25</v>
      </c>
      <c r="H756" t="s">
        <v>53</v>
      </c>
      <c r="I756" t="s">
        <v>20</v>
      </c>
      <c r="J756">
        <v>4</v>
      </c>
      <c r="K756">
        <v>295</v>
      </c>
      <c r="L756">
        <v>1180</v>
      </c>
      <c r="M756">
        <v>56</v>
      </c>
      <c r="N756" t="s">
        <v>33</v>
      </c>
      <c r="O756">
        <v>4.0999999999999996</v>
      </c>
      <c r="P756" s="2">
        <f>EOMONTH(Table1[[#This Row],[Order_Date]],0)</f>
        <v>45443</v>
      </c>
      <c r="Q756" s="3">
        <f>WEEKNUM(Table1[[#This Row],[Order_Date]])</f>
        <v>19</v>
      </c>
      <c r="R756">
        <f>YEAR(Table1[[#This Row],[Order_Date]])</f>
        <v>2024</v>
      </c>
      <c r="S756" t="str">
        <f>IF(Table1[[#This Row],[Quantity]]&gt;=3,"Promo","Regular")</f>
        <v>Promo</v>
      </c>
    </row>
    <row r="757" spans="1:19" x14ac:dyDescent="0.35">
      <c r="A757" t="s">
        <v>2028</v>
      </c>
      <c r="B757" t="s">
        <v>830</v>
      </c>
      <c r="C757" s="1">
        <v>45544</v>
      </c>
      <c r="D757" t="s">
        <v>28</v>
      </c>
      <c r="E757" t="s">
        <v>98</v>
      </c>
      <c r="F757" t="s">
        <v>35</v>
      </c>
      <c r="G757" t="s">
        <v>18</v>
      </c>
      <c r="H757" t="s">
        <v>50</v>
      </c>
      <c r="I757" t="s">
        <v>20</v>
      </c>
      <c r="J757">
        <v>1</v>
      </c>
      <c r="K757">
        <v>141</v>
      </c>
      <c r="L757">
        <v>141</v>
      </c>
      <c r="M757">
        <v>31</v>
      </c>
      <c r="N757" t="s">
        <v>38</v>
      </c>
      <c r="O757">
        <v>4.0999999999999996</v>
      </c>
      <c r="P757" s="2">
        <f>EOMONTH(Table1[[#This Row],[Order_Date]],0)</f>
        <v>45565</v>
      </c>
      <c r="Q757" s="3">
        <f>WEEKNUM(Table1[[#This Row],[Order_Date]])</f>
        <v>37</v>
      </c>
      <c r="R757">
        <f>YEAR(Table1[[#This Row],[Order_Date]])</f>
        <v>2024</v>
      </c>
      <c r="S757" t="str">
        <f>IF(Table1[[#This Row],[Quantity]]&gt;=3,"Promo","Regular")</f>
        <v>Regular</v>
      </c>
    </row>
    <row r="758" spans="1:19" x14ac:dyDescent="0.35">
      <c r="A758" t="s">
        <v>2028</v>
      </c>
      <c r="B758" t="s">
        <v>831</v>
      </c>
      <c r="C758" s="1">
        <v>45485</v>
      </c>
      <c r="D758" t="s">
        <v>43</v>
      </c>
      <c r="E758" t="s">
        <v>44</v>
      </c>
      <c r="F758" t="s">
        <v>85</v>
      </c>
      <c r="G758" t="s">
        <v>36</v>
      </c>
      <c r="H758" t="s">
        <v>66</v>
      </c>
      <c r="I758" t="s">
        <v>20</v>
      </c>
      <c r="J758">
        <v>3</v>
      </c>
      <c r="K758">
        <v>171</v>
      </c>
      <c r="L758">
        <v>513</v>
      </c>
      <c r="M758">
        <v>37</v>
      </c>
      <c r="N758" t="s">
        <v>38</v>
      </c>
      <c r="O758">
        <v>4</v>
      </c>
      <c r="P758" s="2">
        <f>EOMONTH(Table1[[#This Row],[Order_Date]],0)</f>
        <v>45504</v>
      </c>
      <c r="Q758" s="3">
        <f>WEEKNUM(Table1[[#This Row],[Order_Date]])</f>
        <v>28</v>
      </c>
      <c r="R758">
        <f>YEAR(Table1[[#This Row],[Order_Date]])</f>
        <v>2024</v>
      </c>
      <c r="S758" t="str">
        <f>IF(Table1[[#This Row],[Quantity]]&gt;=3,"Promo","Regular")</f>
        <v>Promo</v>
      </c>
    </row>
    <row r="759" spans="1:19" x14ac:dyDescent="0.35">
      <c r="A759" t="s">
        <v>2028</v>
      </c>
      <c r="B759" t="s">
        <v>832</v>
      </c>
      <c r="C759" s="1">
        <v>45478</v>
      </c>
      <c r="D759" t="s">
        <v>15</v>
      </c>
      <c r="E759" t="s">
        <v>103</v>
      </c>
      <c r="F759" t="s">
        <v>17</v>
      </c>
      <c r="G759" t="s">
        <v>18</v>
      </c>
      <c r="H759" t="s">
        <v>59</v>
      </c>
      <c r="I759" t="s">
        <v>60</v>
      </c>
      <c r="J759">
        <v>5</v>
      </c>
      <c r="K759">
        <v>449</v>
      </c>
      <c r="L759">
        <v>2245</v>
      </c>
      <c r="M759">
        <v>51</v>
      </c>
      <c r="N759" t="s">
        <v>38</v>
      </c>
      <c r="O759">
        <v>4</v>
      </c>
      <c r="P759" s="2">
        <f>EOMONTH(Table1[[#This Row],[Order_Date]],0)</f>
        <v>45504</v>
      </c>
      <c r="Q759" s="3">
        <f>WEEKNUM(Table1[[#This Row],[Order_Date]])</f>
        <v>27</v>
      </c>
      <c r="R759">
        <f>YEAR(Table1[[#This Row],[Order_Date]])</f>
        <v>2024</v>
      </c>
      <c r="S759" t="str">
        <f>IF(Table1[[#This Row],[Quantity]]&gt;=3,"Promo","Regular")</f>
        <v>Promo</v>
      </c>
    </row>
    <row r="760" spans="1:19" x14ac:dyDescent="0.35">
      <c r="A760" t="s">
        <v>2028</v>
      </c>
      <c r="B760" t="s">
        <v>833</v>
      </c>
      <c r="C760" s="1">
        <v>45340</v>
      </c>
      <c r="D760" t="s">
        <v>48</v>
      </c>
      <c r="E760" t="s">
        <v>64</v>
      </c>
      <c r="F760" t="s">
        <v>35</v>
      </c>
      <c r="G760" t="s">
        <v>73</v>
      </c>
      <c r="H760" t="s">
        <v>26</v>
      </c>
      <c r="I760" t="s">
        <v>20</v>
      </c>
      <c r="J760">
        <v>5</v>
      </c>
      <c r="K760">
        <v>446</v>
      </c>
      <c r="L760">
        <v>2230</v>
      </c>
      <c r="M760">
        <v>45</v>
      </c>
      <c r="N760" t="s">
        <v>21</v>
      </c>
      <c r="O760">
        <v>4.5</v>
      </c>
      <c r="P760" s="2">
        <f>EOMONTH(Table1[[#This Row],[Order_Date]],0)</f>
        <v>45351</v>
      </c>
      <c r="Q760" s="3">
        <f>WEEKNUM(Table1[[#This Row],[Order_Date]])</f>
        <v>8</v>
      </c>
      <c r="R760">
        <f>YEAR(Table1[[#This Row],[Order_Date]])</f>
        <v>2024</v>
      </c>
      <c r="S760" t="str">
        <f>IF(Table1[[#This Row],[Quantity]]&gt;=3,"Promo","Regular")</f>
        <v>Promo</v>
      </c>
    </row>
    <row r="761" spans="1:19" x14ac:dyDescent="0.35">
      <c r="A761" t="s">
        <v>2029</v>
      </c>
      <c r="B761" t="s">
        <v>834</v>
      </c>
      <c r="C761" s="1">
        <v>45346</v>
      </c>
      <c r="D761" t="s">
        <v>57</v>
      </c>
      <c r="E761" t="s">
        <v>136</v>
      </c>
      <c r="F761" t="s">
        <v>45</v>
      </c>
      <c r="G761" t="s">
        <v>25</v>
      </c>
      <c r="H761" t="s">
        <v>53</v>
      </c>
      <c r="I761" t="s">
        <v>20</v>
      </c>
      <c r="J761">
        <v>3</v>
      </c>
      <c r="K761">
        <v>320</v>
      </c>
      <c r="L761">
        <v>960</v>
      </c>
      <c r="M761">
        <v>39</v>
      </c>
      <c r="N761" t="s">
        <v>33</v>
      </c>
      <c r="O761">
        <v>3.9</v>
      </c>
      <c r="P761" s="2">
        <f>EOMONTH(Table1[[#This Row],[Order_Date]],0)</f>
        <v>45351</v>
      </c>
      <c r="Q761" s="3">
        <f>WEEKNUM(Table1[[#This Row],[Order_Date]])</f>
        <v>8</v>
      </c>
      <c r="R761">
        <f>YEAR(Table1[[#This Row],[Order_Date]])</f>
        <v>2024</v>
      </c>
      <c r="S761" t="str">
        <f>IF(Table1[[#This Row],[Quantity]]&gt;=3,"Promo","Regular")</f>
        <v>Promo</v>
      </c>
    </row>
    <row r="762" spans="1:19" x14ac:dyDescent="0.35">
      <c r="A762" t="s">
        <v>2029</v>
      </c>
      <c r="B762" t="s">
        <v>835</v>
      </c>
      <c r="C762" s="1">
        <v>45425</v>
      </c>
      <c r="D762" t="s">
        <v>48</v>
      </c>
      <c r="E762" t="s">
        <v>49</v>
      </c>
      <c r="F762" t="s">
        <v>69</v>
      </c>
      <c r="G762" t="s">
        <v>36</v>
      </c>
      <c r="H762" t="s">
        <v>37</v>
      </c>
      <c r="I762" t="s">
        <v>20</v>
      </c>
      <c r="J762">
        <v>2</v>
      </c>
      <c r="K762">
        <v>428</v>
      </c>
      <c r="L762">
        <v>856</v>
      </c>
      <c r="M762">
        <v>41</v>
      </c>
      <c r="N762" t="s">
        <v>21</v>
      </c>
      <c r="O762">
        <v>3.3</v>
      </c>
      <c r="P762" s="2">
        <f>EOMONTH(Table1[[#This Row],[Order_Date]],0)</f>
        <v>45443</v>
      </c>
      <c r="Q762" s="3">
        <f>WEEKNUM(Table1[[#This Row],[Order_Date]])</f>
        <v>20</v>
      </c>
      <c r="R762">
        <f>YEAR(Table1[[#This Row],[Order_Date]])</f>
        <v>2024</v>
      </c>
      <c r="S762" t="str">
        <f>IF(Table1[[#This Row],[Quantity]]&gt;=3,"Promo","Regular")</f>
        <v>Regular</v>
      </c>
    </row>
    <row r="763" spans="1:19" x14ac:dyDescent="0.35">
      <c r="A763" t="s">
        <v>2029</v>
      </c>
      <c r="B763" t="s">
        <v>836</v>
      </c>
      <c r="C763" s="1">
        <v>45476</v>
      </c>
      <c r="D763" t="s">
        <v>15</v>
      </c>
      <c r="E763" t="s">
        <v>112</v>
      </c>
      <c r="F763" t="s">
        <v>69</v>
      </c>
      <c r="G763" t="s">
        <v>31</v>
      </c>
      <c r="H763" t="s">
        <v>120</v>
      </c>
      <c r="I763" t="s">
        <v>60</v>
      </c>
      <c r="J763">
        <v>2</v>
      </c>
      <c r="K763">
        <v>343</v>
      </c>
      <c r="L763">
        <v>686</v>
      </c>
      <c r="M763">
        <v>56</v>
      </c>
      <c r="N763" t="s">
        <v>33</v>
      </c>
      <c r="O763">
        <v>4.9000000000000004</v>
      </c>
      <c r="P763" s="2">
        <f>EOMONTH(Table1[[#This Row],[Order_Date]],0)</f>
        <v>45504</v>
      </c>
      <c r="Q763" s="3">
        <f>WEEKNUM(Table1[[#This Row],[Order_Date]])</f>
        <v>27</v>
      </c>
      <c r="R763">
        <f>YEAR(Table1[[#This Row],[Order_Date]])</f>
        <v>2024</v>
      </c>
      <c r="S763" t="str">
        <f>IF(Table1[[#This Row],[Quantity]]&gt;=3,"Promo","Regular")</f>
        <v>Regular</v>
      </c>
    </row>
    <row r="764" spans="1:19" x14ac:dyDescent="0.35">
      <c r="A764" t="s">
        <v>2030</v>
      </c>
      <c r="B764" t="s">
        <v>837</v>
      </c>
      <c r="C764" s="1">
        <v>45579</v>
      </c>
      <c r="D764" t="s">
        <v>57</v>
      </c>
      <c r="E764" t="s">
        <v>58</v>
      </c>
      <c r="F764" t="s">
        <v>85</v>
      </c>
      <c r="G764" t="s">
        <v>73</v>
      </c>
      <c r="H764" t="s">
        <v>59</v>
      </c>
      <c r="I764" t="s">
        <v>60</v>
      </c>
      <c r="J764">
        <v>5</v>
      </c>
      <c r="K764">
        <v>144</v>
      </c>
      <c r="L764">
        <v>720</v>
      </c>
      <c r="M764">
        <v>35</v>
      </c>
      <c r="N764" t="s">
        <v>21</v>
      </c>
      <c r="O764">
        <v>3.3</v>
      </c>
      <c r="P764" s="2">
        <f>EOMONTH(Table1[[#This Row],[Order_Date]],0)</f>
        <v>45596</v>
      </c>
      <c r="Q764" s="3">
        <f>WEEKNUM(Table1[[#This Row],[Order_Date]])</f>
        <v>42</v>
      </c>
      <c r="R764">
        <f>YEAR(Table1[[#This Row],[Order_Date]])</f>
        <v>2024</v>
      </c>
      <c r="S764" t="str">
        <f>IF(Table1[[#This Row],[Quantity]]&gt;=3,"Promo","Regular")</f>
        <v>Promo</v>
      </c>
    </row>
    <row r="765" spans="1:19" x14ac:dyDescent="0.35">
      <c r="A765" t="s">
        <v>2030</v>
      </c>
      <c r="B765" t="s">
        <v>838</v>
      </c>
      <c r="C765" s="1">
        <v>45369</v>
      </c>
      <c r="D765" t="s">
        <v>43</v>
      </c>
      <c r="E765" t="s">
        <v>110</v>
      </c>
      <c r="F765" t="s">
        <v>45</v>
      </c>
      <c r="G765" t="s">
        <v>73</v>
      </c>
      <c r="H765" t="s">
        <v>120</v>
      </c>
      <c r="I765" t="s">
        <v>60</v>
      </c>
      <c r="J765">
        <v>1</v>
      </c>
      <c r="K765">
        <v>476</v>
      </c>
      <c r="L765">
        <v>476</v>
      </c>
      <c r="M765">
        <v>22</v>
      </c>
      <c r="N765" t="s">
        <v>33</v>
      </c>
      <c r="O765">
        <v>4.2</v>
      </c>
      <c r="P765" s="2">
        <f>EOMONTH(Table1[[#This Row],[Order_Date]],0)</f>
        <v>45382</v>
      </c>
      <c r="Q765" s="3">
        <f>WEEKNUM(Table1[[#This Row],[Order_Date]])</f>
        <v>12</v>
      </c>
      <c r="R765">
        <f>YEAR(Table1[[#This Row],[Order_Date]])</f>
        <v>2024</v>
      </c>
      <c r="S765" t="str">
        <f>IF(Table1[[#This Row],[Quantity]]&gt;=3,"Promo","Regular")</f>
        <v>Regular</v>
      </c>
    </row>
    <row r="766" spans="1:19" x14ac:dyDescent="0.35">
      <c r="A766" t="s">
        <v>2030</v>
      </c>
      <c r="B766" t="s">
        <v>839</v>
      </c>
      <c r="C766" s="1">
        <v>45417</v>
      </c>
      <c r="D766" t="s">
        <v>48</v>
      </c>
      <c r="E766" t="s">
        <v>68</v>
      </c>
      <c r="F766" t="s">
        <v>45</v>
      </c>
      <c r="G766" t="s">
        <v>18</v>
      </c>
      <c r="H766" t="s">
        <v>66</v>
      </c>
      <c r="I766" t="s">
        <v>20</v>
      </c>
      <c r="J766">
        <v>1</v>
      </c>
      <c r="K766">
        <v>421</v>
      </c>
      <c r="L766">
        <v>421</v>
      </c>
      <c r="M766">
        <v>20</v>
      </c>
      <c r="N766" t="s">
        <v>33</v>
      </c>
      <c r="O766">
        <v>3.5</v>
      </c>
      <c r="P766" s="2">
        <f>EOMONTH(Table1[[#This Row],[Order_Date]],0)</f>
        <v>45443</v>
      </c>
      <c r="Q766" s="3">
        <f>WEEKNUM(Table1[[#This Row],[Order_Date]])</f>
        <v>19</v>
      </c>
      <c r="R766">
        <f>YEAR(Table1[[#This Row],[Order_Date]])</f>
        <v>2024</v>
      </c>
      <c r="S766" t="str">
        <f>IF(Table1[[#This Row],[Quantity]]&gt;=3,"Promo","Regular")</f>
        <v>Regular</v>
      </c>
    </row>
    <row r="767" spans="1:19" x14ac:dyDescent="0.35">
      <c r="A767" t="s">
        <v>2030</v>
      </c>
      <c r="B767" t="s">
        <v>840</v>
      </c>
      <c r="C767" s="1">
        <v>45446</v>
      </c>
      <c r="D767" t="s">
        <v>48</v>
      </c>
      <c r="E767" t="s">
        <v>49</v>
      </c>
      <c r="F767" t="s">
        <v>17</v>
      </c>
      <c r="G767" t="s">
        <v>31</v>
      </c>
      <c r="H767" t="s">
        <v>55</v>
      </c>
      <c r="I767" t="s">
        <v>20</v>
      </c>
      <c r="J767">
        <v>5</v>
      </c>
      <c r="K767">
        <v>305</v>
      </c>
      <c r="L767">
        <v>1525</v>
      </c>
      <c r="M767">
        <v>20</v>
      </c>
      <c r="N767" t="s">
        <v>21</v>
      </c>
      <c r="O767">
        <v>3</v>
      </c>
      <c r="P767" s="2">
        <f>EOMONTH(Table1[[#This Row],[Order_Date]],0)</f>
        <v>45473</v>
      </c>
      <c r="Q767" s="3">
        <f>WEEKNUM(Table1[[#This Row],[Order_Date]])</f>
        <v>23</v>
      </c>
      <c r="R767">
        <f>YEAR(Table1[[#This Row],[Order_Date]])</f>
        <v>2024</v>
      </c>
      <c r="S767" t="str">
        <f>IF(Table1[[#This Row],[Quantity]]&gt;=3,"Promo","Regular")</f>
        <v>Promo</v>
      </c>
    </row>
    <row r="768" spans="1:19" x14ac:dyDescent="0.35">
      <c r="A768" t="s">
        <v>2030</v>
      </c>
      <c r="B768" t="s">
        <v>841</v>
      </c>
      <c r="C768" s="1">
        <v>45523</v>
      </c>
      <c r="D768" t="s">
        <v>48</v>
      </c>
      <c r="E768" t="s">
        <v>49</v>
      </c>
      <c r="F768" t="s">
        <v>24</v>
      </c>
      <c r="G768" t="s">
        <v>25</v>
      </c>
      <c r="H768" t="s">
        <v>53</v>
      </c>
      <c r="I768" t="s">
        <v>20</v>
      </c>
      <c r="J768">
        <v>1</v>
      </c>
      <c r="K768">
        <v>297</v>
      </c>
      <c r="L768">
        <v>297</v>
      </c>
      <c r="M768">
        <v>44</v>
      </c>
      <c r="N768" t="s">
        <v>33</v>
      </c>
      <c r="O768">
        <v>3.4</v>
      </c>
      <c r="P768" s="2">
        <f>EOMONTH(Table1[[#This Row],[Order_Date]],0)</f>
        <v>45535</v>
      </c>
      <c r="Q768" s="3">
        <f>WEEKNUM(Table1[[#This Row],[Order_Date]])</f>
        <v>34</v>
      </c>
      <c r="R768">
        <f>YEAR(Table1[[#This Row],[Order_Date]])</f>
        <v>2024</v>
      </c>
      <c r="S768" t="str">
        <f>IF(Table1[[#This Row],[Quantity]]&gt;=3,"Promo","Regular")</f>
        <v>Regular</v>
      </c>
    </row>
    <row r="769" spans="1:19" x14ac:dyDescent="0.35">
      <c r="A769" t="s">
        <v>2031</v>
      </c>
      <c r="B769" t="s">
        <v>842</v>
      </c>
      <c r="C769" s="1">
        <v>45382</v>
      </c>
      <c r="D769" t="s">
        <v>57</v>
      </c>
      <c r="E769" t="s">
        <v>75</v>
      </c>
      <c r="F769" t="s">
        <v>69</v>
      </c>
      <c r="G769" t="s">
        <v>73</v>
      </c>
      <c r="H769" t="s">
        <v>50</v>
      </c>
      <c r="I769" t="s">
        <v>20</v>
      </c>
      <c r="J769">
        <v>3</v>
      </c>
      <c r="K769">
        <v>382</v>
      </c>
      <c r="L769">
        <v>1146</v>
      </c>
      <c r="M769">
        <v>43</v>
      </c>
      <c r="N769" t="s">
        <v>21</v>
      </c>
      <c r="O769">
        <v>4.5</v>
      </c>
      <c r="P769" s="2">
        <f>EOMONTH(Table1[[#This Row],[Order_Date]],0)</f>
        <v>45382</v>
      </c>
      <c r="Q769" s="3">
        <f>WEEKNUM(Table1[[#This Row],[Order_Date]])</f>
        <v>14</v>
      </c>
      <c r="R769">
        <f>YEAR(Table1[[#This Row],[Order_Date]])</f>
        <v>2024</v>
      </c>
      <c r="S769" t="str">
        <f>IF(Table1[[#This Row],[Quantity]]&gt;=3,"Promo","Regular")</f>
        <v>Promo</v>
      </c>
    </row>
    <row r="770" spans="1:19" x14ac:dyDescent="0.35">
      <c r="A770" t="s">
        <v>2031</v>
      </c>
      <c r="B770" t="s">
        <v>843</v>
      </c>
      <c r="C770" s="1">
        <v>45583</v>
      </c>
      <c r="D770" t="s">
        <v>15</v>
      </c>
      <c r="E770" t="s">
        <v>112</v>
      </c>
      <c r="F770" t="s">
        <v>72</v>
      </c>
      <c r="G770" t="s">
        <v>73</v>
      </c>
      <c r="H770" t="s">
        <v>19</v>
      </c>
      <c r="I770" t="s">
        <v>20</v>
      </c>
      <c r="J770">
        <v>2</v>
      </c>
      <c r="K770">
        <v>145</v>
      </c>
      <c r="L770">
        <v>290</v>
      </c>
      <c r="M770">
        <v>24</v>
      </c>
      <c r="N770" t="s">
        <v>33</v>
      </c>
      <c r="O770">
        <v>3.7</v>
      </c>
      <c r="P770" s="2">
        <f>EOMONTH(Table1[[#This Row],[Order_Date]],0)</f>
        <v>45596</v>
      </c>
      <c r="Q770" s="3">
        <f>WEEKNUM(Table1[[#This Row],[Order_Date]])</f>
        <v>42</v>
      </c>
      <c r="R770">
        <f>YEAR(Table1[[#This Row],[Order_Date]])</f>
        <v>2024</v>
      </c>
      <c r="S770" t="str">
        <f>IF(Table1[[#This Row],[Quantity]]&gt;=3,"Promo","Regular")</f>
        <v>Regular</v>
      </c>
    </row>
    <row r="771" spans="1:19" x14ac:dyDescent="0.35">
      <c r="A771" t="s">
        <v>2031</v>
      </c>
      <c r="B771" t="s">
        <v>844</v>
      </c>
      <c r="C771" s="1">
        <v>45338</v>
      </c>
      <c r="D771" t="s">
        <v>57</v>
      </c>
      <c r="E771" t="s">
        <v>105</v>
      </c>
      <c r="F771" t="s">
        <v>35</v>
      </c>
      <c r="G771" t="s">
        <v>36</v>
      </c>
      <c r="H771" t="s">
        <v>26</v>
      </c>
      <c r="I771" t="s">
        <v>20</v>
      </c>
      <c r="J771">
        <v>4</v>
      </c>
      <c r="K771">
        <v>449</v>
      </c>
      <c r="L771">
        <v>1796</v>
      </c>
      <c r="M771">
        <v>36</v>
      </c>
      <c r="N771" t="s">
        <v>33</v>
      </c>
      <c r="O771">
        <v>4.8</v>
      </c>
      <c r="P771" s="2">
        <f>EOMONTH(Table1[[#This Row],[Order_Date]],0)</f>
        <v>45351</v>
      </c>
      <c r="Q771" s="3">
        <f>WEEKNUM(Table1[[#This Row],[Order_Date]])</f>
        <v>7</v>
      </c>
      <c r="R771">
        <f>YEAR(Table1[[#This Row],[Order_Date]])</f>
        <v>2024</v>
      </c>
      <c r="S771" t="str">
        <f>IF(Table1[[#This Row],[Quantity]]&gt;=3,"Promo","Regular")</f>
        <v>Promo</v>
      </c>
    </row>
    <row r="772" spans="1:19" x14ac:dyDescent="0.35">
      <c r="A772" t="s">
        <v>2031</v>
      </c>
      <c r="B772" t="s">
        <v>845</v>
      </c>
      <c r="C772" s="1">
        <v>45508</v>
      </c>
      <c r="D772" t="s">
        <v>48</v>
      </c>
      <c r="E772" t="s">
        <v>49</v>
      </c>
      <c r="F772" t="s">
        <v>35</v>
      </c>
      <c r="G772" t="s">
        <v>73</v>
      </c>
      <c r="H772" t="s">
        <v>66</v>
      </c>
      <c r="I772" t="s">
        <v>20</v>
      </c>
      <c r="J772">
        <v>5</v>
      </c>
      <c r="K772">
        <v>491</v>
      </c>
      <c r="L772">
        <v>2455</v>
      </c>
      <c r="M772">
        <v>27</v>
      </c>
      <c r="N772" t="s">
        <v>21</v>
      </c>
      <c r="O772">
        <v>3.6</v>
      </c>
      <c r="P772" s="2">
        <f>EOMONTH(Table1[[#This Row],[Order_Date]],0)</f>
        <v>45535</v>
      </c>
      <c r="Q772" s="3">
        <f>WEEKNUM(Table1[[#This Row],[Order_Date]])</f>
        <v>32</v>
      </c>
      <c r="R772">
        <f>YEAR(Table1[[#This Row],[Order_Date]])</f>
        <v>2024</v>
      </c>
      <c r="S772" t="str">
        <f>IF(Table1[[#This Row],[Quantity]]&gt;=3,"Promo","Regular")</f>
        <v>Promo</v>
      </c>
    </row>
    <row r="773" spans="1:19" x14ac:dyDescent="0.35">
      <c r="A773" t="s">
        <v>2031</v>
      </c>
      <c r="B773" t="s">
        <v>846</v>
      </c>
      <c r="C773" s="1">
        <v>45461</v>
      </c>
      <c r="D773" t="s">
        <v>57</v>
      </c>
      <c r="E773" t="s">
        <v>58</v>
      </c>
      <c r="F773" t="s">
        <v>85</v>
      </c>
      <c r="G773" t="s">
        <v>31</v>
      </c>
      <c r="H773" t="s">
        <v>53</v>
      </c>
      <c r="I773" t="s">
        <v>20</v>
      </c>
      <c r="J773">
        <v>2</v>
      </c>
      <c r="K773">
        <v>233</v>
      </c>
      <c r="L773">
        <v>466</v>
      </c>
      <c r="M773">
        <v>55</v>
      </c>
      <c r="N773" t="s">
        <v>33</v>
      </c>
      <c r="O773">
        <v>3.6</v>
      </c>
      <c r="P773" s="2">
        <f>EOMONTH(Table1[[#This Row],[Order_Date]],0)</f>
        <v>45473</v>
      </c>
      <c r="Q773" s="3">
        <f>WEEKNUM(Table1[[#This Row],[Order_Date]])</f>
        <v>25</v>
      </c>
      <c r="R773">
        <f>YEAR(Table1[[#This Row],[Order_Date]])</f>
        <v>2024</v>
      </c>
      <c r="S773" t="str">
        <f>IF(Table1[[#This Row],[Quantity]]&gt;=3,"Promo","Regular")</f>
        <v>Regular</v>
      </c>
    </row>
    <row r="774" spans="1:19" x14ac:dyDescent="0.35">
      <c r="A774" t="s">
        <v>2032</v>
      </c>
      <c r="B774" t="s">
        <v>847</v>
      </c>
      <c r="C774" s="1">
        <v>45568</v>
      </c>
      <c r="D774" t="s">
        <v>28</v>
      </c>
      <c r="E774" t="s">
        <v>29</v>
      </c>
      <c r="F774" t="s">
        <v>65</v>
      </c>
      <c r="G774" t="s">
        <v>18</v>
      </c>
      <c r="H774" t="s">
        <v>50</v>
      </c>
      <c r="I774" t="s">
        <v>20</v>
      </c>
      <c r="J774">
        <v>4</v>
      </c>
      <c r="K774">
        <v>170</v>
      </c>
      <c r="L774">
        <v>680</v>
      </c>
      <c r="M774">
        <v>52</v>
      </c>
      <c r="N774" t="s">
        <v>38</v>
      </c>
      <c r="O774">
        <v>3.6</v>
      </c>
      <c r="P774" s="2">
        <f>EOMONTH(Table1[[#This Row],[Order_Date]],0)</f>
        <v>45596</v>
      </c>
      <c r="Q774" s="3">
        <f>WEEKNUM(Table1[[#This Row],[Order_Date]])</f>
        <v>40</v>
      </c>
      <c r="R774">
        <f>YEAR(Table1[[#This Row],[Order_Date]])</f>
        <v>2024</v>
      </c>
      <c r="S774" t="str">
        <f>IF(Table1[[#This Row],[Quantity]]&gt;=3,"Promo","Regular")</f>
        <v>Promo</v>
      </c>
    </row>
    <row r="775" spans="1:19" x14ac:dyDescent="0.35">
      <c r="A775" t="s">
        <v>2032</v>
      </c>
      <c r="B775" t="s">
        <v>848</v>
      </c>
      <c r="C775" s="1">
        <v>45357</v>
      </c>
      <c r="D775" t="s">
        <v>28</v>
      </c>
      <c r="E775" t="s">
        <v>40</v>
      </c>
      <c r="F775" t="s">
        <v>41</v>
      </c>
      <c r="G775" t="s">
        <v>46</v>
      </c>
      <c r="H775" t="s">
        <v>19</v>
      </c>
      <c r="I775" t="s">
        <v>20</v>
      </c>
      <c r="J775">
        <v>3</v>
      </c>
      <c r="K775">
        <v>136</v>
      </c>
      <c r="L775">
        <v>408</v>
      </c>
      <c r="M775">
        <v>52</v>
      </c>
      <c r="N775" t="s">
        <v>33</v>
      </c>
      <c r="O775">
        <v>3.8</v>
      </c>
      <c r="P775" s="2">
        <f>EOMONTH(Table1[[#This Row],[Order_Date]],0)</f>
        <v>45382</v>
      </c>
      <c r="Q775" s="3">
        <f>WEEKNUM(Table1[[#This Row],[Order_Date]])</f>
        <v>10</v>
      </c>
      <c r="R775">
        <f>YEAR(Table1[[#This Row],[Order_Date]])</f>
        <v>2024</v>
      </c>
      <c r="S775" t="str">
        <f>IF(Table1[[#This Row],[Quantity]]&gt;=3,"Promo","Regular")</f>
        <v>Promo</v>
      </c>
    </row>
    <row r="776" spans="1:19" x14ac:dyDescent="0.35">
      <c r="A776" t="s">
        <v>2032</v>
      </c>
      <c r="B776" t="s">
        <v>849</v>
      </c>
      <c r="C776" s="1">
        <v>45361</v>
      </c>
      <c r="D776" t="s">
        <v>48</v>
      </c>
      <c r="E776" t="s">
        <v>68</v>
      </c>
      <c r="F776" t="s">
        <v>69</v>
      </c>
      <c r="G776" t="s">
        <v>73</v>
      </c>
      <c r="H776" t="s">
        <v>32</v>
      </c>
      <c r="I776" t="s">
        <v>20</v>
      </c>
      <c r="J776">
        <v>2</v>
      </c>
      <c r="K776">
        <v>198</v>
      </c>
      <c r="L776">
        <v>396</v>
      </c>
      <c r="M776">
        <v>38</v>
      </c>
      <c r="N776" t="s">
        <v>21</v>
      </c>
      <c r="O776">
        <v>3.6</v>
      </c>
      <c r="P776" s="2">
        <f>EOMONTH(Table1[[#This Row],[Order_Date]],0)</f>
        <v>45382</v>
      </c>
      <c r="Q776" s="3">
        <f>WEEKNUM(Table1[[#This Row],[Order_Date]])</f>
        <v>11</v>
      </c>
      <c r="R776">
        <f>YEAR(Table1[[#This Row],[Order_Date]])</f>
        <v>2024</v>
      </c>
      <c r="S776" t="str">
        <f>IF(Table1[[#This Row],[Quantity]]&gt;=3,"Promo","Regular")</f>
        <v>Regular</v>
      </c>
    </row>
    <row r="777" spans="1:19" x14ac:dyDescent="0.35">
      <c r="A777" t="s">
        <v>2032</v>
      </c>
      <c r="B777" t="s">
        <v>850</v>
      </c>
      <c r="C777" s="1">
        <v>45524</v>
      </c>
      <c r="D777" t="s">
        <v>28</v>
      </c>
      <c r="E777" t="s">
        <v>77</v>
      </c>
      <c r="F777" t="s">
        <v>45</v>
      </c>
      <c r="G777" t="s">
        <v>46</v>
      </c>
      <c r="H777" t="s">
        <v>26</v>
      </c>
      <c r="I777" t="s">
        <v>20</v>
      </c>
      <c r="J777">
        <v>5</v>
      </c>
      <c r="K777">
        <v>328</v>
      </c>
      <c r="L777">
        <v>1640</v>
      </c>
      <c r="M777">
        <v>20</v>
      </c>
      <c r="N777" t="s">
        <v>33</v>
      </c>
      <c r="O777">
        <v>3.5</v>
      </c>
      <c r="P777" s="2">
        <f>EOMONTH(Table1[[#This Row],[Order_Date]],0)</f>
        <v>45535</v>
      </c>
      <c r="Q777" s="3">
        <f>WEEKNUM(Table1[[#This Row],[Order_Date]])</f>
        <v>34</v>
      </c>
      <c r="R777">
        <f>YEAR(Table1[[#This Row],[Order_Date]])</f>
        <v>2024</v>
      </c>
      <c r="S777" t="str">
        <f>IF(Table1[[#This Row],[Quantity]]&gt;=3,"Promo","Regular")</f>
        <v>Promo</v>
      </c>
    </row>
    <row r="778" spans="1:19" x14ac:dyDescent="0.35">
      <c r="A778" t="s">
        <v>2033</v>
      </c>
      <c r="B778" t="s">
        <v>851</v>
      </c>
      <c r="C778" s="1">
        <v>45413</v>
      </c>
      <c r="D778" t="s">
        <v>48</v>
      </c>
      <c r="E778" t="s">
        <v>64</v>
      </c>
      <c r="F778" t="s">
        <v>30</v>
      </c>
      <c r="G778" t="s">
        <v>36</v>
      </c>
      <c r="H778" t="s">
        <v>66</v>
      </c>
      <c r="I778" t="s">
        <v>20</v>
      </c>
      <c r="J778">
        <v>2</v>
      </c>
      <c r="K778">
        <v>159</v>
      </c>
      <c r="L778">
        <v>318</v>
      </c>
      <c r="M778">
        <v>53</v>
      </c>
      <c r="N778" t="s">
        <v>38</v>
      </c>
      <c r="O778">
        <v>4.8</v>
      </c>
      <c r="P778" s="2">
        <f>EOMONTH(Table1[[#This Row],[Order_Date]],0)</f>
        <v>45443</v>
      </c>
      <c r="Q778" s="3">
        <f>WEEKNUM(Table1[[#This Row],[Order_Date]])</f>
        <v>18</v>
      </c>
      <c r="R778">
        <f>YEAR(Table1[[#This Row],[Order_Date]])</f>
        <v>2024</v>
      </c>
      <c r="S778" t="str">
        <f>IF(Table1[[#This Row],[Quantity]]&gt;=3,"Promo","Regular")</f>
        <v>Regular</v>
      </c>
    </row>
    <row r="779" spans="1:19" x14ac:dyDescent="0.35">
      <c r="A779" t="s">
        <v>2033</v>
      </c>
      <c r="B779" t="s">
        <v>852</v>
      </c>
      <c r="C779" s="1">
        <v>45497</v>
      </c>
      <c r="D779" t="s">
        <v>48</v>
      </c>
      <c r="E779" t="s">
        <v>68</v>
      </c>
      <c r="F779" t="s">
        <v>69</v>
      </c>
      <c r="G779" t="s">
        <v>73</v>
      </c>
      <c r="H779" t="s">
        <v>120</v>
      </c>
      <c r="I779" t="s">
        <v>60</v>
      </c>
      <c r="J779">
        <v>3</v>
      </c>
      <c r="K779">
        <v>237</v>
      </c>
      <c r="L779">
        <v>711</v>
      </c>
      <c r="M779">
        <v>34</v>
      </c>
      <c r="N779" t="s">
        <v>33</v>
      </c>
      <c r="O779">
        <v>3.1</v>
      </c>
      <c r="P779" s="2">
        <f>EOMONTH(Table1[[#This Row],[Order_Date]],0)</f>
        <v>45504</v>
      </c>
      <c r="Q779" s="3">
        <f>WEEKNUM(Table1[[#This Row],[Order_Date]])</f>
        <v>30</v>
      </c>
      <c r="R779">
        <f>YEAR(Table1[[#This Row],[Order_Date]])</f>
        <v>2024</v>
      </c>
      <c r="S779" t="str">
        <f>IF(Table1[[#This Row],[Quantity]]&gt;=3,"Promo","Regular")</f>
        <v>Promo</v>
      </c>
    </row>
    <row r="780" spans="1:19" x14ac:dyDescent="0.35">
      <c r="A780" t="s">
        <v>2034</v>
      </c>
      <c r="B780" t="s">
        <v>853</v>
      </c>
      <c r="C780" s="1">
        <v>45535</v>
      </c>
      <c r="D780" t="s">
        <v>28</v>
      </c>
      <c r="E780" t="s">
        <v>98</v>
      </c>
      <c r="F780" t="s">
        <v>45</v>
      </c>
      <c r="G780" t="s">
        <v>46</v>
      </c>
      <c r="H780" t="s">
        <v>32</v>
      </c>
      <c r="I780" t="s">
        <v>20</v>
      </c>
      <c r="J780">
        <v>5</v>
      </c>
      <c r="K780">
        <v>399</v>
      </c>
      <c r="L780">
        <v>1995</v>
      </c>
      <c r="M780">
        <v>43</v>
      </c>
      <c r="N780" t="s">
        <v>38</v>
      </c>
      <c r="O780">
        <v>4.4000000000000004</v>
      </c>
      <c r="P780" s="2">
        <f>EOMONTH(Table1[[#This Row],[Order_Date]],0)</f>
        <v>45535</v>
      </c>
      <c r="Q780" s="3">
        <f>WEEKNUM(Table1[[#This Row],[Order_Date]])</f>
        <v>35</v>
      </c>
      <c r="R780">
        <f>YEAR(Table1[[#This Row],[Order_Date]])</f>
        <v>2024</v>
      </c>
      <c r="S780" t="str">
        <f>IF(Table1[[#This Row],[Quantity]]&gt;=3,"Promo","Regular")</f>
        <v>Promo</v>
      </c>
    </row>
    <row r="781" spans="1:19" x14ac:dyDescent="0.35">
      <c r="A781" t="s">
        <v>2034</v>
      </c>
      <c r="B781" t="s">
        <v>854</v>
      </c>
      <c r="C781" s="1">
        <v>45380</v>
      </c>
      <c r="D781" t="s">
        <v>57</v>
      </c>
      <c r="E781" t="s">
        <v>136</v>
      </c>
      <c r="F781" t="s">
        <v>65</v>
      </c>
      <c r="G781" t="s">
        <v>31</v>
      </c>
      <c r="H781" t="s">
        <v>66</v>
      </c>
      <c r="I781" t="s">
        <v>20</v>
      </c>
      <c r="J781">
        <v>5</v>
      </c>
      <c r="K781">
        <v>213</v>
      </c>
      <c r="L781">
        <v>1065</v>
      </c>
      <c r="M781">
        <v>20</v>
      </c>
      <c r="N781" t="s">
        <v>33</v>
      </c>
      <c r="O781">
        <v>3.3</v>
      </c>
      <c r="P781" s="2">
        <f>EOMONTH(Table1[[#This Row],[Order_Date]],0)</f>
        <v>45382</v>
      </c>
      <c r="Q781" s="3">
        <f>WEEKNUM(Table1[[#This Row],[Order_Date]])</f>
        <v>13</v>
      </c>
      <c r="R781">
        <f>YEAR(Table1[[#This Row],[Order_Date]])</f>
        <v>2024</v>
      </c>
      <c r="S781" t="str">
        <f>IF(Table1[[#This Row],[Quantity]]&gt;=3,"Promo","Regular")</f>
        <v>Promo</v>
      </c>
    </row>
    <row r="782" spans="1:19" x14ac:dyDescent="0.35">
      <c r="A782" t="s">
        <v>2034</v>
      </c>
      <c r="B782" t="s">
        <v>855</v>
      </c>
      <c r="C782" s="1">
        <v>45497</v>
      </c>
      <c r="D782" t="s">
        <v>28</v>
      </c>
      <c r="E782" t="s">
        <v>40</v>
      </c>
      <c r="F782" t="s">
        <v>65</v>
      </c>
      <c r="G782" t="s">
        <v>73</v>
      </c>
      <c r="H782" t="s">
        <v>32</v>
      </c>
      <c r="I782" t="s">
        <v>20</v>
      </c>
      <c r="J782">
        <v>4</v>
      </c>
      <c r="K782">
        <v>137</v>
      </c>
      <c r="L782">
        <v>548</v>
      </c>
      <c r="M782">
        <v>52</v>
      </c>
      <c r="N782" t="s">
        <v>38</v>
      </c>
      <c r="O782">
        <v>3.8</v>
      </c>
      <c r="P782" s="2">
        <f>EOMONTH(Table1[[#This Row],[Order_Date]],0)</f>
        <v>45504</v>
      </c>
      <c r="Q782" s="3">
        <f>WEEKNUM(Table1[[#This Row],[Order_Date]])</f>
        <v>30</v>
      </c>
      <c r="R782">
        <f>YEAR(Table1[[#This Row],[Order_Date]])</f>
        <v>2024</v>
      </c>
      <c r="S782" t="str">
        <f>IF(Table1[[#This Row],[Quantity]]&gt;=3,"Promo","Regular")</f>
        <v>Promo</v>
      </c>
    </row>
    <row r="783" spans="1:19" x14ac:dyDescent="0.35">
      <c r="A783" t="s">
        <v>2034</v>
      </c>
      <c r="B783" t="s">
        <v>856</v>
      </c>
      <c r="C783" s="1">
        <v>45377</v>
      </c>
      <c r="D783" t="s">
        <v>43</v>
      </c>
      <c r="E783" t="s">
        <v>44</v>
      </c>
      <c r="F783" t="s">
        <v>17</v>
      </c>
      <c r="G783" t="s">
        <v>36</v>
      </c>
      <c r="H783" t="s">
        <v>32</v>
      </c>
      <c r="I783" t="s">
        <v>20</v>
      </c>
      <c r="J783">
        <v>3</v>
      </c>
      <c r="K783">
        <v>396</v>
      </c>
      <c r="L783">
        <v>1188</v>
      </c>
      <c r="M783">
        <v>60</v>
      </c>
      <c r="N783" t="s">
        <v>38</v>
      </c>
      <c r="O783">
        <v>5</v>
      </c>
      <c r="P783" s="2">
        <f>EOMONTH(Table1[[#This Row],[Order_Date]],0)</f>
        <v>45382</v>
      </c>
      <c r="Q783" s="3">
        <f>WEEKNUM(Table1[[#This Row],[Order_Date]])</f>
        <v>13</v>
      </c>
      <c r="R783">
        <f>YEAR(Table1[[#This Row],[Order_Date]])</f>
        <v>2024</v>
      </c>
      <c r="S783" t="str">
        <f>IF(Table1[[#This Row],[Quantity]]&gt;=3,"Promo","Regular")</f>
        <v>Promo</v>
      </c>
    </row>
    <row r="784" spans="1:19" x14ac:dyDescent="0.35">
      <c r="A784" t="s">
        <v>2035</v>
      </c>
      <c r="B784" t="s">
        <v>857</v>
      </c>
      <c r="C784" s="1">
        <v>45560</v>
      </c>
      <c r="D784" t="s">
        <v>57</v>
      </c>
      <c r="E784" t="s">
        <v>62</v>
      </c>
      <c r="F784" t="s">
        <v>24</v>
      </c>
      <c r="G784" t="s">
        <v>36</v>
      </c>
      <c r="H784" t="s">
        <v>37</v>
      </c>
      <c r="I784" t="s">
        <v>20</v>
      </c>
      <c r="J784">
        <v>3</v>
      </c>
      <c r="K784">
        <v>125</v>
      </c>
      <c r="L784">
        <v>375</v>
      </c>
      <c r="M784">
        <v>46</v>
      </c>
      <c r="N784" t="s">
        <v>21</v>
      </c>
      <c r="O784">
        <v>3.8</v>
      </c>
      <c r="P784" s="2">
        <f>EOMONTH(Table1[[#This Row],[Order_Date]],0)</f>
        <v>45565</v>
      </c>
      <c r="Q784" s="3">
        <f>WEEKNUM(Table1[[#This Row],[Order_Date]])</f>
        <v>39</v>
      </c>
      <c r="R784">
        <f>YEAR(Table1[[#This Row],[Order_Date]])</f>
        <v>2024</v>
      </c>
      <c r="S784" t="str">
        <f>IF(Table1[[#This Row],[Quantity]]&gt;=3,"Promo","Regular")</f>
        <v>Promo</v>
      </c>
    </row>
    <row r="785" spans="1:19" x14ac:dyDescent="0.35">
      <c r="A785" t="s">
        <v>2035</v>
      </c>
      <c r="B785" t="s">
        <v>858</v>
      </c>
      <c r="C785" s="1">
        <v>45529</v>
      </c>
      <c r="D785" t="s">
        <v>57</v>
      </c>
      <c r="E785" t="s">
        <v>105</v>
      </c>
      <c r="F785" t="s">
        <v>24</v>
      </c>
      <c r="G785" t="s">
        <v>18</v>
      </c>
      <c r="H785" t="s">
        <v>50</v>
      </c>
      <c r="I785" t="s">
        <v>20</v>
      </c>
      <c r="J785">
        <v>4</v>
      </c>
      <c r="K785">
        <v>460</v>
      </c>
      <c r="L785">
        <v>1840</v>
      </c>
      <c r="M785">
        <v>58</v>
      </c>
      <c r="N785" t="s">
        <v>38</v>
      </c>
      <c r="O785">
        <v>4.3</v>
      </c>
      <c r="P785" s="2">
        <f>EOMONTH(Table1[[#This Row],[Order_Date]],0)</f>
        <v>45535</v>
      </c>
      <c r="Q785" s="3">
        <f>WEEKNUM(Table1[[#This Row],[Order_Date]])</f>
        <v>35</v>
      </c>
      <c r="R785">
        <f>YEAR(Table1[[#This Row],[Order_Date]])</f>
        <v>2024</v>
      </c>
      <c r="S785" t="str">
        <f>IF(Table1[[#This Row],[Quantity]]&gt;=3,"Promo","Regular")</f>
        <v>Promo</v>
      </c>
    </row>
    <row r="786" spans="1:19" x14ac:dyDescent="0.35">
      <c r="A786" t="s">
        <v>2035</v>
      </c>
      <c r="B786" t="s">
        <v>859</v>
      </c>
      <c r="C786" s="1">
        <v>45346</v>
      </c>
      <c r="D786" t="s">
        <v>57</v>
      </c>
      <c r="E786" t="s">
        <v>62</v>
      </c>
      <c r="F786" t="s">
        <v>35</v>
      </c>
      <c r="G786" t="s">
        <v>25</v>
      </c>
      <c r="H786" t="s">
        <v>32</v>
      </c>
      <c r="I786" t="s">
        <v>20</v>
      </c>
      <c r="J786">
        <v>5</v>
      </c>
      <c r="K786">
        <v>107</v>
      </c>
      <c r="L786">
        <v>535</v>
      </c>
      <c r="M786">
        <v>38</v>
      </c>
      <c r="N786" t="s">
        <v>38</v>
      </c>
      <c r="O786">
        <v>4.3</v>
      </c>
      <c r="P786" s="2">
        <f>EOMONTH(Table1[[#This Row],[Order_Date]],0)</f>
        <v>45351</v>
      </c>
      <c r="Q786" s="3">
        <f>WEEKNUM(Table1[[#This Row],[Order_Date]])</f>
        <v>8</v>
      </c>
      <c r="R786">
        <f>YEAR(Table1[[#This Row],[Order_Date]])</f>
        <v>2024</v>
      </c>
      <c r="S786" t="str">
        <f>IF(Table1[[#This Row],[Quantity]]&gt;=3,"Promo","Regular")</f>
        <v>Promo</v>
      </c>
    </row>
    <row r="787" spans="1:19" x14ac:dyDescent="0.35">
      <c r="A787" t="s">
        <v>2036</v>
      </c>
      <c r="B787" t="s">
        <v>860</v>
      </c>
      <c r="C787" s="1">
        <v>45401</v>
      </c>
      <c r="D787" t="s">
        <v>28</v>
      </c>
      <c r="E787" t="s">
        <v>98</v>
      </c>
      <c r="F787" t="s">
        <v>24</v>
      </c>
      <c r="G787" t="s">
        <v>46</v>
      </c>
      <c r="H787" t="s">
        <v>120</v>
      </c>
      <c r="I787" t="s">
        <v>60</v>
      </c>
      <c r="J787">
        <v>4</v>
      </c>
      <c r="K787">
        <v>325</v>
      </c>
      <c r="L787">
        <v>1300</v>
      </c>
      <c r="M787">
        <v>29</v>
      </c>
      <c r="N787" t="s">
        <v>33</v>
      </c>
      <c r="O787">
        <v>4.7</v>
      </c>
      <c r="P787" s="2">
        <f>EOMONTH(Table1[[#This Row],[Order_Date]],0)</f>
        <v>45412</v>
      </c>
      <c r="Q787" s="3">
        <f>WEEKNUM(Table1[[#This Row],[Order_Date]])</f>
        <v>16</v>
      </c>
      <c r="R787">
        <f>YEAR(Table1[[#This Row],[Order_Date]])</f>
        <v>2024</v>
      </c>
      <c r="S787" t="str">
        <f>IF(Table1[[#This Row],[Quantity]]&gt;=3,"Promo","Regular")</f>
        <v>Promo</v>
      </c>
    </row>
    <row r="788" spans="1:19" x14ac:dyDescent="0.35">
      <c r="A788" t="s">
        <v>2036</v>
      </c>
      <c r="B788" t="s">
        <v>861</v>
      </c>
      <c r="C788" s="1">
        <v>45330</v>
      </c>
      <c r="D788" t="s">
        <v>15</v>
      </c>
      <c r="E788" t="s">
        <v>23</v>
      </c>
      <c r="F788" t="s">
        <v>65</v>
      </c>
      <c r="G788" t="s">
        <v>73</v>
      </c>
      <c r="H788" t="s">
        <v>50</v>
      </c>
      <c r="I788" t="s">
        <v>20</v>
      </c>
      <c r="J788">
        <v>1</v>
      </c>
      <c r="K788">
        <v>236</v>
      </c>
      <c r="L788">
        <v>236</v>
      </c>
      <c r="M788">
        <v>41</v>
      </c>
      <c r="N788" t="s">
        <v>33</v>
      </c>
      <c r="O788">
        <v>3.2</v>
      </c>
      <c r="P788" s="2">
        <f>EOMONTH(Table1[[#This Row],[Order_Date]],0)</f>
        <v>45351</v>
      </c>
      <c r="Q788" s="3">
        <f>WEEKNUM(Table1[[#This Row],[Order_Date]])</f>
        <v>6</v>
      </c>
      <c r="R788">
        <f>YEAR(Table1[[#This Row],[Order_Date]])</f>
        <v>2024</v>
      </c>
      <c r="S788" t="str">
        <f>IF(Table1[[#This Row],[Quantity]]&gt;=3,"Promo","Regular")</f>
        <v>Regular</v>
      </c>
    </row>
    <row r="789" spans="1:19" x14ac:dyDescent="0.35">
      <c r="A789" t="s">
        <v>2037</v>
      </c>
      <c r="B789" t="s">
        <v>862</v>
      </c>
      <c r="C789" s="1">
        <v>45371</v>
      </c>
      <c r="D789" t="s">
        <v>28</v>
      </c>
      <c r="E789" t="s">
        <v>77</v>
      </c>
      <c r="F789" t="s">
        <v>24</v>
      </c>
      <c r="G789" t="s">
        <v>73</v>
      </c>
      <c r="H789" t="s">
        <v>26</v>
      </c>
      <c r="I789" t="s">
        <v>20</v>
      </c>
      <c r="J789">
        <v>1</v>
      </c>
      <c r="K789">
        <v>449</v>
      </c>
      <c r="L789">
        <v>449</v>
      </c>
      <c r="M789">
        <v>43</v>
      </c>
      <c r="N789" t="s">
        <v>33</v>
      </c>
      <c r="O789">
        <v>4.8</v>
      </c>
      <c r="P789" s="2">
        <f>EOMONTH(Table1[[#This Row],[Order_Date]],0)</f>
        <v>45382</v>
      </c>
      <c r="Q789" s="3">
        <f>WEEKNUM(Table1[[#This Row],[Order_Date]])</f>
        <v>12</v>
      </c>
      <c r="R789">
        <f>YEAR(Table1[[#This Row],[Order_Date]])</f>
        <v>2024</v>
      </c>
      <c r="S789" t="str">
        <f>IF(Table1[[#This Row],[Quantity]]&gt;=3,"Promo","Regular")</f>
        <v>Regular</v>
      </c>
    </row>
    <row r="790" spans="1:19" x14ac:dyDescent="0.35">
      <c r="A790" t="s">
        <v>2037</v>
      </c>
      <c r="B790" t="s">
        <v>863</v>
      </c>
      <c r="C790" s="1">
        <v>45584</v>
      </c>
      <c r="D790" t="s">
        <v>48</v>
      </c>
      <c r="E790" t="s">
        <v>132</v>
      </c>
      <c r="F790" t="s">
        <v>85</v>
      </c>
      <c r="G790" t="s">
        <v>31</v>
      </c>
      <c r="H790" t="s">
        <v>32</v>
      </c>
      <c r="I790" t="s">
        <v>20</v>
      </c>
      <c r="J790">
        <v>4</v>
      </c>
      <c r="K790">
        <v>348</v>
      </c>
      <c r="L790">
        <v>1392</v>
      </c>
      <c r="M790">
        <v>23</v>
      </c>
      <c r="N790" t="s">
        <v>33</v>
      </c>
      <c r="O790">
        <v>3.5</v>
      </c>
      <c r="P790" s="2">
        <f>EOMONTH(Table1[[#This Row],[Order_Date]],0)</f>
        <v>45596</v>
      </c>
      <c r="Q790" s="3">
        <f>WEEKNUM(Table1[[#This Row],[Order_Date]])</f>
        <v>42</v>
      </c>
      <c r="R790">
        <f>YEAR(Table1[[#This Row],[Order_Date]])</f>
        <v>2024</v>
      </c>
      <c r="S790" t="str">
        <f>IF(Table1[[#This Row],[Quantity]]&gt;=3,"Promo","Regular")</f>
        <v>Promo</v>
      </c>
    </row>
    <row r="791" spans="1:19" x14ac:dyDescent="0.35">
      <c r="A791" t="s">
        <v>2037</v>
      </c>
      <c r="B791" t="s">
        <v>864</v>
      </c>
      <c r="C791" s="1">
        <v>45521</v>
      </c>
      <c r="D791" t="s">
        <v>48</v>
      </c>
      <c r="E791" t="s">
        <v>68</v>
      </c>
      <c r="F791" t="s">
        <v>35</v>
      </c>
      <c r="G791" t="s">
        <v>73</v>
      </c>
      <c r="H791" t="s">
        <v>26</v>
      </c>
      <c r="I791" t="s">
        <v>20</v>
      </c>
      <c r="J791">
        <v>1</v>
      </c>
      <c r="K791">
        <v>276</v>
      </c>
      <c r="L791">
        <v>276</v>
      </c>
      <c r="M791">
        <v>45</v>
      </c>
      <c r="N791" t="s">
        <v>33</v>
      </c>
      <c r="O791">
        <v>4.3</v>
      </c>
      <c r="P791" s="2">
        <f>EOMONTH(Table1[[#This Row],[Order_Date]],0)</f>
        <v>45535</v>
      </c>
      <c r="Q791" s="3">
        <f>WEEKNUM(Table1[[#This Row],[Order_Date]])</f>
        <v>33</v>
      </c>
      <c r="R791">
        <f>YEAR(Table1[[#This Row],[Order_Date]])</f>
        <v>2024</v>
      </c>
      <c r="S791" t="str">
        <f>IF(Table1[[#This Row],[Quantity]]&gt;=3,"Promo","Regular")</f>
        <v>Regular</v>
      </c>
    </row>
    <row r="792" spans="1:19" x14ac:dyDescent="0.35">
      <c r="A792" t="s">
        <v>2038</v>
      </c>
      <c r="B792" t="s">
        <v>865</v>
      </c>
      <c r="C792" s="1">
        <v>45411</v>
      </c>
      <c r="D792" t="s">
        <v>15</v>
      </c>
      <c r="E792" t="s">
        <v>23</v>
      </c>
      <c r="F792" t="s">
        <v>85</v>
      </c>
      <c r="G792" t="s">
        <v>31</v>
      </c>
      <c r="H792" t="s">
        <v>55</v>
      </c>
      <c r="I792" t="s">
        <v>20</v>
      </c>
      <c r="J792">
        <v>3</v>
      </c>
      <c r="K792">
        <v>133</v>
      </c>
      <c r="L792">
        <v>399</v>
      </c>
      <c r="M792">
        <v>47</v>
      </c>
      <c r="N792" t="s">
        <v>38</v>
      </c>
      <c r="O792">
        <v>3.7</v>
      </c>
      <c r="P792" s="2">
        <f>EOMONTH(Table1[[#This Row],[Order_Date]],0)</f>
        <v>45412</v>
      </c>
      <c r="Q792" s="3">
        <f>WEEKNUM(Table1[[#This Row],[Order_Date]])</f>
        <v>18</v>
      </c>
      <c r="R792">
        <f>YEAR(Table1[[#This Row],[Order_Date]])</f>
        <v>2024</v>
      </c>
      <c r="S792" t="str">
        <f>IF(Table1[[#This Row],[Quantity]]&gt;=3,"Promo","Regular")</f>
        <v>Promo</v>
      </c>
    </row>
    <row r="793" spans="1:19" x14ac:dyDescent="0.35">
      <c r="A793" t="s">
        <v>2038</v>
      </c>
      <c r="B793" t="s">
        <v>866</v>
      </c>
      <c r="C793" s="1">
        <v>45327</v>
      </c>
      <c r="D793" t="s">
        <v>43</v>
      </c>
      <c r="E793" t="s">
        <v>52</v>
      </c>
      <c r="F793" t="s">
        <v>69</v>
      </c>
      <c r="G793" t="s">
        <v>36</v>
      </c>
      <c r="H793" t="s">
        <v>32</v>
      </c>
      <c r="I793" t="s">
        <v>20</v>
      </c>
      <c r="J793">
        <v>3</v>
      </c>
      <c r="K793">
        <v>269</v>
      </c>
      <c r="L793">
        <v>807</v>
      </c>
      <c r="M793">
        <v>49</v>
      </c>
      <c r="N793" t="s">
        <v>21</v>
      </c>
      <c r="O793">
        <v>3</v>
      </c>
      <c r="P793" s="2">
        <f>EOMONTH(Table1[[#This Row],[Order_Date]],0)</f>
        <v>45351</v>
      </c>
      <c r="Q793" s="3">
        <f>WEEKNUM(Table1[[#This Row],[Order_Date]])</f>
        <v>6</v>
      </c>
      <c r="R793">
        <f>YEAR(Table1[[#This Row],[Order_Date]])</f>
        <v>2024</v>
      </c>
      <c r="S793" t="str">
        <f>IF(Table1[[#This Row],[Quantity]]&gt;=3,"Promo","Regular")</f>
        <v>Promo</v>
      </c>
    </row>
    <row r="794" spans="1:19" x14ac:dyDescent="0.35">
      <c r="A794" t="s">
        <v>2039</v>
      </c>
      <c r="B794" t="s">
        <v>867</v>
      </c>
      <c r="C794" s="1">
        <v>45513</v>
      </c>
      <c r="D794" t="s">
        <v>28</v>
      </c>
      <c r="E794" t="s">
        <v>98</v>
      </c>
      <c r="F794" t="s">
        <v>30</v>
      </c>
      <c r="G794" t="s">
        <v>46</v>
      </c>
      <c r="H794" t="s">
        <v>53</v>
      </c>
      <c r="I794" t="s">
        <v>20</v>
      </c>
      <c r="J794">
        <v>1</v>
      </c>
      <c r="K794">
        <v>166</v>
      </c>
      <c r="L794">
        <v>166</v>
      </c>
      <c r="M794">
        <v>53</v>
      </c>
      <c r="N794" t="s">
        <v>38</v>
      </c>
      <c r="O794">
        <v>4.8</v>
      </c>
      <c r="P794" s="2">
        <f>EOMONTH(Table1[[#This Row],[Order_Date]],0)</f>
        <v>45535</v>
      </c>
      <c r="Q794" s="3">
        <f>WEEKNUM(Table1[[#This Row],[Order_Date]])</f>
        <v>32</v>
      </c>
      <c r="R794">
        <f>YEAR(Table1[[#This Row],[Order_Date]])</f>
        <v>2024</v>
      </c>
      <c r="S794" t="str">
        <f>IF(Table1[[#This Row],[Quantity]]&gt;=3,"Promo","Regular")</f>
        <v>Regular</v>
      </c>
    </row>
    <row r="795" spans="1:19" x14ac:dyDescent="0.35">
      <c r="A795" t="s">
        <v>2039</v>
      </c>
      <c r="B795" t="s">
        <v>868</v>
      </c>
      <c r="C795" s="1">
        <v>45342</v>
      </c>
      <c r="D795" t="s">
        <v>43</v>
      </c>
      <c r="E795" t="s">
        <v>93</v>
      </c>
      <c r="F795" t="s">
        <v>30</v>
      </c>
      <c r="G795" t="s">
        <v>31</v>
      </c>
      <c r="H795" t="s">
        <v>53</v>
      </c>
      <c r="I795" t="s">
        <v>20</v>
      </c>
      <c r="J795">
        <v>2</v>
      </c>
      <c r="K795">
        <v>149</v>
      </c>
      <c r="L795">
        <v>298</v>
      </c>
      <c r="M795">
        <v>53</v>
      </c>
      <c r="N795" t="s">
        <v>21</v>
      </c>
      <c r="O795">
        <v>3.5</v>
      </c>
      <c r="P795" s="2">
        <f>EOMONTH(Table1[[#This Row],[Order_Date]],0)</f>
        <v>45351</v>
      </c>
      <c r="Q795" s="3">
        <f>WEEKNUM(Table1[[#This Row],[Order_Date]])</f>
        <v>8</v>
      </c>
      <c r="R795">
        <f>YEAR(Table1[[#This Row],[Order_Date]])</f>
        <v>2024</v>
      </c>
      <c r="S795" t="str">
        <f>IF(Table1[[#This Row],[Quantity]]&gt;=3,"Promo","Regular")</f>
        <v>Regular</v>
      </c>
    </row>
    <row r="796" spans="1:19" x14ac:dyDescent="0.35">
      <c r="A796" t="s">
        <v>2039</v>
      </c>
      <c r="B796" t="s">
        <v>869</v>
      </c>
      <c r="C796" s="1">
        <v>45421</v>
      </c>
      <c r="D796" t="s">
        <v>57</v>
      </c>
      <c r="E796" t="s">
        <v>105</v>
      </c>
      <c r="F796" t="s">
        <v>24</v>
      </c>
      <c r="G796" t="s">
        <v>31</v>
      </c>
      <c r="H796" t="s">
        <v>53</v>
      </c>
      <c r="I796" t="s">
        <v>20</v>
      </c>
      <c r="J796">
        <v>3</v>
      </c>
      <c r="K796">
        <v>194</v>
      </c>
      <c r="L796">
        <v>582</v>
      </c>
      <c r="M796">
        <v>23</v>
      </c>
      <c r="N796" t="s">
        <v>38</v>
      </c>
      <c r="O796">
        <v>4.0999999999999996</v>
      </c>
      <c r="P796" s="2">
        <f>EOMONTH(Table1[[#This Row],[Order_Date]],0)</f>
        <v>45443</v>
      </c>
      <c r="Q796" s="3">
        <f>WEEKNUM(Table1[[#This Row],[Order_Date]])</f>
        <v>19</v>
      </c>
      <c r="R796">
        <f>YEAR(Table1[[#This Row],[Order_Date]])</f>
        <v>2024</v>
      </c>
      <c r="S796" t="str">
        <f>IF(Table1[[#This Row],[Quantity]]&gt;=3,"Promo","Regular")</f>
        <v>Promo</v>
      </c>
    </row>
    <row r="797" spans="1:19" x14ac:dyDescent="0.35">
      <c r="A797" t="s">
        <v>2039</v>
      </c>
      <c r="B797" t="s">
        <v>870</v>
      </c>
      <c r="C797" s="1">
        <v>45440</v>
      </c>
      <c r="D797" t="s">
        <v>48</v>
      </c>
      <c r="E797" t="s">
        <v>127</v>
      </c>
      <c r="F797" t="s">
        <v>65</v>
      </c>
      <c r="G797" t="s">
        <v>18</v>
      </c>
      <c r="H797" t="s">
        <v>53</v>
      </c>
      <c r="I797" t="s">
        <v>20</v>
      </c>
      <c r="J797">
        <v>5</v>
      </c>
      <c r="K797">
        <v>113</v>
      </c>
      <c r="L797">
        <v>565</v>
      </c>
      <c r="M797">
        <v>54</v>
      </c>
      <c r="N797" t="s">
        <v>33</v>
      </c>
      <c r="O797">
        <v>3.6</v>
      </c>
      <c r="P797" s="2">
        <f>EOMONTH(Table1[[#This Row],[Order_Date]],0)</f>
        <v>45443</v>
      </c>
      <c r="Q797" s="3">
        <f>WEEKNUM(Table1[[#This Row],[Order_Date]])</f>
        <v>22</v>
      </c>
      <c r="R797">
        <f>YEAR(Table1[[#This Row],[Order_Date]])</f>
        <v>2024</v>
      </c>
      <c r="S797" t="str">
        <f>IF(Table1[[#This Row],[Quantity]]&gt;=3,"Promo","Regular")</f>
        <v>Promo</v>
      </c>
    </row>
    <row r="798" spans="1:19" x14ac:dyDescent="0.35">
      <c r="A798" t="s">
        <v>2040</v>
      </c>
      <c r="B798" t="s">
        <v>871</v>
      </c>
      <c r="C798" s="1">
        <v>45315</v>
      </c>
      <c r="D798" t="s">
        <v>15</v>
      </c>
      <c r="E798" t="s">
        <v>103</v>
      </c>
      <c r="F798" t="s">
        <v>45</v>
      </c>
      <c r="G798" t="s">
        <v>18</v>
      </c>
      <c r="H798" t="s">
        <v>26</v>
      </c>
      <c r="I798" t="s">
        <v>20</v>
      </c>
      <c r="J798">
        <v>1</v>
      </c>
      <c r="K798">
        <v>362</v>
      </c>
      <c r="L798">
        <v>362</v>
      </c>
      <c r="M798">
        <v>38</v>
      </c>
      <c r="N798" t="s">
        <v>33</v>
      </c>
      <c r="O798">
        <v>4.3</v>
      </c>
      <c r="P798" s="2">
        <f>EOMONTH(Table1[[#This Row],[Order_Date]],0)</f>
        <v>45322</v>
      </c>
      <c r="Q798" s="3">
        <f>WEEKNUM(Table1[[#This Row],[Order_Date]])</f>
        <v>4</v>
      </c>
      <c r="R798">
        <f>YEAR(Table1[[#This Row],[Order_Date]])</f>
        <v>2024</v>
      </c>
      <c r="S798" t="str">
        <f>IF(Table1[[#This Row],[Quantity]]&gt;=3,"Promo","Regular")</f>
        <v>Regular</v>
      </c>
    </row>
    <row r="799" spans="1:19" x14ac:dyDescent="0.35">
      <c r="A799" t="s">
        <v>2040</v>
      </c>
      <c r="B799" t="s">
        <v>872</v>
      </c>
      <c r="C799" s="1">
        <v>45443</v>
      </c>
      <c r="D799" t="s">
        <v>15</v>
      </c>
      <c r="E799" t="s">
        <v>112</v>
      </c>
      <c r="F799" t="s">
        <v>69</v>
      </c>
      <c r="G799" t="s">
        <v>18</v>
      </c>
      <c r="H799" t="s">
        <v>50</v>
      </c>
      <c r="I799" t="s">
        <v>20</v>
      </c>
      <c r="J799">
        <v>4</v>
      </c>
      <c r="K799">
        <v>207</v>
      </c>
      <c r="L799">
        <v>828</v>
      </c>
      <c r="M799">
        <v>49</v>
      </c>
      <c r="N799" t="s">
        <v>38</v>
      </c>
      <c r="O799">
        <v>3.3</v>
      </c>
      <c r="P799" s="2">
        <f>EOMONTH(Table1[[#This Row],[Order_Date]],0)</f>
        <v>45443</v>
      </c>
      <c r="Q799" s="3">
        <f>WEEKNUM(Table1[[#This Row],[Order_Date]])</f>
        <v>22</v>
      </c>
      <c r="R799">
        <f>YEAR(Table1[[#This Row],[Order_Date]])</f>
        <v>2024</v>
      </c>
      <c r="S799" t="str">
        <f>IF(Table1[[#This Row],[Quantity]]&gt;=3,"Promo","Regular")</f>
        <v>Promo</v>
      </c>
    </row>
    <row r="800" spans="1:19" x14ac:dyDescent="0.35">
      <c r="A800" t="s">
        <v>2040</v>
      </c>
      <c r="B800" t="s">
        <v>873</v>
      </c>
      <c r="C800" s="1">
        <v>45357</v>
      </c>
      <c r="D800" t="s">
        <v>57</v>
      </c>
      <c r="E800" t="s">
        <v>75</v>
      </c>
      <c r="F800" t="s">
        <v>24</v>
      </c>
      <c r="G800" t="s">
        <v>18</v>
      </c>
      <c r="H800" t="s">
        <v>50</v>
      </c>
      <c r="I800" t="s">
        <v>20</v>
      </c>
      <c r="J800">
        <v>1</v>
      </c>
      <c r="K800">
        <v>104</v>
      </c>
      <c r="L800">
        <v>104</v>
      </c>
      <c r="M800">
        <v>47</v>
      </c>
      <c r="N800" t="s">
        <v>21</v>
      </c>
      <c r="O800">
        <v>4</v>
      </c>
      <c r="P800" s="2">
        <f>EOMONTH(Table1[[#This Row],[Order_Date]],0)</f>
        <v>45382</v>
      </c>
      <c r="Q800" s="3">
        <f>WEEKNUM(Table1[[#This Row],[Order_Date]])</f>
        <v>10</v>
      </c>
      <c r="R800">
        <f>YEAR(Table1[[#This Row],[Order_Date]])</f>
        <v>2024</v>
      </c>
      <c r="S800" t="str">
        <f>IF(Table1[[#This Row],[Quantity]]&gt;=3,"Promo","Regular")</f>
        <v>Regular</v>
      </c>
    </row>
    <row r="801" spans="1:19" x14ac:dyDescent="0.35">
      <c r="A801" t="s">
        <v>2040</v>
      </c>
      <c r="B801" t="s">
        <v>874</v>
      </c>
      <c r="C801" s="1">
        <v>45317</v>
      </c>
      <c r="D801" t="s">
        <v>57</v>
      </c>
      <c r="E801" t="s">
        <v>75</v>
      </c>
      <c r="F801" t="s">
        <v>30</v>
      </c>
      <c r="G801" t="s">
        <v>73</v>
      </c>
      <c r="H801" t="s">
        <v>37</v>
      </c>
      <c r="I801" t="s">
        <v>20</v>
      </c>
      <c r="J801">
        <v>2</v>
      </c>
      <c r="K801">
        <v>298</v>
      </c>
      <c r="L801">
        <v>596</v>
      </c>
      <c r="M801">
        <v>59</v>
      </c>
      <c r="N801" t="s">
        <v>21</v>
      </c>
      <c r="O801">
        <v>3.7</v>
      </c>
      <c r="P801" s="2">
        <f>EOMONTH(Table1[[#This Row],[Order_Date]],0)</f>
        <v>45322</v>
      </c>
      <c r="Q801" s="3">
        <f>WEEKNUM(Table1[[#This Row],[Order_Date]])</f>
        <v>4</v>
      </c>
      <c r="R801">
        <f>YEAR(Table1[[#This Row],[Order_Date]])</f>
        <v>2024</v>
      </c>
      <c r="S801" t="str">
        <f>IF(Table1[[#This Row],[Quantity]]&gt;=3,"Promo","Regular")</f>
        <v>Regular</v>
      </c>
    </row>
    <row r="802" spans="1:19" x14ac:dyDescent="0.35">
      <c r="A802" t="s">
        <v>2041</v>
      </c>
      <c r="B802" t="s">
        <v>875</v>
      </c>
      <c r="C802" s="1">
        <v>45582</v>
      </c>
      <c r="D802" t="s">
        <v>43</v>
      </c>
      <c r="E802" t="s">
        <v>44</v>
      </c>
      <c r="F802" t="s">
        <v>35</v>
      </c>
      <c r="G802" t="s">
        <v>46</v>
      </c>
      <c r="H802" t="s">
        <v>55</v>
      </c>
      <c r="I802" t="s">
        <v>20</v>
      </c>
      <c r="J802">
        <v>5</v>
      </c>
      <c r="K802">
        <v>252</v>
      </c>
      <c r="L802">
        <v>1260</v>
      </c>
      <c r="M802">
        <v>54</v>
      </c>
      <c r="N802" t="s">
        <v>21</v>
      </c>
      <c r="O802">
        <v>3.2</v>
      </c>
      <c r="P802" s="2">
        <f>EOMONTH(Table1[[#This Row],[Order_Date]],0)</f>
        <v>45596</v>
      </c>
      <c r="Q802" s="3">
        <f>WEEKNUM(Table1[[#This Row],[Order_Date]])</f>
        <v>42</v>
      </c>
      <c r="R802">
        <f>YEAR(Table1[[#This Row],[Order_Date]])</f>
        <v>2024</v>
      </c>
      <c r="S802" t="str">
        <f>IF(Table1[[#This Row],[Quantity]]&gt;=3,"Promo","Regular")</f>
        <v>Promo</v>
      </c>
    </row>
    <row r="803" spans="1:19" x14ac:dyDescent="0.35">
      <c r="A803" t="s">
        <v>2041</v>
      </c>
      <c r="B803" t="s">
        <v>876</v>
      </c>
      <c r="C803" s="1">
        <v>45421</v>
      </c>
      <c r="D803" t="s">
        <v>43</v>
      </c>
      <c r="E803" t="s">
        <v>82</v>
      </c>
      <c r="F803" t="s">
        <v>69</v>
      </c>
      <c r="G803" t="s">
        <v>46</v>
      </c>
      <c r="H803" t="s">
        <v>37</v>
      </c>
      <c r="I803" t="s">
        <v>20</v>
      </c>
      <c r="J803">
        <v>1</v>
      </c>
      <c r="K803">
        <v>298</v>
      </c>
      <c r="L803">
        <v>298</v>
      </c>
      <c r="M803">
        <v>26</v>
      </c>
      <c r="N803" t="s">
        <v>38</v>
      </c>
      <c r="O803">
        <v>3.8</v>
      </c>
      <c r="P803" s="2">
        <f>EOMONTH(Table1[[#This Row],[Order_Date]],0)</f>
        <v>45443</v>
      </c>
      <c r="Q803" s="3">
        <f>WEEKNUM(Table1[[#This Row],[Order_Date]])</f>
        <v>19</v>
      </c>
      <c r="R803">
        <f>YEAR(Table1[[#This Row],[Order_Date]])</f>
        <v>2024</v>
      </c>
      <c r="S803" t="str">
        <f>IF(Table1[[#This Row],[Quantity]]&gt;=3,"Promo","Regular")</f>
        <v>Regular</v>
      </c>
    </row>
    <row r="804" spans="1:19" x14ac:dyDescent="0.35">
      <c r="A804" t="s">
        <v>2041</v>
      </c>
      <c r="B804" t="s">
        <v>877</v>
      </c>
      <c r="C804" s="1">
        <v>45486</v>
      </c>
      <c r="D804" t="s">
        <v>28</v>
      </c>
      <c r="E804" t="s">
        <v>77</v>
      </c>
      <c r="F804" t="s">
        <v>35</v>
      </c>
      <c r="G804" t="s">
        <v>25</v>
      </c>
      <c r="H804" t="s">
        <v>120</v>
      </c>
      <c r="I804" t="s">
        <v>60</v>
      </c>
      <c r="J804">
        <v>2</v>
      </c>
      <c r="K804">
        <v>292</v>
      </c>
      <c r="L804">
        <v>584</v>
      </c>
      <c r="M804">
        <v>45</v>
      </c>
      <c r="N804" t="s">
        <v>38</v>
      </c>
      <c r="O804">
        <v>3.9</v>
      </c>
      <c r="P804" s="2">
        <f>EOMONTH(Table1[[#This Row],[Order_Date]],0)</f>
        <v>45504</v>
      </c>
      <c r="Q804" s="3">
        <f>WEEKNUM(Table1[[#This Row],[Order_Date]])</f>
        <v>28</v>
      </c>
      <c r="R804">
        <f>YEAR(Table1[[#This Row],[Order_Date]])</f>
        <v>2024</v>
      </c>
      <c r="S804" t="str">
        <f>IF(Table1[[#This Row],[Quantity]]&gt;=3,"Promo","Regular")</f>
        <v>Regular</v>
      </c>
    </row>
    <row r="805" spans="1:19" x14ac:dyDescent="0.35">
      <c r="A805" t="s">
        <v>2041</v>
      </c>
      <c r="B805" t="s">
        <v>878</v>
      </c>
      <c r="C805" s="1">
        <v>45513</v>
      </c>
      <c r="D805" t="s">
        <v>43</v>
      </c>
      <c r="E805" t="s">
        <v>82</v>
      </c>
      <c r="F805" t="s">
        <v>85</v>
      </c>
      <c r="G805" t="s">
        <v>46</v>
      </c>
      <c r="H805" t="s">
        <v>37</v>
      </c>
      <c r="I805" t="s">
        <v>20</v>
      </c>
      <c r="J805">
        <v>5</v>
      </c>
      <c r="K805">
        <v>154</v>
      </c>
      <c r="L805">
        <v>770</v>
      </c>
      <c r="M805">
        <v>36</v>
      </c>
      <c r="N805" t="s">
        <v>33</v>
      </c>
      <c r="O805">
        <v>3.4</v>
      </c>
      <c r="P805" s="2">
        <f>EOMONTH(Table1[[#This Row],[Order_Date]],0)</f>
        <v>45535</v>
      </c>
      <c r="Q805" s="3">
        <f>WEEKNUM(Table1[[#This Row],[Order_Date]])</f>
        <v>32</v>
      </c>
      <c r="R805">
        <f>YEAR(Table1[[#This Row],[Order_Date]])</f>
        <v>2024</v>
      </c>
      <c r="S805" t="str">
        <f>IF(Table1[[#This Row],[Quantity]]&gt;=3,"Promo","Regular")</f>
        <v>Promo</v>
      </c>
    </row>
    <row r="806" spans="1:19" x14ac:dyDescent="0.35">
      <c r="A806" t="s">
        <v>2041</v>
      </c>
      <c r="B806" t="s">
        <v>879</v>
      </c>
      <c r="C806" s="1">
        <v>45353</v>
      </c>
      <c r="D806" t="s">
        <v>57</v>
      </c>
      <c r="E806" t="s">
        <v>58</v>
      </c>
      <c r="F806" t="s">
        <v>24</v>
      </c>
      <c r="G806" t="s">
        <v>46</v>
      </c>
      <c r="H806" t="s">
        <v>66</v>
      </c>
      <c r="I806" t="s">
        <v>20</v>
      </c>
      <c r="J806">
        <v>5</v>
      </c>
      <c r="K806">
        <v>330</v>
      </c>
      <c r="L806">
        <v>1650</v>
      </c>
      <c r="M806">
        <v>56</v>
      </c>
      <c r="N806" t="s">
        <v>33</v>
      </c>
      <c r="O806">
        <v>4.7</v>
      </c>
      <c r="P806" s="2">
        <f>EOMONTH(Table1[[#This Row],[Order_Date]],0)</f>
        <v>45382</v>
      </c>
      <c r="Q806" s="3">
        <f>WEEKNUM(Table1[[#This Row],[Order_Date]])</f>
        <v>9</v>
      </c>
      <c r="R806">
        <f>YEAR(Table1[[#This Row],[Order_Date]])</f>
        <v>2024</v>
      </c>
      <c r="S806" t="str">
        <f>IF(Table1[[#This Row],[Quantity]]&gt;=3,"Promo","Regular")</f>
        <v>Promo</v>
      </c>
    </row>
    <row r="807" spans="1:19" x14ac:dyDescent="0.35">
      <c r="A807" t="s">
        <v>2042</v>
      </c>
      <c r="B807" t="s">
        <v>880</v>
      </c>
      <c r="C807" s="1">
        <v>45322</v>
      </c>
      <c r="D807" t="s">
        <v>43</v>
      </c>
      <c r="E807" t="s">
        <v>44</v>
      </c>
      <c r="F807" t="s">
        <v>85</v>
      </c>
      <c r="G807" t="s">
        <v>25</v>
      </c>
      <c r="H807" t="s">
        <v>53</v>
      </c>
      <c r="I807" t="s">
        <v>20</v>
      </c>
      <c r="J807">
        <v>3</v>
      </c>
      <c r="K807">
        <v>381</v>
      </c>
      <c r="L807">
        <v>1143</v>
      </c>
      <c r="M807">
        <v>20</v>
      </c>
      <c r="N807" t="s">
        <v>33</v>
      </c>
      <c r="O807">
        <v>4.9000000000000004</v>
      </c>
      <c r="P807" s="2">
        <f>EOMONTH(Table1[[#This Row],[Order_Date]],0)</f>
        <v>45322</v>
      </c>
      <c r="Q807" s="3">
        <f>WEEKNUM(Table1[[#This Row],[Order_Date]])</f>
        <v>5</v>
      </c>
      <c r="R807">
        <f>YEAR(Table1[[#This Row],[Order_Date]])</f>
        <v>2024</v>
      </c>
      <c r="S807" t="str">
        <f>IF(Table1[[#This Row],[Quantity]]&gt;=3,"Promo","Regular")</f>
        <v>Promo</v>
      </c>
    </row>
    <row r="808" spans="1:19" x14ac:dyDescent="0.35">
      <c r="A808" t="s">
        <v>2042</v>
      </c>
      <c r="B808" t="s">
        <v>881</v>
      </c>
      <c r="C808" s="1">
        <v>45410</v>
      </c>
      <c r="D808" t="s">
        <v>28</v>
      </c>
      <c r="E808" t="s">
        <v>29</v>
      </c>
      <c r="F808" t="s">
        <v>30</v>
      </c>
      <c r="G808" t="s">
        <v>31</v>
      </c>
      <c r="H808" t="s">
        <v>37</v>
      </c>
      <c r="I808" t="s">
        <v>20</v>
      </c>
      <c r="J808">
        <v>4</v>
      </c>
      <c r="K808">
        <v>214</v>
      </c>
      <c r="L808">
        <v>856</v>
      </c>
      <c r="M808">
        <v>32</v>
      </c>
      <c r="N808" t="s">
        <v>33</v>
      </c>
      <c r="O808">
        <v>3.8</v>
      </c>
      <c r="P808" s="2">
        <f>EOMONTH(Table1[[#This Row],[Order_Date]],0)</f>
        <v>45412</v>
      </c>
      <c r="Q808" s="3">
        <f>WEEKNUM(Table1[[#This Row],[Order_Date]])</f>
        <v>18</v>
      </c>
      <c r="R808">
        <f>YEAR(Table1[[#This Row],[Order_Date]])</f>
        <v>2024</v>
      </c>
      <c r="S808" t="str">
        <f>IF(Table1[[#This Row],[Quantity]]&gt;=3,"Promo","Regular")</f>
        <v>Promo</v>
      </c>
    </row>
    <row r="809" spans="1:19" x14ac:dyDescent="0.35">
      <c r="A809" t="s">
        <v>2042</v>
      </c>
      <c r="B809" t="s">
        <v>882</v>
      </c>
      <c r="C809" s="1">
        <v>45440</v>
      </c>
      <c r="D809" t="s">
        <v>48</v>
      </c>
      <c r="E809" t="s">
        <v>64</v>
      </c>
      <c r="F809" t="s">
        <v>41</v>
      </c>
      <c r="G809" t="s">
        <v>25</v>
      </c>
      <c r="H809" t="s">
        <v>32</v>
      </c>
      <c r="I809" t="s">
        <v>20</v>
      </c>
      <c r="J809">
        <v>4</v>
      </c>
      <c r="K809">
        <v>326</v>
      </c>
      <c r="L809">
        <v>1304</v>
      </c>
      <c r="M809">
        <v>52</v>
      </c>
      <c r="N809" t="s">
        <v>21</v>
      </c>
      <c r="O809">
        <v>5</v>
      </c>
      <c r="P809" s="2">
        <f>EOMONTH(Table1[[#This Row],[Order_Date]],0)</f>
        <v>45443</v>
      </c>
      <c r="Q809" s="3">
        <f>WEEKNUM(Table1[[#This Row],[Order_Date]])</f>
        <v>22</v>
      </c>
      <c r="R809">
        <f>YEAR(Table1[[#This Row],[Order_Date]])</f>
        <v>2024</v>
      </c>
      <c r="S809" t="str">
        <f>IF(Table1[[#This Row],[Quantity]]&gt;=3,"Promo","Regular")</f>
        <v>Promo</v>
      </c>
    </row>
    <row r="810" spans="1:19" x14ac:dyDescent="0.35">
      <c r="A810" t="s">
        <v>2043</v>
      </c>
      <c r="B810" t="s">
        <v>883</v>
      </c>
      <c r="C810" s="1">
        <v>45580</v>
      </c>
      <c r="D810" t="s">
        <v>57</v>
      </c>
      <c r="E810" t="s">
        <v>136</v>
      </c>
      <c r="F810" t="s">
        <v>65</v>
      </c>
      <c r="G810" t="s">
        <v>25</v>
      </c>
      <c r="H810" t="s">
        <v>53</v>
      </c>
      <c r="I810" t="s">
        <v>20</v>
      </c>
      <c r="J810">
        <v>2</v>
      </c>
      <c r="K810">
        <v>437</v>
      </c>
      <c r="L810">
        <v>874</v>
      </c>
      <c r="M810">
        <v>34</v>
      </c>
      <c r="N810" t="s">
        <v>33</v>
      </c>
      <c r="O810">
        <v>3.6</v>
      </c>
      <c r="P810" s="2">
        <f>EOMONTH(Table1[[#This Row],[Order_Date]],0)</f>
        <v>45596</v>
      </c>
      <c r="Q810" s="3">
        <f>WEEKNUM(Table1[[#This Row],[Order_Date]])</f>
        <v>42</v>
      </c>
      <c r="R810">
        <f>YEAR(Table1[[#This Row],[Order_Date]])</f>
        <v>2024</v>
      </c>
      <c r="S810" t="str">
        <f>IF(Table1[[#This Row],[Quantity]]&gt;=3,"Promo","Regular")</f>
        <v>Regular</v>
      </c>
    </row>
    <row r="811" spans="1:19" x14ac:dyDescent="0.35">
      <c r="A811" t="s">
        <v>2043</v>
      </c>
      <c r="B811" t="s">
        <v>884</v>
      </c>
      <c r="C811" s="1">
        <v>45489</v>
      </c>
      <c r="D811" t="s">
        <v>15</v>
      </c>
      <c r="E811" t="s">
        <v>103</v>
      </c>
      <c r="F811" t="s">
        <v>85</v>
      </c>
      <c r="G811" t="s">
        <v>73</v>
      </c>
      <c r="H811" t="s">
        <v>59</v>
      </c>
      <c r="I811" t="s">
        <v>60</v>
      </c>
      <c r="J811">
        <v>3</v>
      </c>
      <c r="K811">
        <v>481</v>
      </c>
      <c r="L811">
        <v>1443</v>
      </c>
      <c r="M811">
        <v>31</v>
      </c>
      <c r="N811" t="s">
        <v>21</v>
      </c>
      <c r="O811">
        <v>3.6</v>
      </c>
      <c r="P811" s="2">
        <f>EOMONTH(Table1[[#This Row],[Order_Date]],0)</f>
        <v>45504</v>
      </c>
      <c r="Q811" s="3">
        <f>WEEKNUM(Table1[[#This Row],[Order_Date]])</f>
        <v>29</v>
      </c>
      <c r="R811">
        <f>YEAR(Table1[[#This Row],[Order_Date]])</f>
        <v>2024</v>
      </c>
      <c r="S811" t="str">
        <f>IF(Table1[[#This Row],[Quantity]]&gt;=3,"Promo","Regular")</f>
        <v>Promo</v>
      </c>
    </row>
    <row r="812" spans="1:19" x14ac:dyDescent="0.35">
      <c r="A812" t="s">
        <v>2043</v>
      </c>
      <c r="B812" t="s">
        <v>885</v>
      </c>
      <c r="C812" s="1">
        <v>45539</v>
      </c>
      <c r="D812" t="s">
        <v>48</v>
      </c>
      <c r="E812" t="s">
        <v>132</v>
      </c>
      <c r="F812" t="s">
        <v>85</v>
      </c>
      <c r="G812" t="s">
        <v>25</v>
      </c>
      <c r="H812" t="s">
        <v>55</v>
      </c>
      <c r="I812" t="s">
        <v>20</v>
      </c>
      <c r="J812">
        <v>1</v>
      </c>
      <c r="K812">
        <v>230</v>
      </c>
      <c r="L812">
        <v>230</v>
      </c>
      <c r="M812">
        <v>44</v>
      </c>
      <c r="N812" t="s">
        <v>33</v>
      </c>
      <c r="O812">
        <v>3.9</v>
      </c>
      <c r="P812" s="2">
        <f>EOMONTH(Table1[[#This Row],[Order_Date]],0)</f>
        <v>45565</v>
      </c>
      <c r="Q812" s="3">
        <f>WEEKNUM(Table1[[#This Row],[Order_Date]])</f>
        <v>36</v>
      </c>
      <c r="R812">
        <f>YEAR(Table1[[#This Row],[Order_Date]])</f>
        <v>2024</v>
      </c>
      <c r="S812" t="str">
        <f>IF(Table1[[#This Row],[Quantity]]&gt;=3,"Promo","Regular")</f>
        <v>Regular</v>
      </c>
    </row>
    <row r="813" spans="1:19" x14ac:dyDescent="0.35">
      <c r="A813" t="s">
        <v>2043</v>
      </c>
      <c r="B813" t="s">
        <v>886</v>
      </c>
      <c r="C813" s="1">
        <v>45538</v>
      </c>
      <c r="D813" t="s">
        <v>48</v>
      </c>
      <c r="E813" t="s">
        <v>68</v>
      </c>
      <c r="F813" t="s">
        <v>24</v>
      </c>
      <c r="G813" t="s">
        <v>73</v>
      </c>
      <c r="H813" t="s">
        <v>120</v>
      </c>
      <c r="I813" t="s">
        <v>60</v>
      </c>
      <c r="J813">
        <v>5</v>
      </c>
      <c r="K813">
        <v>251</v>
      </c>
      <c r="L813">
        <v>1255</v>
      </c>
      <c r="M813">
        <v>31</v>
      </c>
      <c r="N813" t="s">
        <v>38</v>
      </c>
      <c r="O813">
        <v>3.7</v>
      </c>
      <c r="P813" s="2">
        <f>EOMONTH(Table1[[#This Row],[Order_Date]],0)</f>
        <v>45565</v>
      </c>
      <c r="Q813" s="3">
        <f>WEEKNUM(Table1[[#This Row],[Order_Date]])</f>
        <v>36</v>
      </c>
      <c r="R813">
        <f>YEAR(Table1[[#This Row],[Order_Date]])</f>
        <v>2024</v>
      </c>
      <c r="S813" t="str">
        <f>IF(Table1[[#This Row],[Quantity]]&gt;=3,"Promo","Regular")</f>
        <v>Promo</v>
      </c>
    </row>
    <row r="814" spans="1:19" x14ac:dyDescent="0.35">
      <c r="A814" t="s">
        <v>2043</v>
      </c>
      <c r="B814" t="s">
        <v>887</v>
      </c>
      <c r="C814" s="1">
        <v>45584</v>
      </c>
      <c r="D814" t="s">
        <v>57</v>
      </c>
      <c r="E814" t="s">
        <v>62</v>
      </c>
      <c r="F814" t="s">
        <v>41</v>
      </c>
      <c r="G814" t="s">
        <v>25</v>
      </c>
      <c r="H814" t="s">
        <v>53</v>
      </c>
      <c r="I814" t="s">
        <v>20</v>
      </c>
      <c r="J814">
        <v>1</v>
      </c>
      <c r="K814">
        <v>161</v>
      </c>
      <c r="L814">
        <v>161</v>
      </c>
      <c r="M814">
        <v>20</v>
      </c>
      <c r="N814" t="s">
        <v>38</v>
      </c>
      <c r="O814">
        <v>3.4</v>
      </c>
      <c r="P814" s="2">
        <f>EOMONTH(Table1[[#This Row],[Order_Date]],0)</f>
        <v>45596</v>
      </c>
      <c r="Q814" s="3">
        <f>WEEKNUM(Table1[[#This Row],[Order_Date]])</f>
        <v>42</v>
      </c>
      <c r="R814">
        <f>YEAR(Table1[[#This Row],[Order_Date]])</f>
        <v>2024</v>
      </c>
      <c r="S814" t="str">
        <f>IF(Table1[[#This Row],[Quantity]]&gt;=3,"Promo","Regular")</f>
        <v>Regular</v>
      </c>
    </row>
    <row r="815" spans="1:19" x14ac:dyDescent="0.35">
      <c r="A815" t="s">
        <v>2044</v>
      </c>
      <c r="B815" t="s">
        <v>888</v>
      </c>
      <c r="C815" s="1">
        <v>45440</v>
      </c>
      <c r="D815" t="s">
        <v>28</v>
      </c>
      <c r="E815" t="s">
        <v>98</v>
      </c>
      <c r="F815" t="s">
        <v>24</v>
      </c>
      <c r="G815" t="s">
        <v>18</v>
      </c>
      <c r="H815" t="s">
        <v>19</v>
      </c>
      <c r="I815" t="s">
        <v>20</v>
      </c>
      <c r="J815">
        <v>5</v>
      </c>
      <c r="K815">
        <v>355</v>
      </c>
      <c r="L815">
        <v>1775</v>
      </c>
      <c r="M815">
        <v>55</v>
      </c>
      <c r="N815" t="s">
        <v>38</v>
      </c>
      <c r="O815">
        <v>3.2</v>
      </c>
      <c r="P815" s="2">
        <f>EOMONTH(Table1[[#This Row],[Order_Date]],0)</f>
        <v>45443</v>
      </c>
      <c r="Q815" s="3">
        <f>WEEKNUM(Table1[[#This Row],[Order_Date]])</f>
        <v>22</v>
      </c>
      <c r="R815">
        <f>YEAR(Table1[[#This Row],[Order_Date]])</f>
        <v>2024</v>
      </c>
      <c r="S815" t="str">
        <f>IF(Table1[[#This Row],[Quantity]]&gt;=3,"Promo","Regular")</f>
        <v>Promo</v>
      </c>
    </row>
    <row r="816" spans="1:19" x14ac:dyDescent="0.35">
      <c r="A816" t="s">
        <v>2044</v>
      </c>
      <c r="B816" t="s">
        <v>889</v>
      </c>
      <c r="C816" s="1">
        <v>45351</v>
      </c>
      <c r="D816" t="s">
        <v>28</v>
      </c>
      <c r="E816" t="s">
        <v>77</v>
      </c>
      <c r="F816" t="s">
        <v>65</v>
      </c>
      <c r="G816" t="s">
        <v>25</v>
      </c>
      <c r="H816" t="s">
        <v>19</v>
      </c>
      <c r="I816" t="s">
        <v>20</v>
      </c>
      <c r="J816">
        <v>1</v>
      </c>
      <c r="K816">
        <v>170</v>
      </c>
      <c r="L816">
        <v>170</v>
      </c>
      <c r="M816">
        <v>39</v>
      </c>
      <c r="N816" t="s">
        <v>21</v>
      </c>
      <c r="O816">
        <v>4.2</v>
      </c>
      <c r="P816" s="2">
        <f>EOMONTH(Table1[[#This Row],[Order_Date]],0)</f>
        <v>45351</v>
      </c>
      <c r="Q816" s="3">
        <f>WEEKNUM(Table1[[#This Row],[Order_Date]])</f>
        <v>9</v>
      </c>
      <c r="R816">
        <f>YEAR(Table1[[#This Row],[Order_Date]])</f>
        <v>2024</v>
      </c>
      <c r="S816" t="str">
        <f>IF(Table1[[#This Row],[Quantity]]&gt;=3,"Promo","Regular")</f>
        <v>Regular</v>
      </c>
    </row>
    <row r="817" spans="1:19" x14ac:dyDescent="0.35">
      <c r="A817" t="s">
        <v>2044</v>
      </c>
      <c r="B817" t="s">
        <v>890</v>
      </c>
      <c r="C817" s="1">
        <v>45481</v>
      </c>
      <c r="D817" t="s">
        <v>43</v>
      </c>
      <c r="E817" t="s">
        <v>110</v>
      </c>
      <c r="F817" t="s">
        <v>17</v>
      </c>
      <c r="G817" t="s">
        <v>25</v>
      </c>
      <c r="H817" t="s">
        <v>53</v>
      </c>
      <c r="I817" t="s">
        <v>20</v>
      </c>
      <c r="J817">
        <v>5</v>
      </c>
      <c r="K817">
        <v>331</v>
      </c>
      <c r="L817">
        <v>1655</v>
      </c>
      <c r="M817">
        <v>50</v>
      </c>
      <c r="N817" t="s">
        <v>21</v>
      </c>
      <c r="O817">
        <v>4.4000000000000004</v>
      </c>
      <c r="P817" s="2">
        <f>EOMONTH(Table1[[#This Row],[Order_Date]],0)</f>
        <v>45504</v>
      </c>
      <c r="Q817" s="3">
        <f>WEEKNUM(Table1[[#This Row],[Order_Date]])</f>
        <v>28</v>
      </c>
      <c r="R817">
        <f>YEAR(Table1[[#This Row],[Order_Date]])</f>
        <v>2024</v>
      </c>
      <c r="S817" t="str">
        <f>IF(Table1[[#This Row],[Quantity]]&gt;=3,"Promo","Regular")</f>
        <v>Promo</v>
      </c>
    </row>
    <row r="818" spans="1:19" x14ac:dyDescent="0.35">
      <c r="A818" t="s">
        <v>2044</v>
      </c>
      <c r="B818" t="s">
        <v>891</v>
      </c>
      <c r="C818" s="1">
        <v>45490</v>
      </c>
      <c r="D818" t="s">
        <v>57</v>
      </c>
      <c r="E818" t="s">
        <v>58</v>
      </c>
      <c r="F818" t="s">
        <v>41</v>
      </c>
      <c r="G818" t="s">
        <v>25</v>
      </c>
      <c r="H818" t="s">
        <v>19</v>
      </c>
      <c r="I818" t="s">
        <v>20</v>
      </c>
      <c r="J818">
        <v>3</v>
      </c>
      <c r="K818">
        <v>372</v>
      </c>
      <c r="L818">
        <v>1116</v>
      </c>
      <c r="M818">
        <v>37</v>
      </c>
      <c r="N818" t="s">
        <v>38</v>
      </c>
      <c r="O818">
        <v>3.3</v>
      </c>
      <c r="P818" s="2">
        <f>EOMONTH(Table1[[#This Row],[Order_Date]],0)</f>
        <v>45504</v>
      </c>
      <c r="Q818" s="3">
        <f>WEEKNUM(Table1[[#This Row],[Order_Date]])</f>
        <v>29</v>
      </c>
      <c r="R818">
        <f>YEAR(Table1[[#This Row],[Order_Date]])</f>
        <v>2024</v>
      </c>
      <c r="S818" t="str">
        <f>IF(Table1[[#This Row],[Quantity]]&gt;=3,"Promo","Regular")</f>
        <v>Promo</v>
      </c>
    </row>
    <row r="819" spans="1:19" x14ac:dyDescent="0.35">
      <c r="A819" t="s">
        <v>2045</v>
      </c>
      <c r="B819" t="s">
        <v>892</v>
      </c>
      <c r="C819" s="1">
        <v>45439</v>
      </c>
      <c r="D819" t="s">
        <v>28</v>
      </c>
      <c r="E819" t="s">
        <v>77</v>
      </c>
      <c r="F819" t="s">
        <v>35</v>
      </c>
      <c r="G819" t="s">
        <v>36</v>
      </c>
      <c r="H819" t="s">
        <v>66</v>
      </c>
      <c r="I819" t="s">
        <v>20</v>
      </c>
      <c r="J819">
        <v>2</v>
      </c>
      <c r="K819">
        <v>134</v>
      </c>
      <c r="L819">
        <v>268</v>
      </c>
      <c r="M819">
        <v>32</v>
      </c>
      <c r="N819" t="s">
        <v>33</v>
      </c>
      <c r="O819">
        <v>3.7</v>
      </c>
      <c r="P819" s="2">
        <f>EOMONTH(Table1[[#This Row],[Order_Date]],0)</f>
        <v>45443</v>
      </c>
      <c r="Q819" s="3">
        <f>WEEKNUM(Table1[[#This Row],[Order_Date]])</f>
        <v>22</v>
      </c>
      <c r="R819">
        <f>YEAR(Table1[[#This Row],[Order_Date]])</f>
        <v>2024</v>
      </c>
      <c r="S819" t="str">
        <f>IF(Table1[[#This Row],[Quantity]]&gt;=3,"Promo","Regular")</f>
        <v>Regular</v>
      </c>
    </row>
    <row r="820" spans="1:19" x14ac:dyDescent="0.35">
      <c r="A820" t="s">
        <v>2045</v>
      </c>
      <c r="B820" t="s">
        <v>893</v>
      </c>
      <c r="C820" s="1">
        <v>45489</v>
      </c>
      <c r="D820" t="s">
        <v>28</v>
      </c>
      <c r="E820" t="s">
        <v>29</v>
      </c>
      <c r="F820" t="s">
        <v>30</v>
      </c>
      <c r="G820" t="s">
        <v>46</v>
      </c>
      <c r="H820" t="s">
        <v>32</v>
      </c>
      <c r="I820" t="s">
        <v>20</v>
      </c>
      <c r="J820">
        <v>1</v>
      </c>
      <c r="K820">
        <v>132</v>
      </c>
      <c r="L820">
        <v>132</v>
      </c>
      <c r="M820">
        <v>35</v>
      </c>
      <c r="N820" t="s">
        <v>38</v>
      </c>
      <c r="O820">
        <v>3.5</v>
      </c>
      <c r="P820" s="2">
        <f>EOMONTH(Table1[[#This Row],[Order_Date]],0)</f>
        <v>45504</v>
      </c>
      <c r="Q820" s="3">
        <f>WEEKNUM(Table1[[#This Row],[Order_Date]])</f>
        <v>29</v>
      </c>
      <c r="R820">
        <f>YEAR(Table1[[#This Row],[Order_Date]])</f>
        <v>2024</v>
      </c>
      <c r="S820" t="str">
        <f>IF(Table1[[#This Row],[Quantity]]&gt;=3,"Promo","Regular")</f>
        <v>Regular</v>
      </c>
    </row>
    <row r="821" spans="1:19" x14ac:dyDescent="0.35">
      <c r="A821" t="s">
        <v>2046</v>
      </c>
      <c r="B821" t="s">
        <v>894</v>
      </c>
      <c r="C821" s="1">
        <v>45349</v>
      </c>
      <c r="D821" t="s">
        <v>48</v>
      </c>
      <c r="E821" t="s">
        <v>132</v>
      </c>
      <c r="F821" t="s">
        <v>30</v>
      </c>
      <c r="G821" t="s">
        <v>25</v>
      </c>
      <c r="H821" t="s">
        <v>53</v>
      </c>
      <c r="I821" t="s">
        <v>20</v>
      </c>
      <c r="J821">
        <v>5</v>
      </c>
      <c r="K821">
        <v>412</v>
      </c>
      <c r="L821">
        <v>2060</v>
      </c>
      <c r="M821">
        <v>44</v>
      </c>
      <c r="N821" t="s">
        <v>33</v>
      </c>
      <c r="O821">
        <v>4.3</v>
      </c>
      <c r="P821" s="2">
        <f>EOMONTH(Table1[[#This Row],[Order_Date]],0)</f>
        <v>45351</v>
      </c>
      <c r="Q821" s="3">
        <f>WEEKNUM(Table1[[#This Row],[Order_Date]])</f>
        <v>9</v>
      </c>
      <c r="R821">
        <f>YEAR(Table1[[#This Row],[Order_Date]])</f>
        <v>2024</v>
      </c>
      <c r="S821" t="str">
        <f>IF(Table1[[#This Row],[Quantity]]&gt;=3,"Promo","Regular")</f>
        <v>Promo</v>
      </c>
    </row>
    <row r="822" spans="1:19" x14ac:dyDescent="0.35">
      <c r="A822" t="s">
        <v>2046</v>
      </c>
      <c r="B822" t="s">
        <v>895</v>
      </c>
      <c r="C822" s="1">
        <v>45344</v>
      </c>
      <c r="D822" t="s">
        <v>57</v>
      </c>
      <c r="E822" t="s">
        <v>62</v>
      </c>
      <c r="F822" t="s">
        <v>41</v>
      </c>
      <c r="G822" t="s">
        <v>31</v>
      </c>
      <c r="H822" t="s">
        <v>66</v>
      </c>
      <c r="I822" t="s">
        <v>20</v>
      </c>
      <c r="J822">
        <v>1</v>
      </c>
      <c r="K822">
        <v>463</v>
      </c>
      <c r="L822">
        <v>463</v>
      </c>
      <c r="M822">
        <v>26</v>
      </c>
      <c r="N822" t="s">
        <v>33</v>
      </c>
      <c r="O822">
        <v>3.4</v>
      </c>
      <c r="P822" s="2">
        <f>EOMONTH(Table1[[#This Row],[Order_Date]],0)</f>
        <v>45351</v>
      </c>
      <c r="Q822" s="3">
        <f>WEEKNUM(Table1[[#This Row],[Order_Date]])</f>
        <v>8</v>
      </c>
      <c r="R822">
        <f>YEAR(Table1[[#This Row],[Order_Date]])</f>
        <v>2024</v>
      </c>
      <c r="S822" t="str">
        <f>IF(Table1[[#This Row],[Quantity]]&gt;=3,"Promo","Regular")</f>
        <v>Regular</v>
      </c>
    </row>
    <row r="823" spans="1:19" x14ac:dyDescent="0.35">
      <c r="A823" t="s">
        <v>2046</v>
      </c>
      <c r="B823" t="s">
        <v>896</v>
      </c>
      <c r="C823" s="1">
        <v>45391</v>
      </c>
      <c r="D823" t="s">
        <v>28</v>
      </c>
      <c r="E823" t="s">
        <v>40</v>
      </c>
      <c r="F823" t="s">
        <v>35</v>
      </c>
      <c r="G823" t="s">
        <v>73</v>
      </c>
      <c r="H823" t="s">
        <v>19</v>
      </c>
      <c r="I823" t="s">
        <v>20</v>
      </c>
      <c r="J823">
        <v>4</v>
      </c>
      <c r="K823">
        <v>487</v>
      </c>
      <c r="L823">
        <v>1948</v>
      </c>
      <c r="M823">
        <v>20</v>
      </c>
      <c r="N823" t="s">
        <v>21</v>
      </c>
      <c r="O823">
        <v>3.6</v>
      </c>
      <c r="P823" s="2">
        <f>EOMONTH(Table1[[#This Row],[Order_Date]],0)</f>
        <v>45412</v>
      </c>
      <c r="Q823" s="3">
        <f>WEEKNUM(Table1[[#This Row],[Order_Date]])</f>
        <v>15</v>
      </c>
      <c r="R823">
        <f>YEAR(Table1[[#This Row],[Order_Date]])</f>
        <v>2024</v>
      </c>
      <c r="S823" t="str">
        <f>IF(Table1[[#This Row],[Quantity]]&gt;=3,"Promo","Regular")</f>
        <v>Promo</v>
      </c>
    </row>
    <row r="824" spans="1:19" x14ac:dyDescent="0.35">
      <c r="A824" t="s">
        <v>2046</v>
      </c>
      <c r="B824" t="s">
        <v>897</v>
      </c>
      <c r="C824" s="1">
        <v>45382</v>
      </c>
      <c r="D824" t="s">
        <v>57</v>
      </c>
      <c r="E824" t="s">
        <v>105</v>
      </c>
      <c r="F824" t="s">
        <v>72</v>
      </c>
      <c r="G824" t="s">
        <v>25</v>
      </c>
      <c r="H824" t="s">
        <v>120</v>
      </c>
      <c r="I824" t="s">
        <v>60</v>
      </c>
      <c r="J824">
        <v>5</v>
      </c>
      <c r="K824">
        <v>158</v>
      </c>
      <c r="L824">
        <v>790</v>
      </c>
      <c r="M824">
        <v>56</v>
      </c>
      <c r="N824" t="s">
        <v>33</v>
      </c>
      <c r="O824">
        <v>4.5</v>
      </c>
      <c r="P824" s="2">
        <f>EOMONTH(Table1[[#This Row],[Order_Date]],0)</f>
        <v>45382</v>
      </c>
      <c r="Q824" s="3">
        <f>WEEKNUM(Table1[[#This Row],[Order_Date]])</f>
        <v>14</v>
      </c>
      <c r="R824">
        <f>YEAR(Table1[[#This Row],[Order_Date]])</f>
        <v>2024</v>
      </c>
      <c r="S824" t="str">
        <f>IF(Table1[[#This Row],[Quantity]]&gt;=3,"Promo","Regular")</f>
        <v>Promo</v>
      </c>
    </row>
    <row r="825" spans="1:19" x14ac:dyDescent="0.35">
      <c r="A825" t="s">
        <v>2047</v>
      </c>
      <c r="B825" t="s">
        <v>898</v>
      </c>
      <c r="C825" s="1">
        <v>45530</v>
      </c>
      <c r="D825" t="s">
        <v>57</v>
      </c>
      <c r="E825" t="s">
        <v>75</v>
      </c>
      <c r="F825" t="s">
        <v>30</v>
      </c>
      <c r="G825" t="s">
        <v>73</v>
      </c>
      <c r="H825" t="s">
        <v>59</v>
      </c>
      <c r="I825" t="s">
        <v>60</v>
      </c>
      <c r="J825">
        <v>2</v>
      </c>
      <c r="K825">
        <v>246</v>
      </c>
      <c r="L825">
        <v>492</v>
      </c>
      <c r="M825">
        <v>37</v>
      </c>
      <c r="N825" t="s">
        <v>38</v>
      </c>
      <c r="O825">
        <v>3.5</v>
      </c>
      <c r="P825" s="2">
        <f>EOMONTH(Table1[[#This Row],[Order_Date]],0)</f>
        <v>45535</v>
      </c>
      <c r="Q825" s="3">
        <f>WEEKNUM(Table1[[#This Row],[Order_Date]])</f>
        <v>35</v>
      </c>
      <c r="R825">
        <f>YEAR(Table1[[#This Row],[Order_Date]])</f>
        <v>2024</v>
      </c>
      <c r="S825" t="str">
        <f>IF(Table1[[#This Row],[Quantity]]&gt;=3,"Promo","Regular")</f>
        <v>Regular</v>
      </c>
    </row>
    <row r="826" spans="1:19" x14ac:dyDescent="0.35">
      <c r="A826" t="s">
        <v>2047</v>
      </c>
      <c r="B826" t="s">
        <v>899</v>
      </c>
      <c r="C826" s="1">
        <v>45294</v>
      </c>
      <c r="D826" t="s">
        <v>43</v>
      </c>
      <c r="E826" t="s">
        <v>52</v>
      </c>
      <c r="F826" t="s">
        <v>65</v>
      </c>
      <c r="G826" t="s">
        <v>18</v>
      </c>
      <c r="H826" t="s">
        <v>19</v>
      </c>
      <c r="I826" t="s">
        <v>20</v>
      </c>
      <c r="J826">
        <v>5</v>
      </c>
      <c r="K826">
        <v>248</v>
      </c>
      <c r="L826">
        <v>1240</v>
      </c>
      <c r="M826">
        <v>45</v>
      </c>
      <c r="N826" t="s">
        <v>33</v>
      </c>
      <c r="O826">
        <v>3.9</v>
      </c>
      <c r="P826" s="2">
        <f>EOMONTH(Table1[[#This Row],[Order_Date]],0)</f>
        <v>45322</v>
      </c>
      <c r="Q826" s="3">
        <f>WEEKNUM(Table1[[#This Row],[Order_Date]])</f>
        <v>1</v>
      </c>
      <c r="R826">
        <f>YEAR(Table1[[#This Row],[Order_Date]])</f>
        <v>2024</v>
      </c>
      <c r="S826" t="str">
        <f>IF(Table1[[#This Row],[Quantity]]&gt;=3,"Promo","Regular")</f>
        <v>Promo</v>
      </c>
    </row>
    <row r="827" spans="1:19" x14ac:dyDescent="0.35">
      <c r="A827" t="s">
        <v>2048</v>
      </c>
      <c r="B827" t="s">
        <v>900</v>
      </c>
      <c r="C827" s="1">
        <v>45418</v>
      </c>
      <c r="D827" t="s">
        <v>43</v>
      </c>
      <c r="E827" t="s">
        <v>82</v>
      </c>
      <c r="F827" t="s">
        <v>30</v>
      </c>
      <c r="G827" t="s">
        <v>73</v>
      </c>
      <c r="H827" t="s">
        <v>37</v>
      </c>
      <c r="I827" t="s">
        <v>20</v>
      </c>
      <c r="J827">
        <v>4</v>
      </c>
      <c r="K827">
        <v>195</v>
      </c>
      <c r="L827">
        <v>780</v>
      </c>
      <c r="M827">
        <v>38</v>
      </c>
      <c r="N827" t="s">
        <v>21</v>
      </c>
      <c r="O827">
        <v>4.5</v>
      </c>
      <c r="P827" s="2">
        <f>EOMONTH(Table1[[#This Row],[Order_Date]],0)</f>
        <v>45443</v>
      </c>
      <c r="Q827" s="3">
        <f>WEEKNUM(Table1[[#This Row],[Order_Date]])</f>
        <v>19</v>
      </c>
      <c r="R827">
        <f>YEAR(Table1[[#This Row],[Order_Date]])</f>
        <v>2024</v>
      </c>
      <c r="S827" t="str">
        <f>IF(Table1[[#This Row],[Quantity]]&gt;=3,"Promo","Regular")</f>
        <v>Promo</v>
      </c>
    </row>
    <row r="828" spans="1:19" x14ac:dyDescent="0.35">
      <c r="A828" t="s">
        <v>2048</v>
      </c>
      <c r="B828" t="s">
        <v>901</v>
      </c>
      <c r="C828" s="1">
        <v>45529</v>
      </c>
      <c r="D828" t="s">
        <v>57</v>
      </c>
      <c r="E828" t="s">
        <v>62</v>
      </c>
      <c r="F828" t="s">
        <v>69</v>
      </c>
      <c r="G828" t="s">
        <v>31</v>
      </c>
      <c r="H828" t="s">
        <v>59</v>
      </c>
      <c r="I828" t="s">
        <v>60</v>
      </c>
      <c r="J828">
        <v>4</v>
      </c>
      <c r="K828">
        <v>173</v>
      </c>
      <c r="L828">
        <v>692</v>
      </c>
      <c r="M828">
        <v>49</v>
      </c>
      <c r="N828" t="s">
        <v>21</v>
      </c>
      <c r="O828">
        <v>4.5</v>
      </c>
      <c r="P828" s="2">
        <f>EOMONTH(Table1[[#This Row],[Order_Date]],0)</f>
        <v>45535</v>
      </c>
      <c r="Q828" s="3">
        <f>WEEKNUM(Table1[[#This Row],[Order_Date]])</f>
        <v>35</v>
      </c>
      <c r="R828">
        <f>YEAR(Table1[[#This Row],[Order_Date]])</f>
        <v>2024</v>
      </c>
      <c r="S828" t="str">
        <f>IF(Table1[[#This Row],[Quantity]]&gt;=3,"Promo","Regular")</f>
        <v>Promo</v>
      </c>
    </row>
    <row r="829" spans="1:19" x14ac:dyDescent="0.35">
      <c r="A829" t="s">
        <v>2048</v>
      </c>
      <c r="B829" t="s">
        <v>902</v>
      </c>
      <c r="C829" s="1">
        <v>45294</v>
      </c>
      <c r="D829" t="s">
        <v>48</v>
      </c>
      <c r="E829" t="s">
        <v>127</v>
      </c>
      <c r="F829" t="s">
        <v>85</v>
      </c>
      <c r="G829" t="s">
        <v>36</v>
      </c>
      <c r="H829" t="s">
        <v>32</v>
      </c>
      <c r="I829" t="s">
        <v>20</v>
      </c>
      <c r="J829">
        <v>3</v>
      </c>
      <c r="K829">
        <v>299</v>
      </c>
      <c r="L829">
        <v>897</v>
      </c>
      <c r="M829">
        <v>28</v>
      </c>
      <c r="N829" t="s">
        <v>33</v>
      </c>
      <c r="O829">
        <v>3.8</v>
      </c>
      <c r="P829" s="2">
        <f>EOMONTH(Table1[[#This Row],[Order_Date]],0)</f>
        <v>45322</v>
      </c>
      <c r="Q829" s="3">
        <f>WEEKNUM(Table1[[#This Row],[Order_Date]])</f>
        <v>1</v>
      </c>
      <c r="R829">
        <f>YEAR(Table1[[#This Row],[Order_Date]])</f>
        <v>2024</v>
      </c>
      <c r="S829" t="str">
        <f>IF(Table1[[#This Row],[Quantity]]&gt;=3,"Promo","Regular")</f>
        <v>Promo</v>
      </c>
    </row>
    <row r="830" spans="1:19" x14ac:dyDescent="0.35">
      <c r="A830" t="s">
        <v>2048</v>
      </c>
      <c r="B830" t="s">
        <v>903</v>
      </c>
      <c r="C830" s="1">
        <v>45301</v>
      </c>
      <c r="D830" t="s">
        <v>57</v>
      </c>
      <c r="E830" t="s">
        <v>75</v>
      </c>
      <c r="F830" t="s">
        <v>30</v>
      </c>
      <c r="G830" t="s">
        <v>46</v>
      </c>
      <c r="H830" t="s">
        <v>55</v>
      </c>
      <c r="I830" t="s">
        <v>20</v>
      </c>
      <c r="J830">
        <v>5</v>
      </c>
      <c r="K830">
        <v>372</v>
      </c>
      <c r="L830">
        <v>1860</v>
      </c>
      <c r="M830">
        <v>55</v>
      </c>
      <c r="N830" t="s">
        <v>21</v>
      </c>
      <c r="O830">
        <v>3.9</v>
      </c>
      <c r="P830" s="2">
        <f>EOMONTH(Table1[[#This Row],[Order_Date]],0)</f>
        <v>45322</v>
      </c>
      <c r="Q830" s="3">
        <f>WEEKNUM(Table1[[#This Row],[Order_Date]])</f>
        <v>2</v>
      </c>
      <c r="R830">
        <f>YEAR(Table1[[#This Row],[Order_Date]])</f>
        <v>2024</v>
      </c>
      <c r="S830" t="str">
        <f>IF(Table1[[#This Row],[Quantity]]&gt;=3,"Promo","Regular")</f>
        <v>Promo</v>
      </c>
    </row>
    <row r="831" spans="1:19" x14ac:dyDescent="0.35">
      <c r="A831" t="s">
        <v>2048</v>
      </c>
      <c r="B831" t="s">
        <v>904</v>
      </c>
      <c r="C831" s="1">
        <v>45383</v>
      </c>
      <c r="D831" t="s">
        <v>57</v>
      </c>
      <c r="E831" t="s">
        <v>58</v>
      </c>
      <c r="F831" t="s">
        <v>45</v>
      </c>
      <c r="G831" t="s">
        <v>31</v>
      </c>
      <c r="H831" t="s">
        <v>37</v>
      </c>
      <c r="I831" t="s">
        <v>20</v>
      </c>
      <c r="J831">
        <v>4</v>
      </c>
      <c r="K831">
        <v>173</v>
      </c>
      <c r="L831">
        <v>692</v>
      </c>
      <c r="M831">
        <v>60</v>
      </c>
      <c r="N831" t="s">
        <v>21</v>
      </c>
      <c r="O831">
        <v>3.8</v>
      </c>
      <c r="P831" s="2">
        <f>EOMONTH(Table1[[#This Row],[Order_Date]],0)</f>
        <v>45412</v>
      </c>
      <c r="Q831" s="3">
        <f>WEEKNUM(Table1[[#This Row],[Order_Date]])</f>
        <v>14</v>
      </c>
      <c r="R831">
        <f>YEAR(Table1[[#This Row],[Order_Date]])</f>
        <v>2024</v>
      </c>
      <c r="S831" t="str">
        <f>IF(Table1[[#This Row],[Quantity]]&gt;=3,"Promo","Regular")</f>
        <v>Promo</v>
      </c>
    </row>
    <row r="832" spans="1:19" x14ac:dyDescent="0.35">
      <c r="A832" t="s">
        <v>2049</v>
      </c>
      <c r="B832" t="s">
        <v>905</v>
      </c>
      <c r="C832" s="1">
        <v>45491</v>
      </c>
      <c r="D832" t="s">
        <v>43</v>
      </c>
      <c r="E832" t="s">
        <v>82</v>
      </c>
      <c r="F832" t="s">
        <v>69</v>
      </c>
      <c r="G832" t="s">
        <v>25</v>
      </c>
      <c r="H832" t="s">
        <v>26</v>
      </c>
      <c r="I832" t="s">
        <v>20</v>
      </c>
      <c r="J832">
        <v>4</v>
      </c>
      <c r="K832">
        <v>309</v>
      </c>
      <c r="L832">
        <v>1236</v>
      </c>
      <c r="M832">
        <v>35</v>
      </c>
      <c r="N832" t="s">
        <v>21</v>
      </c>
      <c r="O832">
        <v>3.7</v>
      </c>
      <c r="P832" s="2">
        <f>EOMONTH(Table1[[#This Row],[Order_Date]],0)</f>
        <v>45504</v>
      </c>
      <c r="Q832" s="3">
        <f>WEEKNUM(Table1[[#This Row],[Order_Date]])</f>
        <v>29</v>
      </c>
      <c r="R832">
        <f>YEAR(Table1[[#This Row],[Order_Date]])</f>
        <v>2024</v>
      </c>
      <c r="S832" t="str">
        <f>IF(Table1[[#This Row],[Quantity]]&gt;=3,"Promo","Regular")</f>
        <v>Promo</v>
      </c>
    </row>
    <row r="833" spans="1:19" x14ac:dyDescent="0.35">
      <c r="A833" t="s">
        <v>2049</v>
      </c>
      <c r="B833" t="s">
        <v>906</v>
      </c>
      <c r="C833" s="1">
        <v>45526</v>
      </c>
      <c r="D833" t="s">
        <v>48</v>
      </c>
      <c r="E833" t="s">
        <v>127</v>
      </c>
      <c r="F833" t="s">
        <v>69</v>
      </c>
      <c r="G833" t="s">
        <v>73</v>
      </c>
      <c r="H833" t="s">
        <v>32</v>
      </c>
      <c r="I833" t="s">
        <v>20</v>
      </c>
      <c r="J833">
        <v>4</v>
      </c>
      <c r="K833">
        <v>157</v>
      </c>
      <c r="L833">
        <v>628</v>
      </c>
      <c r="M833">
        <v>46</v>
      </c>
      <c r="N833" t="s">
        <v>33</v>
      </c>
      <c r="O833">
        <v>4.5999999999999996</v>
      </c>
      <c r="P833" s="2">
        <f>EOMONTH(Table1[[#This Row],[Order_Date]],0)</f>
        <v>45535</v>
      </c>
      <c r="Q833" s="3">
        <f>WEEKNUM(Table1[[#This Row],[Order_Date]])</f>
        <v>34</v>
      </c>
      <c r="R833">
        <f>YEAR(Table1[[#This Row],[Order_Date]])</f>
        <v>2024</v>
      </c>
      <c r="S833" t="str">
        <f>IF(Table1[[#This Row],[Quantity]]&gt;=3,"Promo","Regular")</f>
        <v>Promo</v>
      </c>
    </row>
    <row r="834" spans="1:19" x14ac:dyDescent="0.35">
      <c r="A834" t="s">
        <v>2049</v>
      </c>
      <c r="B834" t="s">
        <v>907</v>
      </c>
      <c r="C834" s="1">
        <v>45486</v>
      </c>
      <c r="D834" t="s">
        <v>28</v>
      </c>
      <c r="E834" t="s">
        <v>71</v>
      </c>
      <c r="F834" t="s">
        <v>35</v>
      </c>
      <c r="G834" t="s">
        <v>31</v>
      </c>
      <c r="H834" t="s">
        <v>53</v>
      </c>
      <c r="I834" t="s">
        <v>20</v>
      </c>
      <c r="J834">
        <v>3</v>
      </c>
      <c r="K834">
        <v>281</v>
      </c>
      <c r="L834">
        <v>843</v>
      </c>
      <c r="M834">
        <v>24</v>
      </c>
      <c r="N834" t="s">
        <v>33</v>
      </c>
      <c r="O834">
        <v>4.5999999999999996</v>
      </c>
      <c r="P834" s="2">
        <f>EOMONTH(Table1[[#This Row],[Order_Date]],0)</f>
        <v>45504</v>
      </c>
      <c r="Q834" s="3">
        <f>WEEKNUM(Table1[[#This Row],[Order_Date]])</f>
        <v>28</v>
      </c>
      <c r="R834">
        <f>YEAR(Table1[[#This Row],[Order_Date]])</f>
        <v>2024</v>
      </c>
      <c r="S834" t="str">
        <f>IF(Table1[[#This Row],[Quantity]]&gt;=3,"Promo","Regular")</f>
        <v>Promo</v>
      </c>
    </row>
    <row r="835" spans="1:19" x14ac:dyDescent="0.35">
      <c r="A835" t="s">
        <v>2049</v>
      </c>
      <c r="B835" t="s">
        <v>908</v>
      </c>
      <c r="C835" s="1">
        <v>45334</v>
      </c>
      <c r="D835" t="s">
        <v>15</v>
      </c>
      <c r="E835" t="s">
        <v>16</v>
      </c>
      <c r="F835" t="s">
        <v>72</v>
      </c>
      <c r="G835" t="s">
        <v>46</v>
      </c>
      <c r="H835" t="s">
        <v>53</v>
      </c>
      <c r="I835" t="s">
        <v>20</v>
      </c>
      <c r="J835">
        <v>1</v>
      </c>
      <c r="K835">
        <v>309</v>
      </c>
      <c r="L835">
        <v>309</v>
      </c>
      <c r="M835">
        <v>24</v>
      </c>
      <c r="N835" t="s">
        <v>38</v>
      </c>
      <c r="O835">
        <v>3.2</v>
      </c>
      <c r="P835" s="2">
        <f>EOMONTH(Table1[[#This Row],[Order_Date]],0)</f>
        <v>45351</v>
      </c>
      <c r="Q835" s="3">
        <f>WEEKNUM(Table1[[#This Row],[Order_Date]])</f>
        <v>7</v>
      </c>
      <c r="R835">
        <f>YEAR(Table1[[#This Row],[Order_Date]])</f>
        <v>2024</v>
      </c>
      <c r="S835" t="str">
        <f>IF(Table1[[#This Row],[Quantity]]&gt;=3,"Promo","Regular")</f>
        <v>Regular</v>
      </c>
    </row>
    <row r="836" spans="1:19" x14ac:dyDescent="0.35">
      <c r="A836" t="s">
        <v>2050</v>
      </c>
      <c r="B836" t="s">
        <v>909</v>
      </c>
      <c r="C836" s="1">
        <v>45526</v>
      </c>
      <c r="D836" t="s">
        <v>48</v>
      </c>
      <c r="E836" t="s">
        <v>64</v>
      </c>
      <c r="F836" t="s">
        <v>85</v>
      </c>
      <c r="G836" t="s">
        <v>36</v>
      </c>
      <c r="H836" t="s">
        <v>55</v>
      </c>
      <c r="I836" t="s">
        <v>20</v>
      </c>
      <c r="J836">
        <v>2</v>
      </c>
      <c r="K836">
        <v>317</v>
      </c>
      <c r="L836">
        <v>634</v>
      </c>
      <c r="M836">
        <v>20</v>
      </c>
      <c r="N836" t="s">
        <v>38</v>
      </c>
      <c r="O836">
        <v>4.2</v>
      </c>
      <c r="P836" s="2">
        <f>EOMONTH(Table1[[#This Row],[Order_Date]],0)</f>
        <v>45535</v>
      </c>
      <c r="Q836" s="3">
        <f>WEEKNUM(Table1[[#This Row],[Order_Date]])</f>
        <v>34</v>
      </c>
      <c r="R836">
        <f>YEAR(Table1[[#This Row],[Order_Date]])</f>
        <v>2024</v>
      </c>
      <c r="S836" t="str">
        <f>IF(Table1[[#This Row],[Quantity]]&gt;=3,"Promo","Regular")</f>
        <v>Regular</v>
      </c>
    </row>
    <row r="837" spans="1:19" x14ac:dyDescent="0.35">
      <c r="A837" t="s">
        <v>2050</v>
      </c>
      <c r="B837" t="s">
        <v>910</v>
      </c>
      <c r="C837" s="1">
        <v>45341</v>
      </c>
      <c r="D837" t="s">
        <v>43</v>
      </c>
      <c r="E837" t="s">
        <v>93</v>
      </c>
      <c r="F837" t="s">
        <v>17</v>
      </c>
      <c r="G837" t="s">
        <v>25</v>
      </c>
      <c r="H837" t="s">
        <v>66</v>
      </c>
      <c r="I837" t="s">
        <v>20</v>
      </c>
      <c r="J837">
        <v>5</v>
      </c>
      <c r="K837">
        <v>236</v>
      </c>
      <c r="L837">
        <v>1180</v>
      </c>
      <c r="M837">
        <v>50</v>
      </c>
      <c r="N837" t="s">
        <v>33</v>
      </c>
      <c r="O837">
        <v>3.4</v>
      </c>
      <c r="P837" s="2">
        <f>EOMONTH(Table1[[#This Row],[Order_Date]],0)</f>
        <v>45351</v>
      </c>
      <c r="Q837" s="3">
        <f>WEEKNUM(Table1[[#This Row],[Order_Date]])</f>
        <v>8</v>
      </c>
      <c r="R837">
        <f>YEAR(Table1[[#This Row],[Order_Date]])</f>
        <v>2024</v>
      </c>
      <c r="S837" t="str">
        <f>IF(Table1[[#This Row],[Quantity]]&gt;=3,"Promo","Regular")</f>
        <v>Promo</v>
      </c>
    </row>
    <row r="838" spans="1:19" x14ac:dyDescent="0.35">
      <c r="A838" t="s">
        <v>2050</v>
      </c>
      <c r="B838" t="s">
        <v>911</v>
      </c>
      <c r="C838" s="1">
        <v>45542</v>
      </c>
      <c r="D838" t="s">
        <v>43</v>
      </c>
      <c r="E838" t="s">
        <v>93</v>
      </c>
      <c r="F838" t="s">
        <v>45</v>
      </c>
      <c r="G838" t="s">
        <v>36</v>
      </c>
      <c r="H838" t="s">
        <v>50</v>
      </c>
      <c r="I838" t="s">
        <v>20</v>
      </c>
      <c r="J838">
        <v>3</v>
      </c>
      <c r="K838">
        <v>268</v>
      </c>
      <c r="L838">
        <v>804</v>
      </c>
      <c r="M838">
        <v>21</v>
      </c>
      <c r="N838" t="s">
        <v>21</v>
      </c>
      <c r="O838">
        <v>4.8</v>
      </c>
      <c r="P838" s="2">
        <f>EOMONTH(Table1[[#This Row],[Order_Date]],0)</f>
        <v>45565</v>
      </c>
      <c r="Q838" s="3">
        <f>WEEKNUM(Table1[[#This Row],[Order_Date]])</f>
        <v>36</v>
      </c>
      <c r="R838">
        <f>YEAR(Table1[[#This Row],[Order_Date]])</f>
        <v>2024</v>
      </c>
      <c r="S838" t="str">
        <f>IF(Table1[[#This Row],[Quantity]]&gt;=3,"Promo","Regular")</f>
        <v>Promo</v>
      </c>
    </row>
    <row r="839" spans="1:19" x14ac:dyDescent="0.35">
      <c r="A839" t="s">
        <v>2050</v>
      </c>
      <c r="B839" t="s">
        <v>912</v>
      </c>
      <c r="C839" s="1">
        <v>45352</v>
      </c>
      <c r="D839" t="s">
        <v>43</v>
      </c>
      <c r="E839" t="s">
        <v>44</v>
      </c>
      <c r="F839" t="s">
        <v>24</v>
      </c>
      <c r="G839" t="s">
        <v>73</v>
      </c>
      <c r="H839" t="s">
        <v>120</v>
      </c>
      <c r="I839" t="s">
        <v>60</v>
      </c>
      <c r="J839">
        <v>3</v>
      </c>
      <c r="K839">
        <v>144</v>
      </c>
      <c r="L839">
        <v>432</v>
      </c>
      <c r="M839">
        <v>25</v>
      </c>
      <c r="N839" t="s">
        <v>21</v>
      </c>
      <c r="O839">
        <v>4.9000000000000004</v>
      </c>
      <c r="P839" s="2">
        <f>EOMONTH(Table1[[#This Row],[Order_Date]],0)</f>
        <v>45382</v>
      </c>
      <c r="Q839" s="3">
        <f>WEEKNUM(Table1[[#This Row],[Order_Date]])</f>
        <v>9</v>
      </c>
      <c r="R839">
        <f>YEAR(Table1[[#This Row],[Order_Date]])</f>
        <v>2024</v>
      </c>
      <c r="S839" t="str">
        <f>IF(Table1[[#This Row],[Quantity]]&gt;=3,"Promo","Regular")</f>
        <v>Promo</v>
      </c>
    </row>
    <row r="840" spans="1:19" x14ac:dyDescent="0.35">
      <c r="A840" t="s">
        <v>2051</v>
      </c>
      <c r="B840" t="s">
        <v>913</v>
      </c>
      <c r="C840" s="1">
        <v>45491</v>
      </c>
      <c r="D840" t="s">
        <v>57</v>
      </c>
      <c r="E840" t="s">
        <v>105</v>
      </c>
      <c r="F840" t="s">
        <v>65</v>
      </c>
      <c r="G840" t="s">
        <v>46</v>
      </c>
      <c r="H840" t="s">
        <v>50</v>
      </c>
      <c r="I840" t="s">
        <v>20</v>
      </c>
      <c r="J840">
        <v>3</v>
      </c>
      <c r="K840">
        <v>253</v>
      </c>
      <c r="L840">
        <v>759</v>
      </c>
      <c r="M840">
        <v>47</v>
      </c>
      <c r="N840" t="s">
        <v>33</v>
      </c>
      <c r="O840">
        <v>4.5999999999999996</v>
      </c>
      <c r="P840" s="2">
        <f>EOMONTH(Table1[[#This Row],[Order_Date]],0)</f>
        <v>45504</v>
      </c>
      <c r="Q840" s="3">
        <f>WEEKNUM(Table1[[#This Row],[Order_Date]])</f>
        <v>29</v>
      </c>
      <c r="R840">
        <f>YEAR(Table1[[#This Row],[Order_Date]])</f>
        <v>2024</v>
      </c>
      <c r="S840" t="str">
        <f>IF(Table1[[#This Row],[Quantity]]&gt;=3,"Promo","Regular")</f>
        <v>Promo</v>
      </c>
    </row>
    <row r="841" spans="1:19" x14ac:dyDescent="0.35">
      <c r="A841" t="s">
        <v>2051</v>
      </c>
      <c r="B841" t="s">
        <v>914</v>
      </c>
      <c r="C841" s="1">
        <v>45497</v>
      </c>
      <c r="D841" t="s">
        <v>28</v>
      </c>
      <c r="E841" t="s">
        <v>40</v>
      </c>
      <c r="F841" t="s">
        <v>72</v>
      </c>
      <c r="G841" t="s">
        <v>73</v>
      </c>
      <c r="H841" t="s">
        <v>59</v>
      </c>
      <c r="I841" t="s">
        <v>60</v>
      </c>
      <c r="J841">
        <v>3</v>
      </c>
      <c r="K841">
        <v>400</v>
      </c>
      <c r="L841">
        <v>1200</v>
      </c>
      <c r="M841">
        <v>42</v>
      </c>
      <c r="N841" t="s">
        <v>38</v>
      </c>
      <c r="O841">
        <v>4.9000000000000004</v>
      </c>
      <c r="P841" s="2">
        <f>EOMONTH(Table1[[#This Row],[Order_Date]],0)</f>
        <v>45504</v>
      </c>
      <c r="Q841" s="3">
        <f>WEEKNUM(Table1[[#This Row],[Order_Date]])</f>
        <v>30</v>
      </c>
      <c r="R841">
        <f>YEAR(Table1[[#This Row],[Order_Date]])</f>
        <v>2024</v>
      </c>
      <c r="S841" t="str">
        <f>IF(Table1[[#This Row],[Quantity]]&gt;=3,"Promo","Regular")</f>
        <v>Promo</v>
      </c>
    </row>
    <row r="842" spans="1:19" x14ac:dyDescent="0.35">
      <c r="A842" t="s">
        <v>2051</v>
      </c>
      <c r="B842" t="s">
        <v>915</v>
      </c>
      <c r="C842" s="1">
        <v>45347</v>
      </c>
      <c r="D842" t="s">
        <v>15</v>
      </c>
      <c r="E842" t="s">
        <v>23</v>
      </c>
      <c r="F842" t="s">
        <v>85</v>
      </c>
      <c r="G842" t="s">
        <v>18</v>
      </c>
      <c r="H842" t="s">
        <v>32</v>
      </c>
      <c r="I842" t="s">
        <v>20</v>
      </c>
      <c r="J842">
        <v>4</v>
      </c>
      <c r="K842">
        <v>348</v>
      </c>
      <c r="L842">
        <v>1392</v>
      </c>
      <c r="M842">
        <v>27</v>
      </c>
      <c r="N842" t="s">
        <v>38</v>
      </c>
      <c r="O842">
        <v>3.3</v>
      </c>
      <c r="P842" s="2">
        <f>EOMONTH(Table1[[#This Row],[Order_Date]],0)</f>
        <v>45351</v>
      </c>
      <c r="Q842" s="3">
        <f>WEEKNUM(Table1[[#This Row],[Order_Date]])</f>
        <v>9</v>
      </c>
      <c r="R842">
        <f>YEAR(Table1[[#This Row],[Order_Date]])</f>
        <v>2024</v>
      </c>
      <c r="S842" t="str">
        <f>IF(Table1[[#This Row],[Quantity]]&gt;=3,"Promo","Regular")</f>
        <v>Promo</v>
      </c>
    </row>
    <row r="843" spans="1:19" x14ac:dyDescent="0.35">
      <c r="A843" t="s">
        <v>2052</v>
      </c>
      <c r="B843" t="s">
        <v>916</v>
      </c>
      <c r="C843" s="1">
        <v>45474</v>
      </c>
      <c r="D843" t="s">
        <v>28</v>
      </c>
      <c r="E843" t="s">
        <v>98</v>
      </c>
      <c r="F843" t="s">
        <v>65</v>
      </c>
      <c r="G843" t="s">
        <v>18</v>
      </c>
      <c r="H843" t="s">
        <v>37</v>
      </c>
      <c r="I843" t="s">
        <v>20</v>
      </c>
      <c r="J843">
        <v>2</v>
      </c>
      <c r="K843">
        <v>159</v>
      </c>
      <c r="L843">
        <v>318</v>
      </c>
      <c r="M843">
        <v>44</v>
      </c>
      <c r="N843" t="s">
        <v>33</v>
      </c>
      <c r="O843">
        <v>3.2</v>
      </c>
      <c r="P843" s="2">
        <f>EOMONTH(Table1[[#This Row],[Order_Date]],0)</f>
        <v>45504</v>
      </c>
      <c r="Q843" s="3">
        <f>WEEKNUM(Table1[[#This Row],[Order_Date]])</f>
        <v>27</v>
      </c>
      <c r="R843">
        <f>YEAR(Table1[[#This Row],[Order_Date]])</f>
        <v>2024</v>
      </c>
      <c r="S843" t="str">
        <f>IF(Table1[[#This Row],[Quantity]]&gt;=3,"Promo","Regular")</f>
        <v>Regular</v>
      </c>
    </row>
    <row r="844" spans="1:19" x14ac:dyDescent="0.35">
      <c r="A844" t="s">
        <v>2052</v>
      </c>
      <c r="B844" t="s">
        <v>917</v>
      </c>
      <c r="C844" s="1">
        <v>45297</v>
      </c>
      <c r="D844" t="s">
        <v>57</v>
      </c>
      <c r="E844" t="s">
        <v>58</v>
      </c>
      <c r="F844" t="s">
        <v>35</v>
      </c>
      <c r="G844" t="s">
        <v>18</v>
      </c>
      <c r="H844" t="s">
        <v>53</v>
      </c>
      <c r="I844" t="s">
        <v>20</v>
      </c>
      <c r="J844">
        <v>3</v>
      </c>
      <c r="K844">
        <v>353</v>
      </c>
      <c r="L844">
        <v>1059</v>
      </c>
      <c r="M844">
        <v>20</v>
      </c>
      <c r="N844" t="s">
        <v>38</v>
      </c>
      <c r="O844">
        <v>4.9000000000000004</v>
      </c>
      <c r="P844" s="2">
        <f>EOMONTH(Table1[[#This Row],[Order_Date]],0)</f>
        <v>45322</v>
      </c>
      <c r="Q844" s="3">
        <f>WEEKNUM(Table1[[#This Row],[Order_Date]])</f>
        <v>1</v>
      </c>
      <c r="R844">
        <f>YEAR(Table1[[#This Row],[Order_Date]])</f>
        <v>2024</v>
      </c>
      <c r="S844" t="str">
        <f>IF(Table1[[#This Row],[Quantity]]&gt;=3,"Promo","Regular")</f>
        <v>Promo</v>
      </c>
    </row>
    <row r="845" spans="1:19" x14ac:dyDescent="0.35">
      <c r="A845" t="s">
        <v>2052</v>
      </c>
      <c r="B845" t="s">
        <v>918</v>
      </c>
      <c r="C845" s="1">
        <v>45465</v>
      </c>
      <c r="D845" t="s">
        <v>28</v>
      </c>
      <c r="E845" t="s">
        <v>98</v>
      </c>
      <c r="F845" t="s">
        <v>17</v>
      </c>
      <c r="G845" t="s">
        <v>46</v>
      </c>
      <c r="H845" t="s">
        <v>120</v>
      </c>
      <c r="I845" t="s">
        <v>60</v>
      </c>
      <c r="J845">
        <v>1</v>
      </c>
      <c r="K845">
        <v>302</v>
      </c>
      <c r="L845">
        <v>302</v>
      </c>
      <c r="M845">
        <v>20</v>
      </c>
      <c r="N845" t="s">
        <v>33</v>
      </c>
      <c r="O845">
        <v>4.2</v>
      </c>
      <c r="P845" s="2">
        <f>EOMONTH(Table1[[#This Row],[Order_Date]],0)</f>
        <v>45473</v>
      </c>
      <c r="Q845" s="3">
        <f>WEEKNUM(Table1[[#This Row],[Order_Date]])</f>
        <v>25</v>
      </c>
      <c r="R845">
        <f>YEAR(Table1[[#This Row],[Order_Date]])</f>
        <v>2024</v>
      </c>
      <c r="S845" t="str">
        <f>IF(Table1[[#This Row],[Quantity]]&gt;=3,"Promo","Regular")</f>
        <v>Regular</v>
      </c>
    </row>
    <row r="846" spans="1:19" x14ac:dyDescent="0.35">
      <c r="A846" t="s">
        <v>2053</v>
      </c>
      <c r="B846" t="s">
        <v>919</v>
      </c>
      <c r="C846" s="1">
        <v>45465</v>
      </c>
      <c r="D846" t="s">
        <v>43</v>
      </c>
      <c r="E846" t="s">
        <v>110</v>
      </c>
      <c r="F846" t="s">
        <v>17</v>
      </c>
      <c r="G846" t="s">
        <v>73</v>
      </c>
      <c r="H846" t="s">
        <v>50</v>
      </c>
      <c r="I846" t="s">
        <v>20</v>
      </c>
      <c r="J846">
        <v>3</v>
      </c>
      <c r="K846">
        <v>148</v>
      </c>
      <c r="L846">
        <v>444</v>
      </c>
      <c r="M846">
        <v>23</v>
      </c>
      <c r="N846" t="s">
        <v>33</v>
      </c>
      <c r="O846">
        <v>4.8</v>
      </c>
      <c r="P846" s="2">
        <f>EOMONTH(Table1[[#This Row],[Order_Date]],0)</f>
        <v>45473</v>
      </c>
      <c r="Q846" s="3">
        <f>WEEKNUM(Table1[[#This Row],[Order_Date]])</f>
        <v>25</v>
      </c>
      <c r="R846">
        <f>YEAR(Table1[[#This Row],[Order_Date]])</f>
        <v>2024</v>
      </c>
      <c r="S846" t="str">
        <f>IF(Table1[[#This Row],[Quantity]]&gt;=3,"Promo","Regular")</f>
        <v>Promo</v>
      </c>
    </row>
    <row r="847" spans="1:19" x14ac:dyDescent="0.35">
      <c r="A847" t="s">
        <v>2053</v>
      </c>
      <c r="B847" t="s">
        <v>920</v>
      </c>
      <c r="C847" s="1">
        <v>45509</v>
      </c>
      <c r="D847" t="s">
        <v>48</v>
      </c>
      <c r="E847" t="s">
        <v>68</v>
      </c>
      <c r="F847" t="s">
        <v>69</v>
      </c>
      <c r="G847" t="s">
        <v>31</v>
      </c>
      <c r="H847" t="s">
        <v>19</v>
      </c>
      <c r="I847" t="s">
        <v>20</v>
      </c>
      <c r="J847">
        <v>3</v>
      </c>
      <c r="K847">
        <v>360</v>
      </c>
      <c r="L847">
        <v>1080</v>
      </c>
      <c r="M847">
        <v>26</v>
      </c>
      <c r="N847" t="s">
        <v>33</v>
      </c>
      <c r="O847">
        <v>4.8</v>
      </c>
      <c r="P847" s="2">
        <f>EOMONTH(Table1[[#This Row],[Order_Date]],0)</f>
        <v>45535</v>
      </c>
      <c r="Q847" s="3">
        <f>WEEKNUM(Table1[[#This Row],[Order_Date]])</f>
        <v>32</v>
      </c>
      <c r="R847">
        <f>YEAR(Table1[[#This Row],[Order_Date]])</f>
        <v>2024</v>
      </c>
      <c r="S847" t="str">
        <f>IF(Table1[[#This Row],[Quantity]]&gt;=3,"Promo","Regular")</f>
        <v>Promo</v>
      </c>
    </row>
    <row r="848" spans="1:19" x14ac:dyDescent="0.35">
      <c r="A848" t="s">
        <v>2053</v>
      </c>
      <c r="B848" t="s">
        <v>921</v>
      </c>
      <c r="C848" s="1">
        <v>45453</v>
      </c>
      <c r="D848" t="s">
        <v>15</v>
      </c>
      <c r="E848" t="s">
        <v>103</v>
      </c>
      <c r="F848" t="s">
        <v>65</v>
      </c>
      <c r="G848" t="s">
        <v>18</v>
      </c>
      <c r="H848" t="s">
        <v>120</v>
      </c>
      <c r="I848" t="s">
        <v>60</v>
      </c>
      <c r="J848">
        <v>5</v>
      </c>
      <c r="K848">
        <v>147</v>
      </c>
      <c r="L848">
        <v>735</v>
      </c>
      <c r="M848">
        <v>28</v>
      </c>
      <c r="N848" t="s">
        <v>33</v>
      </c>
      <c r="O848">
        <v>4.7</v>
      </c>
      <c r="P848" s="2">
        <f>EOMONTH(Table1[[#This Row],[Order_Date]],0)</f>
        <v>45473</v>
      </c>
      <c r="Q848" s="3">
        <f>WEEKNUM(Table1[[#This Row],[Order_Date]])</f>
        <v>24</v>
      </c>
      <c r="R848">
        <f>YEAR(Table1[[#This Row],[Order_Date]])</f>
        <v>2024</v>
      </c>
      <c r="S848" t="str">
        <f>IF(Table1[[#This Row],[Quantity]]&gt;=3,"Promo","Regular")</f>
        <v>Promo</v>
      </c>
    </row>
    <row r="849" spans="1:19" x14ac:dyDescent="0.35">
      <c r="A849" t="s">
        <v>2053</v>
      </c>
      <c r="B849" t="s">
        <v>922</v>
      </c>
      <c r="C849" s="1">
        <v>45415</v>
      </c>
      <c r="D849" t="s">
        <v>57</v>
      </c>
      <c r="E849" t="s">
        <v>136</v>
      </c>
      <c r="F849" t="s">
        <v>24</v>
      </c>
      <c r="G849" t="s">
        <v>36</v>
      </c>
      <c r="H849" t="s">
        <v>53</v>
      </c>
      <c r="I849" t="s">
        <v>20</v>
      </c>
      <c r="J849">
        <v>5</v>
      </c>
      <c r="K849">
        <v>272</v>
      </c>
      <c r="L849">
        <v>1360</v>
      </c>
      <c r="M849">
        <v>60</v>
      </c>
      <c r="N849" t="s">
        <v>38</v>
      </c>
      <c r="O849">
        <v>3.8</v>
      </c>
      <c r="P849" s="2">
        <f>EOMONTH(Table1[[#This Row],[Order_Date]],0)</f>
        <v>45443</v>
      </c>
      <c r="Q849" s="3">
        <f>WEEKNUM(Table1[[#This Row],[Order_Date]])</f>
        <v>18</v>
      </c>
      <c r="R849">
        <f>YEAR(Table1[[#This Row],[Order_Date]])</f>
        <v>2024</v>
      </c>
      <c r="S849" t="str">
        <f>IF(Table1[[#This Row],[Quantity]]&gt;=3,"Promo","Regular")</f>
        <v>Promo</v>
      </c>
    </row>
    <row r="850" spans="1:19" x14ac:dyDescent="0.35">
      <c r="A850" t="s">
        <v>2054</v>
      </c>
      <c r="B850" t="s">
        <v>923</v>
      </c>
      <c r="C850" s="1">
        <v>45453</v>
      </c>
      <c r="D850" t="s">
        <v>57</v>
      </c>
      <c r="E850" t="s">
        <v>58</v>
      </c>
      <c r="F850" t="s">
        <v>35</v>
      </c>
      <c r="G850" t="s">
        <v>73</v>
      </c>
      <c r="H850" t="s">
        <v>50</v>
      </c>
      <c r="I850" t="s">
        <v>20</v>
      </c>
      <c r="J850">
        <v>4</v>
      </c>
      <c r="K850">
        <v>228</v>
      </c>
      <c r="L850">
        <v>912</v>
      </c>
      <c r="M850">
        <v>28</v>
      </c>
      <c r="N850" t="s">
        <v>21</v>
      </c>
      <c r="O850">
        <v>4.7</v>
      </c>
      <c r="P850" s="2">
        <f>EOMONTH(Table1[[#This Row],[Order_Date]],0)</f>
        <v>45473</v>
      </c>
      <c r="Q850" s="3">
        <f>WEEKNUM(Table1[[#This Row],[Order_Date]])</f>
        <v>24</v>
      </c>
      <c r="R850">
        <f>YEAR(Table1[[#This Row],[Order_Date]])</f>
        <v>2024</v>
      </c>
      <c r="S850" t="str">
        <f>IF(Table1[[#This Row],[Quantity]]&gt;=3,"Promo","Regular")</f>
        <v>Promo</v>
      </c>
    </row>
    <row r="851" spans="1:19" x14ac:dyDescent="0.35">
      <c r="A851" t="s">
        <v>2054</v>
      </c>
      <c r="B851" t="s">
        <v>924</v>
      </c>
      <c r="C851" s="1">
        <v>45320</v>
      </c>
      <c r="D851" t="s">
        <v>57</v>
      </c>
      <c r="E851" t="s">
        <v>58</v>
      </c>
      <c r="F851" t="s">
        <v>17</v>
      </c>
      <c r="G851" t="s">
        <v>25</v>
      </c>
      <c r="H851" t="s">
        <v>26</v>
      </c>
      <c r="I851" t="s">
        <v>20</v>
      </c>
      <c r="J851">
        <v>5</v>
      </c>
      <c r="K851">
        <v>125</v>
      </c>
      <c r="L851">
        <v>625</v>
      </c>
      <c r="M851">
        <v>33</v>
      </c>
      <c r="N851" t="s">
        <v>21</v>
      </c>
      <c r="O851">
        <v>3</v>
      </c>
      <c r="P851" s="2">
        <f>EOMONTH(Table1[[#This Row],[Order_Date]],0)</f>
        <v>45322</v>
      </c>
      <c r="Q851" s="3">
        <f>WEEKNUM(Table1[[#This Row],[Order_Date]])</f>
        <v>5</v>
      </c>
      <c r="R851">
        <f>YEAR(Table1[[#This Row],[Order_Date]])</f>
        <v>2024</v>
      </c>
      <c r="S851" t="str">
        <f>IF(Table1[[#This Row],[Quantity]]&gt;=3,"Promo","Regular")</f>
        <v>Promo</v>
      </c>
    </row>
    <row r="852" spans="1:19" x14ac:dyDescent="0.35">
      <c r="A852" t="s">
        <v>2055</v>
      </c>
      <c r="B852" t="s">
        <v>925</v>
      </c>
      <c r="C852" s="1">
        <v>45386</v>
      </c>
      <c r="D852" t="s">
        <v>28</v>
      </c>
      <c r="E852" t="s">
        <v>98</v>
      </c>
      <c r="F852" t="s">
        <v>41</v>
      </c>
      <c r="G852" t="s">
        <v>73</v>
      </c>
      <c r="H852" t="s">
        <v>50</v>
      </c>
      <c r="I852" t="s">
        <v>20</v>
      </c>
      <c r="J852">
        <v>3</v>
      </c>
      <c r="K852">
        <v>285</v>
      </c>
      <c r="L852">
        <v>855</v>
      </c>
      <c r="M852">
        <v>59</v>
      </c>
      <c r="N852" t="s">
        <v>33</v>
      </c>
      <c r="O852">
        <v>4.5</v>
      </c>
      <c r="P852" s="2">
        <f>EOMONTH(Table1[[#This Row],[Order_Date]],0)</f>
        <v>45412</v>
      </c>
      <c r="Q852" s="3">
        <f>WEEKNUM(Table1[[#This Row],[Order_Date]])</f>
        <v>14</v>
      </c>
      <c r="R852">
        <f>YEAR(Table1[[#This Row],[Order_Date]])</f>
        <v>2024</v>
      </c>
      <c r="S852" t="str">
        <f>IF(Table1[[#This Row],[Quantity]]&gt;=3,"Promo","Regular")</f>
        <v>Promo</v>
      </c>
    </row>
    <row r="853" spans="1:19" x14ac:dyDescent="0.35">
      <c r="A853" t="s">
        <v>2055</v>
      </c>
      <c r="B853" t="s">
        <v>926</v>
      </c>
      <c r="C853" s="1">
        <v>45480</v>
      </c>
      <c r="D853" t="s">
        <v>57</v>
      </c>
      <c r="E853" t="s">
        <v>58</v>
      </c>
      <c r="F853" t="s">
        <v>85</v>
      </c>
      <c r="G853" t="s">
        <v>46</v>
      </c>
      <c r="H853" t="s">
        <v>53</v>
      </c>
      <c r="I853" t="s">
        <v>20</v>
      </c>
      <c r="J853">
        <v>3</v>
      </c>
      <c r="K853">
        <v>198</v>
      </c>
      <c r="L853">
        <v>594</v>
      </c>
      <c r="M853">
        <v>53</v>
      </c>
      <c r="N853" t="s">
        <v>38</v>
      </c>
      <c r="O853">
        <v>3.3</v>
      </c>
      <c r="P853" s="2">
        <f>EOMONTH(Table1[[#This Row],[Order_Date]],0)</f>
        <v>45504</v>
      </c>
      <c r="Q853" s="3">
        <f>WEEKNUM(Table1[[#This Row],[Order_Date]])</f>
        <v>28</v>
      </c>
      <c r="R853">
        <f>YEAR(Table1[[#This Row],[Order_Date]])</f>
        <v>2024</v>
      </c>
      <c r="S853" t="str">
        <f>IF(Table1[[#This Row],[Quantity]]&gt;=3,"Promo","Regular")</f>
        <v>Promo</v>
      </c>
    </row>
    <row r="854" spans="1:19" x14ac:dyDescent="0.35">
      <c r="A854" t="s">
        <v>2055</v>
      </c>
      <c r="B854" t="s">
        <v>927</v>
      </c>
      <c r="C854" s="1">
        <v>45553</v>
      </c>
      <c r="D854" t="s">
        <v>57</v>
      </c>
      <c r="E854" t="s">
        <v>62</v>
      </c>
      <c r="F854" t="s">
        <v>41</v>
      </c>
      <c r="G854" t="s">
        <v>73</v>
      </c>
      <c r="H854" t="s">
        <v>26</v>
      </c>
      <c r="I854" t="s">
        <v>20</v>
      </c>
      <c r="J854">
        <v>1</v>
      </c>
      <c r="K854">
        <v>360</v>
      </c>
      <c r="L854">
        <v>360</v>
      </c>
      <c r="M854">
        <v>24</v>
      </c>
      <c r="N854" t="s">
        <v>33</v>
      </c>
      <c r="O854">
        <v>4.4000000000000004</v>
      </c>
      <c r="P854" s="2">
        <f>EOMONTH(Table1[[#This Row],[Order_Date]],0)</f>
        <v>45565</v>
      </c>
      <c r="Q854" s="3">
        <f>WEEKNUM(Table1[[#This Row],[Order_Date]])</f>
        <v>38</v>
      </c>
      <c r="R854">
        <f>YEAR(Table1[[#This Row],[Order_Date]])</f>
        <v>2024</v>
      </c>
      <c r="S854" t="str">
        <f>IF(Table1[[#This Row],[Quantity]]&gt;=3,"Promo","Regular")</f>
        <v>Regular</v>
      </c>
    </row>
    <row r="855" spans="1:19" x14ac:dyDescent="0.35">
      <c r="A855" t="s">
        <v>2055</v>
      </c>
      <c r="B855" t="s">
        <v>928</v>
      </c>
      <c r="C855" s="1">
        <v>45368</v>
      </c>
      <c r="D855" t="s">
        <v>48</v>
      </c>
      <c r="E855" t="s">
        <v>49</v>
      </c>
      <c r="F855" t="s">
        <v>30</v>
      </c>
      <c r="G855" t="s">
        <v>73</v>
      </c>
      <c r="H855" t="s">
        <v>37</v>
      </c>
      <c r="I855" t="s">
        <v>20</v>
      </c>
      <c r="J855">
        <v>2</v>
      </c>
      <c r="K855">
        <v>271</v>
      </c>
      <c r="L855">
        <v>542</v>
      </c>
      <c r="M855">
        <v>59</v>
      </c>
      <c r="N855" t="s">
        <v>21</v>
      </c>
      <c r="O855">
        <v>3.1</v>
      </c>
      <c r="P855" s="2">
        <f>EOMONTH(Table1[[#This Row],[Order_Date]],0)</f>
        <v>45382</v>
      </c>
      <c r="Q855" s="3">
        <f>WEEKNUM(Table1[[#This Row],[Order_Date]])</f>
        <v>12</v>
      </c>
      <c r="R855">
        <f>YEAR(Table1[[#This Row],[Order_Date]])</f>
        <v>2024</v>
      </c>
      <c r="S855" t="str">
        <f>IF(Table1[[#This Row],[Quantity]]&gt;=3,"Promo","Regular")</f>
        <v>Regular</v>
      </c>
    </row>
    <row r="856" spans="1:19" x14ac:dyDescent="0.35">
      <c r="A856" t="s">
        <v>2056</v>
      </c>
      <c r="B856" t="s">
        <v>929</v>
      </c>
      <c r="C856" s="1">
        <v>45364</v>
      </c>
      <c r="D856" t="s">
        <v>15</v>
      </c>
      <c r="E856" t="s">
        <v>16</v>
      </c>
      <c r="F856" t="s">
        <v>24</v>
      </c>
      <c r="G856" t="s">
        <v>18</v>
      </c>
      <c r="H856" t="s">
        <v>55</v>
      </c>
      <c r="I856" t="s">
        <v>20</v>
      </c>
      <c r="J856">
        <v>3</v>
      </c>
      <c r="K856">
        <v>318</v>
      </c>
      <c r="L856">
        <v>954</v>
      </c>
      <c r="M856">
        <v>43</v>
      </c>
      <c r="N856" t="s">
        <v>21</v>
      </c>
      <c r="O856">
        <v>3.3</v>
      </c>
      <c r="P856" s="2">
        <f>EOMONTH(Table1[[#This Row],[Order_Date]],0)</f>
        <v>45382</v>
      </c>
      <c r="Q856" s="3">
        <f>WEEKNUM(Table1[[#This Row],[Order_Date]])</f>
        <v>11</v>
      </c>
      <c r="R856">
        <f>YEAR(Table1[[#This Row],[Order_Date]])</f>
        <v>2024</v>
      </c>
      <c r="S856" t="str">
        <f>IF(Table1[[#This Row],[Quantity]]&gt;=3,"Promo","Regular")</f>
        <v>Promo</v>
      </c>
    </row>
    <row r="857" spans="1:19" x14ac:dyDescent="0.35">
      <c r="A857" t="s">
        <v>2056</v>
      </c>
      <c r="B857" t="s">
        <v>930</v>
      </c>
      <c r="C857" s="1">
        <v>45533</v>
      </c>
      <c r="D857" t="s">
        <v>15</v>
      </c>
      <c r="E857" t="s">
        <v>112</v>
      </c>
      <c r="F857" t="s">
        <v>30</v>
      </c>
      <c r="G857" t="s">
        <v>31</v>
      </c>
      <c r="H857" t="s">
        <v>50</v>
      </c>
      <c r="I857" t="s">
        <v>20</v>
      </c>
      <c r="J857">
        <v>1</v>
      </c>
      <c r="K857">
        <v>498</v>
      </c>
      <c r="L857">
        <v>498</v>
      </c>
      <c r="M857">
        <v>34</v>
      </c>
      <c r="N857" t="s">
        <v>21</v>
      </c>
      <c r="O857">
        <v>3.9</v>
      </c>
      <c r="P857" s="2">
        <f>EOMONTH(Table1[[#This Row],[Order_Date]],0)</f>
        <v>45535</v>
      </c>
      <c r="Q857" s="3">
        <f>WEEKNUM(Table1[[#This Row],[Order_Date]])</f>
        <v>35</v>
      </c>
      <c r="R857">
        <f>YEAR(Table1[[#This Row],[Order_Date]])</f>
        <v>2024</v>
      </c>
      <c r="S857" t="str">
        <f>IF(Table1[[#This Row],[Quantity]]&gt;=3,"Promo","Regular")</f>
        <v>Regular</v>
      </c>
    </row>
    <row r="858" spans="1:19" x14ac:dyDescent="0.35">
      <c r="A858" t="s">
        <v>2057</v>
      </c>
      <c r="B858" t="s">
        <v>931</v>
      </c>
      <c r="C858" s="1">
        <v>45577</v>
      </c>
      <c r="D858" t="s">
        <v>57</v>
      </c>
      <c r="E858" t="s">
        <v>105</v>
      </c>
      <c r="F858" t="s">
        <v>45</v>
      </c>
      <c r="G858" t="s">
        <v>73</v>
      </c>
      <c r="H858" t="s">
        <v>19</v>
      </c>
      <c r="I858" t="s">
        <v>20</v>
      </c>
      <c r="J858">
        <v>1</v>
      </c>
      <c r="K858">
        <v>144</v>
      </c>
      <c r="L858">
        <v>144</v>
      </c>
      <c r="M858">
        <v>24</v>
      </c>
      <c r="N858" t="s">
        <v>21</v>
      </c>
      <c r="O858">
        <v>4.3</v>
      </c>
      <c r="P858" s="2">
        <f>EOMONTH(Table1[[#This Row],[Order_Date]],0)</f>
        <v>45596</v>
      </c>
      <c r="Q858" s="3">
        <f>WEEKNUM(Table1[[#This Row],[Order_Date]])</f>
        <v>41</v>
      </c>
      <c r="R858">
        <f>YEAR(Table1[[#This Row],[Order_Date]])</f>
        <v>2024</v>
      </c>
      <c r="S858" t="str">
        <f>IF(Table1[[#This Row],[Quantity]]&gt;=3,"Promo","Regular")</f>
        <v>Regular</v>
      </c>
    </row>
    <row r="859" spans="1:19" x14ac:dyDescent="0.35">
      <c r="A859" t="s">
        <v>2057</v>
      </c>
      <c r="B859" t="s">
        <v>932</v>
      </c>
      <c r="C859" s="1">
        <v>45347</v>
      </c>
      <c r="D859" t="s">
        <v>28</v>
      </c>
      <c r="E859" t="s">
        <v>71</v>
      </c>
      <c r="F859" t="s">
        <v>35</v>
      </c>
      <c r="G859" t="s">
        <v>36</v>
      </c>
      <c r="H859" t="s">
        <v>19</v>
      </c>
      <c r="I859" t="s">
        <v>20</v>
      </c>
      <c r="J859">
        <v>5</v>
      </c>
      <c r="K859">
        <v>202</v>
      </c>
      <c r="L859">
        <v>1010</v>
      </c>
      <c r="M859">
        <v>40</v>
      </c>
      <c r="N859" t="s">
        <v>38</v>
      </c>
      <c r="O859">
        <v>5</v>
      </c>
      <c r="P859" s="2">
        <f>EOMONTH(Table1[[#This Row],[Order_Date]],0)</f>
        <v>45351</v>
      </c>
      <c r="Q859" s="3">
        <f>WEEKNUM(Table1[[#This Row],[Order_Date]])</f>
        <v>9</v>
      </c>
      <c r="R859">
        <f>YEAR(Table1[[#This Row],[Order_Date]])</f>
        <v>2024</v>
      </c>
      <c r="S859" t="str">
        <f>IF(Table1[[#This Row],[Quantity]]&gt;=3,"Promo","Regular")</f>
        <v>Promo</v>
      </c>
    </row>
    <row r="860" spans="1:19" x14ac:dyDescent="0.35">
      <c r="A860" t="s">
        <v>2057</v>
      </c>
      <c r="B860" t="s">
        <v>933</v>
      </c>
      <c r="C860" s="1">
        <v>45533</v>
      </c>
      <c r="D860" t="s">
        <v>28</v>
      </c>
      <c r="E860" t="s">
        <v>77</v>
      </c>
      <c r="F860" t="s">
        <v>69</v>
      </c>
      <c r="G860" t="s">
        <v>18</v>
      </c>
      <c r="H860" t="s">
        <v>32</v>
      </c>
      <c r="I860" t="s">
        <v>20</v>
      </c>
      <c r="J860">
        <v>2</v>
      </c>
      <c r="K860">
        <v>305</v>
      </c>
      <c r="L860">
        <v>610</v>
      </c>
      <c r="M860">
        <v>30</v>
      </c>
      <c r="N860" t="s">
        <v>38</v>
      </c>
      <c r="O860">
        <v>4.0999999999999996</v>
      </c>
      <c r="P860" s="2">
        <f>EOMONTH(Table1[[#This Row],[Order_Date]],0)</f>
        <v>45535</v>
      </c>
      <c r="Q860" s="3">
        <f>WEEKNUM(Table1[[#This Row],[Order_Date]])</f>
        <v>35</v>
      </c>
      <c r="R860">
        <f>YEAR(Table1[[#This Row],[Order_Date]])</f>
        <v>2024</v>
      </c>
      <c r="S860" t="str">
        <f>IF(Table1[[#This Row],[Quantity]]&gt;=3,"Promo","Regular")</f>
        <v>Regular</v>
      </c>
    </row>
    <row r="861" spans="1:19" x14ac:dyDescent="0.35">
      <c r="A861" t="s">
        <v>2057</v>
      </c>
      <c r="B861" t="s">
        <v>934</v>
      </c>
      <c r="C861" s="1">
        <v>45363</v>
      </c>
      <c r="D861" t="s">
        <v>43</v>
      </c>
      <c r="E861" t="s">
        <v>82</v>
      </c>
      <c r="F861" t="s">
        <v>45</v>
      </c>
      <c r="G861" t="s">
        <v>73</v>
      </c>
      <c r="H861" t="s">
        <v>55</v>
      </c>
      <c r="I861" t="s">
        <v>20</v>
      </c>
      <c r="J861">
        <v>3</v>
      </c>
      <c r="K861">
        <v>156</v>
      </c>
      <c r="L861">
        <v>468</v>
      </c>
      <c r="M861">
        <v>32</v>
      </c>
      <c r="N861" t="s">
        <v>38</v>
      </c>
      <c r="O861">
        <v>3.4</v>
      </c>
      <c r="P861" s="2">
        <f>EOMONTH(Table1[[#This Row],[Order_Date]],0)</f>
        <v>45382</v>
      </c>
      <c r="Q861" s="3">
        <f>WEEKNUM(Table1[[#This Row],[Order_Date]])</f>
        <v>11</v>
      </c>
      <c r="R861">
        <f>YEAR(Table1[[#This Row],[Order_Date]])</f>
        <v>2024</v>
      </c>
      <c r="S861" t="str">
        <f>IF(Table1[[#This Row],[Quantity]]&gt;=3,"Promo","Regular")</f>
        <v>Promo</v>
      </c>
    </row>
    <row r="862" spans="1:19" x14ac:dyDescent="0.35">
      <c r="A862" t="s">
        <v>2057</v>
      </c>
      <c r="B862" t="s">
        <v>935</v>
      </c>
      <c r="C862" s="1">
        <v>45442</v>
      </c>
      <c r="D862" t="s">
        <v>57</v>
      </c>
      <c r="E862" t="s">
        <v>136</v>
      </c>
      <c r="F862" t="s">
        <v>85</v>
      </c>
      <c r="G862" t="s">
        <v>25</v>
      </c>
      <c r="H862" t="s">
        <v>120</v>
      </c>
      <c r="I862" t="s">
        <v>60</v>
      </c>
      <c r="J862">
        <v>3</v>
      </c>
      <c r="K862">
        <v>296</v>
      </c>
      <c r="L862">
        <v>888</v>
      </c>
      <c r="M862">
        <v>41</v>
      </c>
      <c r="N862" t="s">
        <v>21</v>
      </c>
      <c r="O862">
        <v>3.5</v>
      </c>
      <c r="P862" s="2">
        <f>EOMONTH(Table1[[#This Row],[Order_Date]],0)</f>
        <v>45443</v>
      </c>
      <c r="Q862" s="3">
        <f>WEEKNUM(Table1[[#This Row],[Order_Date]])</f>
        <v>22</v>
      </c>
      <c r="R862">
        <f>YEAR(Table1[[#This Row],[Order_Date]])</f>
        <v>2024</v>
      </c>
      <c r="S862" t="str">
        <f>IF(Table1[[#This Row],[Quantity]]&gt;=3,"Promo","Regular")</f>
        <v>Promo</v>
      </c>
    </row>
    <row r="863" spans="1:19" x14ac:dyDescent="0.35">
      <c r="A863" t="s">
        <v>2058</v>
      </c>
      <c r="B863" t="s">
        <v>936</v>
      </c>
      <c r="C863" s="1">
        <v>45475</v>
      </c>
      <c r="D863" t="s">
        <v>43</v>
      </c>
      <c r="E863" t="s">
        <v>110</v>
      </c>
      <c r="F863" t="s">
        <v>41</v>
      </c>
      <c r="G863" t="s">
        <v>46</v>
      </c>
      <c r="H863" t="s">
        <v>32</v>
      </c>
      <c r="I863" t="s">
        <v>20</v>
      </c>
      <c r="J863">
        <v>2</v>
      </c>
      <c r="K863">
        <v>377</v>
      </c>
      <c r="L863">
        <v>754</v>
      </c>
      <c r="M863">
        <v>30</v>
      </c>
      <c r="N863" t="s">
        <v>38</v>
      </c>
      <c r="O863">
        <v>3.6</v>
      </c>
      <c r="P863" s="2">
        <f>EOMONTH(Table1[[#This Row],[Order_Date]],0)</f>
        <v>45504</v>
      </c>
      <c r="Q863" s="3">
        <f>WEEKNUM(Table1[[#This Row],[Order_Date]])</f>
        <v>27</v>
      </c>
      <c r="R863">
        <f>YEAR(Table1[[#This Row],[Order_Date]])</f>
        <v>2024</v>
      </c>
      <c r="S863" t="str">
        <f>IF(Table1[[#This Row],[Quantity]]&gt;=3,"Promo","Regular")</f>
        <v>Regular</v>
      </c>
    </row>
    <row r="864" spans="1:19" x14ac:dyDescent="0.35">
      <c r="A864" t="s">
        <v>2058</v>
      </c>
      <c r="B864" t="s">
        <v>937</v>
      </c>
      <c r="C864" s="1">
        <v>45494</v>
      </c>
      <c r="D864" t="s">
        <v>15</v>
      </c>
      <c r="E864" t="s">
        <v>103</v>
      </c>
      <c r="F864" t="s">
        <v>17</v>
      </c>
      <c r="G864" t="s">
        <v>36</v>
      </c>
      <c r="H864" t="s">
        <v>55</v>
      </c>
      <c r="I864" t="s">
        <v>20</v>
      </c>
      <c r="J864">
        <v>2</v>
      </c>
      <c r="K864">
        <v>483</v>
      </c>
      <c r="L864">
        <v>966</v>
      </c>
      <c r="M864">
        <v>43</v>
      </c>
      <c r="N864" t="s">
        <v>21</v>
      </c>
      <c r="O864">
        <v>3.6</v>
      </c>
      <c r="P864" s="2">
        <f>EOMONTH(Table1[[#This Row],[Order_Date]],0)</f>
        <v>45504</v>
      </c>
      <c r="Q864" s="3">
        <f>WEEKNUM(Table1[[#This Row],[Order_Date]])</f>
        <v>30</v>
      </c>
      <c r="R864">
        <f>YEAR(Table1[[#This Row],[Order_Date]])</f>
        <v>2024</v>
      </c>
      <c r="S864" t="str">
        <f>IF(Table1[[#This Row],[Quantity]]&gt;=3,"Promo","Regular")</f>
        <v>Regular</v>
      </c>
    </row>
    <row r="865" spans="1:19" x14ac:dyDescent="0.35">
      <c r="A865" t="s">
        <v>2058</v>
      </c>
      <c r="B865" t="s">
        <v>938</v>
      </c>
      <c r="C865" s="1">
        <v>45316</v>
      </c>
      <c r="D865" t="s">
        <v>28</v>
      </c>
      <c r="E865" t="s">
        <v>29</v>
      </c>
      <c r="F865" t="s">
        <v>45</v>
      </c>
      <c r="G865" t="s">
        <v>36</v>
      </c>
      <c r="H865" t="s">
        <v>19</v>
      </c>
      <c r="I865" t="s">
        <v>20</v>
      </c>
      <c r="J865">
        <v>3</v>
      </c>
      <c r="K865">
        <v>286</v>
      </c>
      <c r="L865">
        <v>858</v>
      </c>
      <c r="M865">
        <v>58</v>
      </c>
      <c r="N865" t="s">
        <v>21</v>
      </c>
      <c r="O865">
        <v>3.6</v>
      </c>
      <c r="P865" s="2">
        <f>EOMONTH(Table1[[#This Row],[Order_Date]],0)</f>
        <v>45322</v>
      </c>
      <c r="Q865" s="3">
        <f>WEEKNUM(Table1[[#This Row],[Order_Date]])</f>
        <v>4</v>
      </c>
      <c r="R865">
        <f>YEAR(Table1[[#This Row],[Order_Date]])</f>
        <v>2024</v>
      </c>
      <c r="S865" t="str">
        <f>IF(Table1[[#This Row],[Quantity]]&gt;=3,"Promo","Regular")</f>
        <v>Promo</v>
      </c>
    </row>
    <row r="866" spans="1:19" x14ac:dyDescent="0.35">
      <c r="A866" t="s">
        <v>2059</v>
      </c>
      <c r="B866" t="s">
        <v>939</v>
      </c>
      <c r="C866" s="1">
        <v>45498</v>
      </c>
      <c r="D866" t="s">
        <v>28</v>
      </c>
      <c r="E866" t="s">
        <v>29</v>
      </c>
      <c r="F866" t="s">
        <v>72</v>
      </c>
      <c r="G866" t="s">
        <v>36</v>
      </c>
      <c r="H866" t="s">
        <v>120</v>
      </c>
      <c r="I866" t="s">
        <v>60</v>
      </c>
      <c r="J866">
        <v>1</v>
      </c>
      <c r="K866">
        <v>496</v>
      </c>
      <c r="L866">
        <v>496</v>
      </c>
      <c r="M866">
        <v>41</v>
      </c>
      <c r="N866" t="s">
        <v>33</v>
      </c>
      <c r="O866">
        <v>3.7</v>
      </c>
      <c r="P866" s="2">
        <f>EOMONTH(Table1[[#This Row],[Order_Date]],0)</f>
        <v>45504</v>
      </c>
      <c r="Q866" s="3">
        <f>WEEKNUM(Table1[[#This Row],[Order_Date]])</f>
        <v>30</v>
      </c>
      <c r="R866">
        <f>YEAR(Table1[[#This Row],[Order_Date]])</f>
        <v>2024</v>
      </c>
      <c r="S866" t="str">
        <f>IF(Table1[[#This Row],[Quantity]]&gt;=3,"Promo","Regular")</f>
        <v>Regular</v>
      </c>
    </row>
    <row r="867" spans="1:19" x14ac:dyDescent="0.35">
      <c r="A867" t="s">
        <v>2059</v>
      </c>
      <c r="B867" t="s">
        <v>940</v>
      </c>
      <c r="C867" s="1">
        <v>45313</v>
      </c>
      <c r="D867" t="s">
        <v>28</v>
      </c>
      <c r="E867" t="s">
        <v>98</v>
      </c>
      <c r="F867" t="s">
        <v>45</v>
      </c>
      <c r="G867" t="s">
        <v>73</v>
      </c>
      <c r="H867" t="s">
        <v>19</v>
      </c>
      <c r="I867" t="s">
        <v>20</v>
      </c>
      <c r="J867">
        <v>4</v>
      </c>
      <c r="K867">
        <v>378</v>
      </c>
      <c r="L867">
        <v>1512</v>
      </c>
      <c r="M867">
        <v>33</v>
      </c>
      <c r="N867" t="s">
        <v>38</v>
      </c>
      <c r="O867">
        <v>4.2</v>
      </c>
      <c r="P867" s="2">
        <f>EOMONTH(Table1[[#This Row],[Order_Date]],0)</f>
        <v>45322</v>
      </c>
      <c r="Q867" s="3">
        <f>WEEKNUM(Table1[[#This Row],[Order_Date]])</f>
        <v>4</v>
      </c>
      <c r="R867">
        <f>YEAR(Table1[[#This Row],[Order_Date]])</f>
        <v>2024</v>
      </c>
      <c r="S867" t="str">
        <f>IF(Table1[[#This Row],[Quantity]]&gt;=3,"Promo","Regular")</f>
        <v>Promo</v>
      </c>
    </row>
    <row r="868" spans="1:19" x14ac:dyDescent="0.35">
      <c r="A868" t="s">
        <v>2059</v>
      </c>
      <c r="B868" t="s">
        <v>941</v>
      </c>
      <c r="C868" s="1">
        <v>45364</v>
      </c>
      <c r="D868" t="s">
        <v>15</v>
      </c>
      <c r="E868" t="s">
        <v>16</v>
      </c>
      <c r="F868" t="s">
        <v>17</v>
      </c>
      <c r="G868" t="s">
        <v>36</v>
      </c>
      <c r="H868" t="s">
        <v>26</v>
      </c>
      <c r="I868" t="s">
        <v>20</v>
      </c>
      <c r="J868">
        <v>2</v>
      </c>
      <c r="K868">
        <v>216</v>
      </c>
      <c r="L868">
        <v>432</v>
      </c>
      <c r="M868">
        <v>52</v>
      </c>
      <c r="N868" t="s">
        <v>38</v>
      </c>
      <c r="O868">
        <v>3.5</v>
      </c>
      <c r="P868" s="2">
        <f>EOMONTH(Table1[[#This Row],[Order_Date]],0)</f>
        <v>45382</v>
      </c>
      <c r="Q868" s="3">
        <f>WEEKNUM(Table1[[#This Row],[Order_Date]])</f>
        <v>11</v>
      </c>
      <c r="R868">
        <f>YEAR(Table1[[#This Row],[Order_Date]])</f>
        <v>2024</v>
      </c>
      <c r="S868" t="str">
        <f>IF(Table1[[#This Row],[Quantity]]&gt;=3,"Promo","Regular")</f>
        <v>Regular</v>
      </c>
    </row>
    <row r="869" spans="1:19" x14ac:dyDescent="0.35">
      <c r="A869" t="s">
        <v>2060</v>
      </c>
      <c r="B869" t="s">
        <v>942</v>
      </c>
      <c r="C869" s="1">
        <v>45301</v>
      </c>
      <c r="D869" t="s">
        <v>43</v>
      </c>
      <c r="E869" t="s">
        <v>93</v>
      </c>
      <c r="F869" t="s">
        <v>72</v>
      </c>
      <c r="G869" t="s">
        <v>18</v>
      </c>
      <c r="H869" t="s">
        <v>19</v>
      </c>
      <c r="I869" t="s">
        <v>20</v>
      </c>
      <c r="J869">
        <v>3</v>
      </c>
      <c r="K869">
        <v>203</v>
      </c>
      <c r="L869">
        <v>609</v>
      </c>
      <c r="M869">
        <v>25</v>
      </c>
      <c r="N869" t="s">
        <v>38</v>
      </c>
      <c r="O869">
        <v>3</v>
      </c>
      <c r="P869" s="2">
        <f>EOMONTH(Table1[[#This Row],[Order_Date]],0)</f>
        <v>45322</v>
      </c>
      <c r="Q869" s="3">
        <f>WEEKNUM(Table1[[#This Row],[Order_Date]])</f>
        <v>2</v>
      </c>
      <c r="R869">
        <f>YEAR(Table1[[#This Row],[Order_Date]])</f>
        <v>2024</v>
      </c>
      <c r="S869" t="str">
        <f>IF(Table1[[#This Row],[Quantity]]&gt;=3,"Promo","Regular")</f>
        <v>Promo</v>
      </c>
    </row>
    <row r="870" spans="1:19" x14ac:dyDescent="0.35">
      <c r="A870" t="s">
        <v>2060</v>
      </c>
      <c r="B870" t="s">
        <v>943</v>
      </c>
      <c r="C870" s="1">
        <v>45473</v>
      </c>
      <c r="D870" t="s">
        <v>43</v>
      </c>
      <c r="E870" t="s">
        <v>82</v>
      </c>
      <c r="F870" t="s">
        <v>69</v>
      </c>
      <c r="G870" t="s">
        <v>46</v>
      </c>
      <c r="H870" t="s">
        <v>19</v>
      </c>
      <c r="I870" t="s">
        <v>20</v>
      </c>
      <c r="J870">
        <v>1</v>
      </c>
      <c r="K870">
        <v>427</v>
      </c>
      <c r="L870">
        <v>427</v>
      </c>
      <c r="M870">
        <v>48</v>
      </c>
      <c r="N870" t="s">
        <v>33</v>
      </c>
      <c r="O870">
        <v>4.3</v>
      </c>
      <c r="P870" s="2">
        <f>EOMONTH(Table1[[#This Row],[Order_Date]],0)</f>
        <v>45473</v>
      </c>
      <c r="Q870" s="3">
        <f>WEEKNUM(Table1[[#This Row],[Order_Date]])</f>
        <v>27</v>
      </c>
      <c r="R870">
        <f>YEAR(Table1[[#This Row],[Order_Date]])</f>
        <v>2024</v>
      </c>
      <c r="S870" t="str">
        <f>IF(Table1[[#This Row],[Quantity]]&gt;=3,"Promo","Regular")</f>
        <v>Regular</v>
      </c>
    </row>
    <row r="871" spans="1:19" x14ac:dyDescent="0.35">
      <c r="A871" t="s">
        <v>2060</v>
      </c>
      <c r="B871" t="s">
        <v>944</v>
      </c>
      <c r="C871" s="1">
        <v>45428</v>
      </c>
      <c r="D871" t="s">
        <v>57</v>
      </c>
      <c r="E871" t="s">
        <v>75</v>
      </c>
      <c r="F871" t="s">
        <v>85</v>
      </c>
      <c r="G871" t="s">
        <v>18</v>
      </c>
      <c r="H871" t="s">
        <v>26</v>
      </c>
      <c r="I871" t="s">
        <v>20</v>
      </c>
      <c r="J871">
        <v>4</v>
      </c>
      <c r="K871">
        <v>314</v>
      </c>
      <c r="L871">
        <v>1256</v>
      </c>
      <c r="M871">
        <v>23</v>
      </c>
      <c r="N871" t="s">
        <v>38</v>
      </c>
      <c r="O871">
        <v>4.5999999999999996</v>
      </c>
      <c r="P871" s="2">
        <f>EOMONTH(Table1[[#This Row],[Order_Date]],0)</f>
        <v>45443</v>
      </c>
      <c r="Q871" s="3">
        <f>WEEKNUM(Table1[[#This Row],[Order_Date]])</f>
        <v>20</v>
      </c>
      <c r="R871">
        <f>YEAR(Table1[[#This Row],[Order_Date]])</f>
        <v>2024</v>
      </c>
      <c r="S871" t="str">
        <f>IF(Table1[[#This Row],[Quantity]]&gt;=3,"Promo","Regular")</f>
        <v>Promo</v>
      </c>
    </row>
    <row r="872" spans="1:19" x14ac:dyDescent="0.35">
      <c r="A872" t="s">
        <v>2061</v>
      </c>
      <c r="B872" t="s">
        <v>945</v>
      </c>
      <c r="C872" s="1">
        <v>45318</v>
      </c>
      <c r="D872" t="s">
        <v>57</v>
      </c>
      <c r="E872" t="s">
        <v>75</v>
      </c>
      <c r="F872" t="s">
        <v>85</v>
      </c>
      <c r="G872" t="s">
        <v>46</v>
      </c>
      <c r="H872" t="s">
        <v>50</v>
      </c>
      <c r="I872" t="s">
        <v>20</v>
      </c>
      <c r="J872">
        <v>4</v>
      </c>
      <c r="K872">
        <v>268</v>
      </c>
      <c r="L872">
        <v>1072</v>
      </c>
      <c r="M872">
        <v>50</v>
      </c>
      <c r="N872" t="s">
        <v>33</v>
      </c>
      <c r="O872">
        <v>3.8</v>
      </c>
      <c r="P872" s="2">
        <f>EOMONTH(Table1[[#This Row],[Order_Date]],0)</f>
        <v>45322</v>
      </c>
      <c r="Q872" s="3">
        <f>WEEKNUM(Table1[[#This Row],[Order_Date]])</f>
        <v>4</v>
      </c>
      <c r="R872">
        <f>YEAR(Table1[[#This Row],[Order_Date]])</f>
        <v>2024</v>
      </c>
      <c r="S872" t="str">
        <f>IF(Table1[[#This Row],[Quantity]]&gt;=3,"Promo","Regular")</f>
        <v>Promo</v>
      </c>
    </row>
    <row r="873" spans="1:19" x14ac:dyDescent="0.35">
      <c r="A873" t="s">
        <v>2061</v>
      </c>
      <c r="B873" t="s">
        <v>946</v>
      </c>
      <c r="C873" s="1">
        <v>45403</v>
      </c>
      <c r="D873" t="s">
        <v>48</v>
      </c>
      <c r="E873" t="s">
        <v>127</v>
      </c>
      <c r="F873" t="s">
        <v>35</v>
      </c>
      <c r="G873" t="s">
        <v>25</v>
      </c>
      <c r="H873" t="s">
        <v>26</v>
      </c>
      <c r="I873" t="s">
        <v>20</v>
      </c>
      <c r="J873">
        <v>2</v>
      </c>
      <c r="K873">
        <v>346</v>
      </c>
      <c r="L873">
        <v>692</v>
      </c>
      <c r="M873">
        <v>41</v>
      </c>
      <c r="N873" t="s">
        <v>38</v>
      </c>
      <c r="O873">
        <v>4.3</v>
      </c>
      <c r="P873" s="2">
        <f>EOMONTH(Table1[[#This Row],[Order_Date]],0)</f>
        <v>45412</v>
      </c>
      <c r="Q873" s="3">
        <f>WEEKNUM(Table1[[#This Row],[Order_Date]])</f>
        <v>17</v>
      </c>
      <c r="R873">
        <f>YEAR(Table1[[#This Row],[Order_Date]])</f>
        <v>2024</v>
      </c>
      <c r="S873" t="str">
        <f>IF(Table1[[#This Row],[Quantity]]&gt;=3,"Promo","Regular")</f>
        <v>Regular</v>
      </c>
    </row>
    <row r="874" spans="1:19" x14ac:dyDescent="0.35">
      <c r="A874" t="s">
        <v>2061</v>
      </c>
      <c r="B874" t="s">
        <v>947</v>
      </c>
      <c r="C874" s="1">
        <v>45312</v>
      </c>
      <c r="D874" t="s">
        <v>43</v>
      </c>
      <c r="E874" t="s">
        <v>82</v>
      </c>
      <c r="F874" t="s">
        <v>45</v>
      </c>
      <c r="G874" t="s">
        <v>31</v>
      </c>
      <c r="H874" t="s">
        <v>19</v>
      </c>
      <c r="I874" t="s">
        <v>20</v>
      </c>
      <c r="J874">
        <v>1</v>
      </c>
      <c r="K874">
        <v>193</v>
      </c>
      <c r="L874">
        <v>193</v>
      </c>
      <c r="M874">
        <v>53</v>
      </c>
      <c r="N874" t="s">
        <v>38</v>
      </c>
      <c r="O874">
        <v>4.4000000000000004</v>
      </c>
      <c r="P874" s="2">
        <f>EOMONTH(Table1[[#This Row],[Order_Date]],0)</f>
        <v>45322</v>
      </c>
      <c r="Q874" s="3">
        <f>WEEKNUM(Table1[[#This Row],[Order_Date]])</f>
        <v>4</v>
      </c>
      <c r="R874">
        <f>YEAR(Table1[[#This Row],[Order_Date]])</f>
        <v>2024</v>
      </c>
      <c r="S874" t="str">
        <f>IF(Table1[[#This Row],[Quantity]]&gt;=3,"Promo","Regular")</f>
        <v>Regular</v>
      </c>
    </row>
    <row r="875" spans="1:19" x14ac:dyDescent="0.35">
      <c r="A875" t="s">
        <v>2061</v>
      </c>
      <c r="B875" t="s">
        <v>948</v>
      </c>
      <c r="C875" s="1">
        <v>45469</v>
      </c>
      <c r="D875" t="s">
        <v>43</v>
      </c>
      <c r="E875" t="s">
        <v>52</v>
      </c>
      <c r="F875" t="s">
        <v>30</v>
      </c>
      <c r="G875" t="s">
        <v>46</v>
      </c>
      <c r="H875" t="s">
        <v>32</v>
      </c>
      <c r="I875" t="s">
        <v>20</v>
      </c>
      <c r="J875">
        <v>2</v>
      </c>
      <c r="K875">
        <v>490</v>
      </c>
      <c r="L875">
        <v>980</v>
      </c>
      <c r="M875">
        <v>22</v>
      </c>
      <c r="N875" t="s">
        <v>33</v>
      </c>
      <c r="O875">
        <v>3.9</v>
      </c>
      <c r="P875" s="2">
        <f>EOMONTH(Table1[[#This Row],[Order_Date]],0)</f>
        <v>45473</v>
      </c>
      <c r="Q875" s="3">
        <f>WEEKNUM(Table1[[#This Row],[Order_Date]])</f>
        <v>26</v>
      </c>
      <c r="R875">
        <f>YEAR(Table1[[#This Row],[Order_Date]])</f>
        <v>2024</v>
      </c>
      <c r="S875" t="str">
        <f>IF(Table1[[#This Row],[Quantity]]&gt;=3,"Promo","Regular")</f>
        <v>Regular</v>
      </c>
    </row>
    <row r="876" spans="1:19" x14ac:dyDescent="0.35">
      <c r="A876" t="s">
        <v>2062</v>
      </c>
      <c r="B876" t="s">
        <v>949</v>
      </c>
      <c r="C876" s="1">
        <v>45464</v>
      </c>
      <c r="D876" t="s">
        <v>48</v>
      </c>
      <c r="E876" t="s">
        <v>49</v>
      </c>
      <c r="F876" t="s">
        <v>41</v>
      </c>
      <c r="G876" t="s">
        <v>18</v>
      </c>
      <c r="H876" t="s">
        <v>66</v>
      </c>
      <c r="I876" t="s">
        <v>20</v>
      </c>
      <c r="J876">
        <v>4</v>
      </c>
      <c r="K876">
        <v>222</v>
      </c>
      <c r="L876">
        <v>888</v>
      </c>
      <c r="M876">
        <v>41</v>
      </c>
      <c r="N876" t="s">
        <v>21</v>
      </c>
      <c r="O876">
        <v>3.6</v>
      </c>
      <c r="P876" s="2">
        <f>EOMONTH(Table1[[#This Row],[Order_Date]],0)</f>
        <v>45473</v>
      </c>
      <c r="Q876" s="3">
        <f>WEEKNUM(Table1[[#This Row],[Order_Date]])</f>
        <v>25</v>
      </c>
      <c r="R876">
        <f>YEAR(Table1[[#This Row],[Order_Date]])</f>
        <v>2024</v>
      </c>
      <c r="S876" t="str">
        <f>IF(Table1[[#This Row],[Quantity]]&gt;=3,"Promo","Regular")</f>
        <v>Promo</v>
      </c>
    </row>
    <row r="877" spans="1:19" x14ac:dyDescent="0.35">
      <c r="A877" t="s">
        <v>2062</v>
      </c>
      <c r="B877" t="s">
        <v>950</v>
      </c>
      <c r="C877" s="1">
        <v>45332</v>
      </c>
      <c r="D877" t="s">
        <v>15</v>
      </c>
      <c r="E877" t="s">
        <v>103</v>
      </c>
      <c r="F877" t="s">
        <v>45</v>
      </c>
      <c r="G877" t="s">
        <v>25</v>
      </c>
      <c r="H877" t="s">
        <v>55</v>
      </c>
      <c r="I877" t="s">
        <v>20</v>
      </c>
      <c r="J877">
        <v>4</v>
      </c>
      <c r="K877">
        <v>426</v>
      </c>
      <c r="L877">
        <v>1704</v>
      </c>
      <c r="M877">
        <v>51</v>
      </c>
      <c r="N877" t="s">
        <v>21</v>
      </c>
      <c r="O877">
        <v>3.7</v>
      </c>
      <c r="P877" s="2">
        <f>EOMONTH(Table1[[#This Row],[Order_Date]],0)</f>
        <v>45351</v>
      </c>
      <c r="Q877" s="3">
        <f>WEEKNUM(Table1[[#This Row],[Order_Date]])</f>
        <v>6</v>
      </c>
      <c r="R877">
        <f>YEAR(Table1[[#This Row],[Order_Date]])</f>
        <v>2024</v>
      </c>
      <c r="S877" t="str">
        <f>IF(Table1[[#This Row],[Quantity]]&gt;=3,"Promo","Regular")</f>
        <v>Promo</v>
      </c>
    </row>
    <row r="878" spans="1:19" x14ac:dyDescent="0.35">
      <c r="A878" t="s">
        <v>2062</v>
      </c>
      <c r="B878" t="s">
        <v>951</v>
      </c>
      <c r="C878" s="1">
        <v>45522</v>
      </c>
      <c r="D878" t="s">
        <v>15</v>
      </c>
      <c r="E878" t="s">
        <v>103</v>
      </c>
      <c r="F878" t="s">
        <v>41</v>
      </c>
      <c r="G878" t="s">
        <v>36</v>
      </c>
      <c r="H878" t="s">
        <v>32</v>
      </c>
      <c r="I878" t="s">
        <v>20</v>
      </c>
      <c r="J878">
        <v>4</v>
      </c>
      <c r="K878">
        <v>285</v>
      </c>
      <c r="L878">
        <v>1140</v>
      </c>
      <c r="M878">
        <v>48</v>
      </c>
      <c r="N878" t="s">
        <v>38</v>
      </c>
      <c r="O878">
        <v>3.3</v>
      </c>
      <c r="P878" s="2">
        <f>EOMONTH(Table1[[#This Row],[Order_Date]],0)</f>
        <v>45535</v>
      </c>
      <c r="Q878" s="3">
        <f>WEEKNUM(Table1[[#This Row],[Order_Date]])</f>
        <v>34</v>
      </c>
      <c r="R878">
        <f>YEAR(Table1[[#This Row],[Order_Date]])</f>
        <v>2024</v>
      </c>
      <c r="S878" t="str">
        <f>IF(Table1[[#This Row],[Quantity]]&gt;=3,"Promo","Regular")</f>
        <v>Promo</v>
      </c>
    </row>
    <row r="879" spans="1:19" x14ac:dyDescent="0.35">
      <c r="A879" t="s">
        <v>2063</v>
      </c>
      <c r="B879" t="s">
        <v>952</v>
      </c>
      <c r="C879" s="1">
        <v>45426</v>
      </c>
      <c r="D879" t="s">
        <v>28</v>
      </c>
      <c r="E879" t="s">
        <v>98</v>
      </c>
      <c r="F879" t="s">
        <v>85</v>
      </c>
      <c r="G879" t="s">
        <v>73</v>
      </c>
      <c r="H879" t="s">
        <v>66</v>
      </c>
      <c r="I879" t="s">
        <v>20</v>
      </c>
      <c r="J879">
        <v>4</v>
      </c>
      <c r="K879">
        <v>158</v>
      </c>
      <c r="L879">
        <v>632</v>
      </c>
      <c r="M879">
        <v>49</v>
      </c>
      <c r="N879" t="s">
        <v>21</v>
      </c>
      <c r="O879">
        <v>4.4000000000000004</v>
      </c>
      <c r="P879" s="2">
        <f>EOMONTH(Table1[[#This Row],[Order_Date]],0)</f>
        <v>45443</v>
      </c>
      <c r="Q879" s="3">
        <f>WEEKNUM(Table1[[#This Row],[Order_Date]])</f>
        <v>20</v>
      </c>
      <c r="R879">
        <f>YEAR(Table1[[#This Row],[Order_Date]])</f>
        <v>2024</v>
      </c>
      <c r="S879" t="str">
        <f>IF(Table1[[#This Row],[Quantity]]&gt;=3,"Promo","Regular")</f>
        <v>Promo</v>
      </c>
    </row>
    <row r="880" spans="1:19" x14ac:dyDescent="0.35">
      <c r="A880" t="s">
        <v>2063</v>
      </c>
      <c r="B880" t="s">
        <v>953</v>
      </c>
      <c r="C880" s="1">
        <v>45574</v>
      </c>
      <c r="D880" t="s">
        <v>43</v>
      </c>
      <c r="E880" t="s">
        <v>110</v>
      </c>
      <c r="F880" t="s">
        <v>35</v>
      </c>
      <c r="G880" t="s">
        <v>46</v>
      </c>
      <c r="H880" t="s">
        <v>19</v>
      </c>
      <c r="I880" t="s">
        <v>20</v>
      </c>
      <c r="J880">
        <v>3</v>
      </c>
      <c r="K880">
        <v>357</v>
      </c>
      <c r="L880">
        <v>1071</v>
      </c>
      <c r="M880">
        <v>24</v>
      </c>
      <c r="N880" t="s">
        <v>21</v>
      </c>
      <c r="O880">
        <v>4.2</v>
      </c>
      <c r="P880" s="2">
        <f>EOMONTH(Table1[[#This Row],[Order_Date]],0)</f>
        <v>45596</v>
      </c>
      <c r="Q880" s="3">
        <f>WEEKNUM(Table1[[#This Row],[Order_Date]])</f>
        <v>41</v>
      </c>
      <c r="R880">
        <f>YEAR(Table1[[#This Row],[Order_Date]])</f>
        <v>2024</v>
      </c>
      <c r="S880" t="str">
        <f>IF(Table1[[#This Row],[Quantity]]&gt;=3,"Promo","Regular")</f>
        <v>Promo</v>
      </c>
    </row>
    <row r="881" spans="1:19" x14ac:dyDescent="0.35">
      <c r="A881" t="s">
        <v>2063</v>
      </c>
      <c r="B881" t="s">
        <v>954</v>
      </c>
      <c r="C881" s="1">
        <v>45401</v>
      </c>
      <c r="D881" t="s">
        <v>28</v>
      </c>
      <c r="E881" t="s">
        <v>29</v>
      </c>
      <c r="F881" t="s">
        <v>24</v>
      </c>
      <c r="G881" t="s">
        <v>73</v>
      </c>
      <c r="H881" t="s">
        <v>53</v>
      </c>
      <c r="I881" t="s">
        <v>20</v>
      </c>
      <c r="J881">
        <v>5</v>
      </c>
      <c r="K881">
        <v>171</v>
      </c>
      <c r="L881">
        <v>855</v>
      </c>
      <c r="M881">
        <v>29</v>
      </c>
      <c r="N881" t="s">
        <v>33</v>
      </c>
      <c r="O881">
        <v>4.9000000000000004</v>
      </c>
      <c r="P881" s="2">
        <f>EOMONTH(Table1[[#This Row],[Order_Date]],0)</f>
        <v>45412</v>
      </c>
      <c r="Q881" s="3">
        <f>WEEKNUM(Table1[[#This Row],[Order_Date]])</f>
        <v>16</v>
      </c>
      <c r="R881">
        <f>YEAR(Table1[[#This Row],[Order_Date]])</f>
        <v>2024</v>
      </c>
      <c r="S881" t="str">
        <f>IF(Table1[[#This Row],[Quantity]]&gt;=3,"Promo","Regular")</f>
        <v>Promo</v>
      </c>
    </row>
    <row r="882" spans="1:19" x14ac:dyDescent="0.35">
      <c r="A882" t="s">
        <v>2063</v>
      </c>
      <c r="B882" t="s">
        <v>955</v>
      </c>
      <c r="C882" s="1">
        <v>45418</v>
      </c>
      <c r="D882" t="s">
        <v>43</v>
      </c>
      <c r="E882" t="s">
        <v>93</v>
      </c>
      <c r="F882" t="s">
        <v>35</v>
      </c>
      <c r="G882" t="s">
        <v>25</v>
      </c>
      <c r="H882" t="s">
        <v>50</v>
      </c>
      <c r="I882" t="s">
        <v>20</v>
      </c>
      <c r="J882">
        <v>1</v>
      </c>
      <c r="K882">
        <v>189</v>
      </c>
      <c r="L882">
        <v>189</v>
      </c>
      <c r="M882">
        <v>26</v>
      </c>
      <c r="N882" t="s">
        <v>21</v>
      </c>
      <c r="O882">
        <v>3.6</v>
      </c>
      <c r="P882" s="2">
        <f>EOMONTH(Table1[[#This Row],[Order_Date]],0)</f>
        <v>45443</v>
      </c>
      <c r="Q882" s="3">
        <f>WEEKNUM(Table1[[#This Row],[Order_Date]])</f>
        <v>19</v>
      </c>
      <c r="R882">
        <f>YEAR(Table1[[#This Row],[Order_Date]])</f>
        <v>2024</v>
      </c>
      <c r="S882" t="str">
        <f>IF(Table1[[#This Row],[Quantity]]&gt;=3,"Promo","Regular")</f>
        <v>Regular</v>
      </c>
    </row>
    <row r="883" spans="1:19" x14ac:dyDescent="0.35">
      <c r="A883" t="s">
        <v>2064</v>
      </c>
      <c r="B883" t="s">
        <v>956</v>
      </c>
      <c r="C883" s="1">
        <v>45332</v>
      </c>
      <c r="D883" t="s">
        <v>43</v>
      </c>
      <c r="E883" t="s">
        <v>44</v>
      </c>
      <c r="F883" t="s">
        <v>35</v>
      </c>
      <c r="G883" t="s">
        <v>36</v>
      </c>
      <c r="H883" t="s">
        <v>66</v>
      </c>
      <c r="I883" t="s">
        <v>20</v>
      </c>
      <c r="J883">
        <v>1</v>
      </c>
      <c r="K883">
        <v>245</v>
      </c>
      <c r="L883">
        <v>245</v>
      </c>
      <c r="M883">
        <v>26</v>
      </c>
      <c r="N883" t="s">
        <v>21</v>
      </c>
      <c r="O883">
        <v>4.9000000000000004</v>
      </c>
      <c r="P883" s="2">
        <f>EOMONTH(Table1[[#This Row],[Order_Date]],0)</f>
        <v>45351</v>
      </c>
      <c r="Q883" s="3">
        <f>WEEKNUM(Table1[[#This Row],[Order_Date]])</f>
        <v>6</v>
      </c>
      <c r="R883">
        <f>YEAR(Table1[[#This Row],[Order_Date]])</f>
        <v>2024</v>
      </c>
      <c r="S883" t="str">
        <f>IF(Table1[[#This Row],[Quantity]]&gt;=3,"Promo","Regular")</f>
        <v>Regular</v>
      </c>
    </row>
    <row r="884" spans="1:19" x14ac:dyDescent="0.35">
      <c r="A884" t="s">
        <v>2064</v>
      </c>
      <c r="B884" t="s">
        <v>957</v>
      </c>
      <c r="C884" s="1">
        <v>45557</v>
      </c>
      <c r="D884" t="s">
        <v>43</v>
      </c>
      <c r="E884" t="s">
        <v>93</v>
      </c>
      <c r="F884" t="s">
        <v>30</v>
      </c>
      <c r="G884" t="s">
        <v>36</v>
      </c>
      <c r="H884" t="s">
        <v>120</v>
      </c>
      <c r="I884" t="s">
        <v>60</v>
      </c>
      <c r="J884">
        <v>3</v>
      </c>
      <c r="K884">
        <v>165</v>
      </c>
      <c r="L884">
        <v>495</v>
      </c>
      <c r="M884">
        <v>26</v>
      </c>
      <c r="N884" t="s">
        <v>21</v>
      </c>
      <c r="O884">
        <v>4.0999999999999996</v>
      </c>
      <c r="P884" s="2">
        <f>EOMONTH(Table1[[#This Row],[Order_Date]],0)</f>
        <v>45565</v>
      </c>
      <c r="Q884" s="3">
        <f>WEEKNUM(Table1[[#This Row],[Order_Date]])</f>
        <v>39</v>
      </c>
      <c r="R884">
        <f>YEAR(Table1[[#This Row],[Order_Date]])</f>
        <v>2024</v>
      </c>
      <c r="S884" t="str">
        <f>IF(Table1[[#This Row],[Quantity]]&gt;=3,"Promo","Regular")</f>
        <v>Promo</v>
      </c>
    </row>
    <row r="885" spans="1:19" x14ac:dyDescent="0.35">
      <c r="A885" t="s">
        <v>2064</v>
      </c>
      <c r="B885" t="s">
        <v>958</v>
      </c>
      <c r="C885" s="1">
        <v>45540</v>
      </c>
      <c r="D885" t="s">
        <v>48</v>
      </c>
      <c r="E885" t="s">
        <v>64</v>
      </c>
      <c r="F885" t="s">
        <v>41</v>
      </c>
      <c r="G885" t="s">
        <v>46</v>
      </c>
      <c r="H885" t="s">
        <v>26</v>
      </c>
      <c r="I885" t="s">
        <v>20</v>
      </c>
      <c r="J885">
        <v>4</v>
      </c>
      <c r="K885">
        <v>305</v>
      </c>
      <c r="L885">
        <v>1220</v>
      </c>
      <c r="M885">
        <v>25</v>
      </c>
      <c r="N885" t="s">
        <v>21</v>
      </c>
      <c r="O885">
        <v>3.8</v>
      </c>
      <c r="P885" s="2">
        <f>EOMONTH(Table1[[#This Row],[Order_Date]],0)</f>
        <v>45565</v>
      </c>
      <c r="Q885" s="3">
        <f>WEEKNUM(Table1[[#This Row],[Order_Date]])</f>
        <v>36</v>
      </c>
      <c r="R885">
        <f>YEAR(Table1[[#This Row],[Order_Date]])</f>
        <v>2024</v>
      </c>
      <c r="S885" t="str">
        <f>IF(Table1[[#This Row],[Quantity]]&gt;=3,"Promo","Regular")</f>
        <v>Promo</v>
      </c>
    </row>
    <row r="886" spans="1:19" x14ac:dyDescent="0.35">
      <c r="A886" t="s">
        <v>2064</v>
      </c>
      <c r="B886" t="s">
        <v>959</v>
      </c>
      <c r="C886" s="1">
        <v>45590</v>
      </c>
      <c r="D886" t="s">
        <v>57</v>
      </c>
      <c r="E886" t="s">
        <v>136</v>
      </c>
      <c r="F886" t="s">
        <v>35</v>
      </c>
      <c r="G886" t="s">
        <v>25</v>
      </c>
      <c r="H886" t="s">
        <v>37</v>
      </c>
      <c r="I886" t="s">
        <v>20</v>
      </c>
      <c r="J886">
        <v>4</v>
      </c>
      <c r="K886">
        <v>295</v>
      </c>
      <c r="L886">
        <v>1180</v>
      </c>
      <c r="M886">
        <v>36</v>
      </c>
      <c r="N886" t="s">
        <v>33</v>
      </c>
      <c r="O886">
        <v>3.2</v>
      </c>
      <c r="P886" s="2">
        <f>EOMONTH(Table1[[#This Row],[Order_Date]],0)</f>
        <v>45596</v>
      </c>
      <c r="Q886" s="3">
        <f>WEEKNUM(Table1[[#This Row],[Order_Date]])</f>
        <v>43</v>
      </c>
      <c r="R886">
        <f>YEAR(Table1[[#This Row],[Order_Date]])</f>
        <v>2024</v>
      </c>
      <c r="S886" t="str">
        <f>IF(Table1[[#This Row],[Quantity]]&gt;=3,"Promo","Regular")</f>
        <v>Promo</v>
      </c>
    </row>
    <row r="887" spans="1:19" x14ac:dyDescent="0.35">
      <c r="A887" t="s">
        <v>2065</v>
      </c>
      <c r="B887" t="s">
        <v>960</v>
      </c>
      <c r="C887" s="1">
        <v>45309</v>
      </c>
      <c r="D887" t="s">
        <v>15</v>
      </c>
      <c r="E887" t="s">
        <v>23</v>
      </c>
      <c r="F887" t="s">
        <v>69</v>
      </c>
      <c r="G887" t="s">
        <v>18</v>
      </c>
      <c r="H887" t="s">
        <v>66</v>
      </c>
      <c r="I887" t="s">
        <v>20</v>
      </c>
      <c r="J887">
        <v>2</v>
      </c>
      <c r="K887">
        <v>391</v>
      </c>
      <c r="L887">
        <v>782</v>
      </c>
      <c r="M887">
        <v>28</v>
      </c>
      <c r="N887" t="s">
        <v>21</v>
      </c>
      <c r="O887">
        <v>3.3</v>
      </c>
      <c r="P887" s="2">
        <f>EOMONTH(Table1[[#This Row],[Order_Date]],0)</f>
        <v>45322</v>
      </c>
      <c r="Q887" s="3">
        <f>WEEKNUM(Table1[[#This Row],[Order_Date]])</f>
        <v>3</v>
      </c>
      <c r="R887">
        <f>YEAR(Table1[[#This Row],[Order_Date]])</f>
        <v>2024</v>
      </c>
      <c r="S887" t="str">
        <f>IF(Table1[[#This Row],[Quantity]]&gt;=3,"Promo","Regular")</f>
        <v>Regular</v>
      </c>
    </row>
    <row r="888" spans="1:19" x14ac:dyDescent="0.35">
      <c r="A888" t="s">
        <v>2065</v>
      </c>
      <c r="B888" t="s">
        <v>961</v>
      </c>
      <c r="C888" s="1">
        <v>45462</v>
      </c>
      <c r="D888" t="s">
        <v>57</v>
      </c>
      <c r="E888" t="s">
        <v>136</v>
      </c>
      <c r="F888" t="s">
        <v>72</v>
      </c>
      <c r="G888" t="s">
        <v>25</v>
      </c>
      <c r="H888" t="s">
        <v>59</v>
      </c>
      <c r="I888" t="s">
        <v>60</v>
      </c>
      <c r="J888">
        <v>5</v>
      </c>
      <c r="K888">
        <v>350</v>
      </c>
      <c r="L888">
        <v>1750</v>
      </c>
      <c r="M888">
        <v>54</v>
      </c>
      <c r="N888" t="s">
        <v>33</v>
      </c>
      <c r="O888">
        <v>3.4</v>
      </c>
      <c r="P888" s="2">
        <f>EOMONTH(Table1[[#This Row],[Order_Date]],0)</f>
        <v>45473</v>
      </c>
      <c r="Q888" s="3">
        <f>WEEKNUM(Table1[[#This Row],[Order_Date]])</f>
        <v>25</v>
      </c>
      <c r="R888">
        <f>YEAR(Table1[[#This Row],[Order_Date]])</f>
        <v>2024</v>
      </c>
      <c r="S888" t="str">
        <f>IF(Table1[[#This Row],[Quantity]]&gt;=3,"Promo","Regular")</f>
        <v>Promo</v>
      </c>
    </row>
    <row r="889" spans="1:19" x14ac:dyDescent="0.35">
      <c r="A889" t="s">
        <v>2065</v>
      </c>
      <c r="B889" t="s">
        <v>962</v>
      </c>
      <c r="C889" s="1">
        <v>45553</v>
      </c>
      <c r="D889" t="s">
        <v>57</v>
      </c>
      <c r="E889" t="s">
        <v>136</v>
      </c>
      <c r="F889" t="s">
        <v>41</v>
      </c>
      <c r="G889" t="s">
        <v>25</v>
      </c>
      <c r="H889" t="s">
        <v>120</v>
      </c>
      <c r="I889" t="s">
        <v>60</v>
      </c>
      <c r="J889">
        <v>4</v>
      </c>
      <c r="K889">
        <v>463</v>
      </c>
      <c r="L889">
        <v>1852</v>
      </c>
      <c r="M889">
        <v>30</v>
      </c>
      <c r="N889" t="s">
        <v>38</v>
      </c>
      <c r="O889">
        <v>3</v>
      </c>
      <c r="P889" s="2">
        <f>EOMONTH(Table1[[#This Row],[Order_Date]],0)</f>
        <v>45565</v>
      </c>
      <c r="Q889" s="3">
        <f>WEEKNUM(Table1[[#This Row],[Order_Date]])</f>
        <v>38</v>
      </c>
      <c r="R889">
        <f>YEAR(Table1[[#This Row],[Order_Date]])</f>
        <v>2024</v>
      </c>
      <c r="S889" t="str">
        <f>IF(Table1[[#This Row],[Quantity]]&gt;=3,"Promo","Regular")</f>
        <v>Promo</v>
      </c>
    </row>
    <row r="890" spans="1:19" x14ac:dyDescent="0.35">
      <c r="A890" t="s">
        <v>2065</v>
      </c>
      <c r="B890" t="s">
        <v>963</v>
      </c>
      <c r="C890" s="1">
        <v>45450</v>
      </c>
      <c r="D890" t="s">
        <v>15</v>
      </c>
      <c r="E890" t="s">
        <v>23</v>
      </c>
      <c r="F890" t="s">
        <v>17</v>
      </c>
      <c r="G890" t="s">
        <v>36</v>
      </c>
      <c r="H890" t="s">
        <v>19</v>
      </c>
      <c r="I890" t="s">
        <v>20</v>
      </c>
      <c r="J890">
        <v>4</v>
      </c>
      <c r="K890">
        <v>445</v>
      </c>
      <c r="L890">
        <v>1780</v>
      </c>
      <c r="M890">
        <v>37</v>
      </c>
      <c r="N890" t="s">
        <v>38</v>
      </c>
      <c r="O890">
        <v>4.3</v>
      </c>
      <c r="P890" s="2">
        <f>EOMONTH(Table1[[#This Row],[Order_Date]],0)</f>
        <v>45473</v>
      </c>
      <c r="Q890" s="3">
        <f>WEEKNUM(Table1[[#This Row],[Order_Date]])</f>
        <v>23</v>
      </c>
      <c r="R890">
        <f>YEAR(Table1[[#This Row],[Order_Date]])</f>
        <v>2024</v>
      </c>
      <c r="S890" t="str">
        <f>IF(Table1[[#This Row],[Quantity]]&gt;=3,"Promo","Regular")</f>
        <v>Promo</v>
      </c>
    </row>
    <row r="891" spans="1:19" x14ac:dyDescent="0.35">
      <c r="A891" t="s">
        <v>2066</v>
      </c>
      <c r="B891" t="s">
        <v>964</v>
      </c>
      <c r="C891" s="1">
        <v>45325</v>
      </c>
      <c r="D891" t="s">
        <v>15</v>
      </c>
      <c r="E891" t="s">
        <v>16</v>
      </c>
      <c r="F891" t="s">
        <v>24</v>
      </c>
      <c r="G891" t="s">
        <v>18</v>
      </c>
      <c r="H891" t="s">
        <v>53</v>
      </c>
      <c r="I891" t="s">
        <v>20</v>
      </c>
      <c r="J891">
        <v>3</v>
      </c>
      <c r="K891">
        <v>384</v>
      </c>
      <c r="L891">
        <v>1152</v>
      </c>
      <c r="M891">
        <v>25</v>
      </c>
      <c r="N891" t="s">
        <v>33</v>
      </c>
      <c r="O891">
        <v>3</v>
      </c>
      <c r="P891" s="2">
        <f>EOMONTH(Table1[[#This Row],[Order_Date]],0)</f>
        <v>45351</v>
      </c>
      <c r="Q891" s="3">
        <f>WEEKNUM(Table1[[#This Row],[Order_Date]])</f>
        <v>5</v>
      </c>
      <c r="R891">
        <f>YEAR(Table1[[#This Row],[Order_Date]])</f>
        <v>2024</v>
      </c>
      <c r="S891" t="str">
        <f>IF(Table1[[#This Row],[Quantity]]&gt;=3,"Promo","Regular")</f>
        <v>Promo</v>
      </c>
    </row>
    <row r="892" spans="1:19" x14ac:dyDescent="0.35">
      <c r="A892" t="s">
        <v>2066</v>
      </c>
      <c r="B892" t="s">
        <v>965</v>
      </c>
      <c r="C892" s="1">
        <v>45489</v>
      </c>
      <c r="D892" t="s">
        <v>48</v>
      </c>
      <c r="E892" t="s">
        <v>132</v>
      </c>
      <c r="F892" t="s">
        <v>30</v>
      </c>
      <c r="G892" t="s">
        <v>18</v>
      </c>
      <c r="H892" t="s">
        <v>55</v>
      </c>
      <c r="I892" t="s">
        <v>20</v>
      </c>
      <c r="J892">
        <v>1</v>
      </c>
      <c r="K892">
        <v>260</v>
      </c>
      <c r="L892">
        <v>260</v>
      </c>
      <c r="M892">
        <v>59</v>
      </c>
      <c r="N892" t="s">
        <v>38</v>
      </c>
      <c r="O892">
        <v>4.0999999999999996</v>
      </c>
      <c r="P892" s="2">
        <f>EOMONTH(Table1[[#This Row],[Order_Date]],0)</f>
        <v>45504</v>
      </c>
      <c r="Q892" s="3">
        <f>WEEKNUM(Table1[[#This Row],[Order_Date]])</f>
        <v>29</v>
      </c>
      <c r="R892">
        <f>YEAR(Table1[[#This Row],[Order_Date]])</f>
        <v>2024</v>
      </c>
      <c r="S892" t="str">
        <f>IF(Table1[[#This Row],[Quantity]]&gt;=3,"Promo","Regular")</f>
        <v>Regular</v>
      </c>
    </row>
    <row r="893" spans="1:19" x14ac:dyDescent="0.35">
      <c r="A893" t="s">
        <v>2066</v>
      </c>
      <c r="B893" t="s">
        <v>966</v>
      </c>
      <c r="C893" s="1">
        <v>45508</v>
      </c>
      <c r="D893" t="s">
        <v>43</v>
      </c>
      <c r="E893" t="s">
        <v>110</v>
      </c>
      <c r="F893" t="s">
        <v>72</v>
      </c>
      <c r="G893" t="s">
        <v>46</v>
      </c>
      <c r="H893" t="s">
        <v>120</v>
      </c>
      <c r="I893" t="s">
        <v>60</v>
      </c>
      <c r="J893">
        <v>4</v>
      </c>
      <c r="K893">
        <v>131</v>
      </c>
      <c r="L893">
        <v>524</v>
      </c>
      <c r="M893">
        <v>48</v>
      </c>
      <c r="N893" t="s">
        <v>21</v>
      </c>
      <c r="O893">
        <v>4</v>
      </c>
      <c r="P893" s="2">
        <f>EOMONTH(Table1[[#This Row],[Order_Date]],0)</f>
        <v>45535</v>
      </c>
      <c r="Q893" s="3">
        <f>WEEKNUM(Table1[[#This Row],[Order_Date]])</f>
        <v>32</v>
      </c>
      <c r="R893">
        <f>YEAR(Table1[[#This Row],[Order_Date]])</f>
        <v>2024</v>
      </c>
      <c r="S893" t="str">
        <f>IF(Table1[[#This Row],[Quantity]]&gt;=3,"Promo","Regular")</f>
        <v>Promo</v>
      </c>
    </row>
    <row r="894" spans="1:19" x14ac:dyDescent="0.35">
      <c r="A894" t="s">
        <v>2067</v>
      </c>
      <c r="B894" t="s">
        <v>967</v>
      </c>
      <c r="C894" s="1">
        <v>45576</v>
      </c>
      <c r="D894" t="s">
        <v>48</v>
      </c>
      <c r="E894" t="s">
        <v>132</v>
      </c>
      <c r="F894" t="s">
        <v>30</v>
      </c>
      <c r="G894" t="s">
        <v>18</v>
      </c>
      <c r="H894" t="s">
        <v>55</v>
      </c>
      <c r="I894" t="s">
        <v>20</v>
      </c>
      <c r="J894">
        <v>2</v>
      </c>
      <c r="K894">
        <v>380</v>
      </c>
      <c r="L894">
        <v>760</v>
      </c>
      <c r="M894">
        <v>39</v>
      </c>
      <c r="N894" t="s">
        <v>38</v>
      </c>
      <c r="O894">
        <v>4.5999999999999996</v>
      </c>
      <c r="P894" s="2">
        <f>EOMONTH(Table1[[#This Row],[Order_Date]],0)</f>
        <v>45596</v>
      </c>
      <c r="Q894" s="3">
        <f>WEEKNUM(Table1[[#This Row],[Order_Date]])</f>
        <v>41</v>
      </c>
      <c r="R894">
        <f>YEAR(Table1[[#This Row],[Order_Date]])</f>
        <v>2024</v>
      </c>
      <c r="S894" t="str">
        <f>IF(Table1[[#This Row],[Quantity]]&gt;=3,"Promo","Regular")</f>
        <v>Regular</v>
      </c>
    </row>
    <row r="895" spans="1:19" x14ac:dyDescent="0.35">
      <c r="A895" t="s">
        <v>2067</v>
      </c>
      <c r="B895" t="s">
        <v>968</v>
      </c>
      <c r="C895" s="1">
        <v>45577</v>
      </c>
      <c r="D895" t="s">
        <v>28</v>
      </c>
      <c r="E895" t="s">
        <v>40</v>
      </c>
      <c r="F895" t="s">
        <v>85</v>
      </c>
      <c r="G895" t="s">
        <v>36</v>
      </c>
      <c r="H895" t="s">
        <v>59</v>
      </c>
      <c r="I895" t="s">
        <v>60</v>
      </c>
      <c r="J895">
        <v>5</v>
      </c>
      <c r="K895">
        <v>360</v>
      </c>
      <c r="L895">
        <v>1800</v>
      </c>
      <c r="M895">
        <v>44</v>
      </c>
      <c r="N895" t="s">
        <v>33</v>
      </c>
      <c r="O895">
        <v>4.5</v>
      </c>
      <c r="P895" s="2">
        <f>EOMONTH(Table1[[#This Row],[Order_Date]],0)</f>
        <v>45596</v>
      </c>
      <c r="Q895" s="3">
        <f>WEEKNUM(Table1[[#This Row],[Order_Date]])</f>
        <v>41</v>
      </c>
      <c r="R895">
        <f>YEAR(Table1[[#This Row],[Order_Date]])</f>
        <v>2024</v>
      </c>
      <c r="S895" t="str">
        <f>IF(Table1[[#This Row],[Quantity]]&gt;=3,"Promo","Regular")</f>
        <v>Promo</v>
      </c>
    </row>
    <row r="896" spans="1:19" x14ac:dyDescent="0.35">
      <c r="A896" t="s">
        <v>2067</v>
      </c>
      <c r="B896" t="s">
        <v>969</v>
      </c>
      <c r="C896" s="1">
        <v>45339</v>
      </c>
      <c r="D896" t="s">
        <v>28</v>
      </c>
      <c r="E896" t="s">
        <v>71</v>
      </c>
      <c r="F896" t="s">
        <v>69</v>
      </c>
      <c r="G896" t="s">
        <v>73</v>
      </c>
      <c r="H896" t="s">
        <v>26</v>
      </c>
      <c r="I896" t="s">
        <v>20</v>
      </c>
      <c r="J896">
        <v>4</v>
      </c>
      <c r="K896">
        <v>471</v>
      </c>
      <c r="L896">
        <v>1884</v>
      </c>
      <c r="M896">
        <v>45</v>
      </c>
      <c r="N896" t="s">
        <v>38</v>
      </c>
      <c r="O896">
        <v>4.0999999999999996</v>
      </c>
      <c r="P896" s="2">
        <f>EOMONTH(Table1[[#This Row],[Order_Date]],0)</f>
        <v>45351</v>
      </c>
      <c r="Q896" s="3">
        <f>WEEKNUM(Table1[[#This Row],[Order_Date]])</f>
        <v>7</v>
      </c>
      <c r="R896">
        <f>YEAR(Table1[[#This Row],[Order_Date]])</f>
        <v>2024</v>
      </c>
      <c r="S896" t="str">
        <f>IF(Table1[[#This Row],[Quantity]]&gt;=3,"Promo","Regular")</f>
        <v>Promo</v>
      </c>
    </row>
    <row r="897" spans="1:19" x14ac:dyDescent="0.35">
      <c r="A897" t="s">
        <v>2068</v>
      </c>
      <c r="B897" t="s">
        <v>970</v>
      </c>
      <c r="C897" s="1">
        <v>45378</v>
      </c>
      <c r="D897" t="s">
        <v>57</v>
      </c>
      <c r="E897" t="s">
        <v>62</v>
      </c>
      <c r="F897" t="s">
        <v>24</v>
      </c>
      <c r="G897" t="s">
        <v>18</v>
      </c>
      <c r="H897" t="s">
        <v>66</v>
      </c>
      <c r="I897" t="s">
        <v>20</v>
      </c>
      <c r="J897">
        <v>2</v>
      </c>
      <c r="K897">
        <v>472</v>
      </c>
      <c r="L897">
        <v>944</v>
      </c>
      <c r="M897">
        <v>21</v>
      </c>
      <c r="N897" t="s">
        <v>33</v>
      </c>
      <c r="O897">
        <v>3.3</v>
      </c>
      <c r="P897" s="2">
        <f>EOMONTH(Table1[[#This Row],[Order_Date]],0)</f>
        <v>45382</v>
      </c>
      <c r="Q897" s="3">
        <f>WEEKNUM(Table1[[#This Row],[Order_Date]])</f>
        <v>13</v>
      </c>
      <c r="R897">
        <f>YEAR(Table1[[#This Row],[Order_Date]])</f>
        <v>2024</v>
      </c>
      <c r="S897" t="str">
        <f>IF(Table1[[#This Row],[Quantity]]&gt;=3,"Promo","Regular")</f>
        <v>Regular</v>
      </c>
    </row>
    <row r="898" spans="1:19" x14ac:dyDescent="0.35">
      <c r="A898" t="s">
        <v>2068</v>
      </c>
      <c r="B898" t="s">
        <v>971</v>
      </c>
      <c r="C898" s="1">
        <v>45409</v>
      </c>
      <c r="D898" t="s">
        <v>43</v>
      </c>
      <c r="E898" t="s">
        <v>44</v>
      </c>
      <c r="F898" t="s">
        <v>24</v>
      </c>
      <c r="G898" t="s">
        <v>36</v>
      </c>
      <c r="H898" t="s">
        <v>26</v>
      </c>
      <c r="I898" t="s">
        <v>20</v>
      </c>
      <c r="J898">
        <v>4</v>
      </c>
      <c r="K898">
        <v>458</v>
      </c>
      <c r="L898">
        <v>1832</v>
      </c>
      <c r="M898">
        <v>55</v>
      </c>
      <c r="N898" t="s">
        <v>33</v>
      </c>
      <c r="O898">
        <v>3.6</v>
      </c>
      <c r="P898" s="2">
        <f>EOMONTH(Table1[[#This Row],[Order_Date]],0)</f>
        <v>45412</v>
      </c>
      <c r="Q898" s="3">
        <f>WEEKNUM(Table1[[#This Row],[Order_Date]])</f>
        <v>17</v>
      </c>
      <c r="R898">
        <f>YEAR(Table1[[#This Row],[Order_Date]])</f>
        <v>2024</v>
      </c>
      <c r="S898" t="str">
        <f>IF(Table1[[#This Row],[Quantity]]&gt;=3,"Promo","Regular")</f>
        <v>Promo</v>
      </c>
    </row>
    <row r="899" spans="1:19" x14ac:dyDescent="0.35">
      <c r="A899" t="s">
        <v>2068</v>
      </c>
      <c r="B899" t="s">
        <v>972</v>
      </c>
      <c r="C899" s="1">
        <v>45510</v>
      </c>
      <c r="D899" t="s">
        <v>15</v>
      </c>
      <c r="E899" t="s">
        <v>23</v>
      </c>
      <c r="F899" t="s">
        <v>35</v>
      </c>
      <c r="G899" t="s">
        <v>36</v>
      </c>
      <c r="H899" t="s">
        <v>50</v>
      </c>
      <c r="I899" t="s">
        <v>20</v>
      </c>
      <c r="J899">
        <v>5</v>
      </c>
      <c r="K899">
        <v>171</v>
      </c>
      <c r="L899">
        <v>855</v>
      </c>
      <c r="M899">
        <v>23</v>
      </c>
      <c r="N899" t="s">
        <v>38</v>
      </c>
      <c r="O899">
        <v>3.9</v>
      </c>
      <c r="P899" s="2">
        <f>EOMONTH(Table1[[#This Row],[Order_Date]],0)</f>
        <v>45535</v>
      </c>
      <c r="Q899" s="3">
        <f>WEEKNUM(Table1[[#This Row],[Order_Date]])</f>
        <v>32</v>
      </c>
      <c r="R899">
        <f>YEAR(Table1[[#This Row],[Order_Date]])</f>
        <v>2024</v>
      </c>
      <c r="S899" t="str">
        <f>IF(Table1[[#This Row],[Quantity]]&gt;=3,"Promo","Regular")</f>
        <v>Promo</v>
      </c>
    </row>
    <row r="900" spans="1:19" x14ac:dyDescent="0.35">
      <c r="A900" t="s">
        <v>2069</v>
      </c>
      <c r="B900" t="s">
        <v>973</v>
      </c>
      <c r="C900" s="1">
        <v>45353</v>
      </c>
      <c r="D900" t="s">
        <v>43</v>
      </c>
      <c r="E900" t="s">
        <v>82</v>
      </c>
      <c r="F900" t="s">
        <v>35</v>
      </c>
      <c r="G900" t="s">
        <v>18</v>
      </c>
      <c r="H900" t="s">
        <v>120</v>
      </c>
      <c r="I900" t="s">
        <v>60</v>
      </c>
      <c r="J900">
        <v>1</v>
      </c>
      <c r="K900">
        <v>473</v>
      </c>
      <c r="L900">
        <v>473</v>
      </c>
      <c r="M900">
        <v>23</v>
      </c>
      <c r="N900" t="s">
        <v>21</v>
      </c>
      <c r="O900">
        <v>3.4</v>
      </c>
      <c r="P900" s="2">
        <f>EOMONTH(Table1[[#This Row],[Order_Date]],0)</f>
        <v>45382</v>
      </c>
      <c r="Q900" s="3">
        <f>WEEKNUM(Table1[[#This Row],[Order_Date]])</f>
        <v>9</v>
      </c>
      <c r="R900">
        <f>YEAR(Table1[[#This Row],[Order_Date]])</f>
        <v>2024</v>
      </c>
      <c r="S900" t="str">
        <f>IF(Table1[[#This Row],[Quantity]]&gt;=3,"Promo","Regular")</f>
        <v>Regular</v>
      </c>
    </row>
    <row r="901" spans="1:19" x14ac:dyDescent="0.35">
      <c r="A901" t="s">
        <v>2069</v>
      </c>
      <c r="B901" t="s">
        <v>974</v>
      </c>
      <c r="C901" s="1">
        <v>45517</v>
      </c>
      <c r="D901" t="s">
        <v>15</v>
      </c>
      <c r="E901" t="s">
        <v>95</v>
      </c>
      <c r="F901" t="s">
        <v>85</v>
      </c>
      <c r="G901" t="s">
        <v>46</v>
      </c>
      <c r="H901" t="s">
        <v>55</v>
      </c>
      <c r="I901" t="s">
        <v>20</v>
      </c>
      <c r="J901">
        <v>5</v>
      </c>
      <c r="K901">
        <v>214</v>
      </c>
      <c r="L901">
        <v>1070</v>
      </c>
      <c r="M901">
        <v>53</v>
      </c>
      <c r="N901" t="s">
        <v>33</v>
      </c>
      <c r="O901">
        <v>3.6</v>
      </c>
      <c r="P901" s="2">
        <f>EOMONTH(Table1[[#This Row],[Order_Date]],0)</f>
        <v>45535</v>
      </c>
      <c r="Q901" s="3">
        <f>WEEKNUM(Table1[[#This Row],[Order_Date]])</f>
        <v>33</v>
      </c>
      <c r="R901">
        <f>YEAR(Table1[[#This Row],[Order_Date]])</f>
        <v>2024</v>
      </c>
      <c r="S901" t="str">
        <f>IF(Table1[[#This Row],[Quantity]]&gt;=3,"Promo","Regular")</f>
        <v>Promo</v>
      </c>
    </row>
    <row r="902" spans="1:19" x14ac:dyDescent="0.35">
      <c r="A902" t="s">
        <v>2069</v>
      </c>
      <c r="B902" t="s">
        <v>975</v>
      </c>
      <c r="C902" s="1">
        <v>45383</v>
      </c>
      <c r="D902" t="s">
        <v>28</v>
      </c>
      <c r="E902" t="s">
        <v>98</v>
      </c>
      <c r="F902" t="s">
        <v>30</v>
      </c>
      <c r="G902" t="s">
        <v>18</v>
      </c>
      <c r="H902" t="s">
        <v>59</v>
      </c>
      <c r="I902" t="s">
        <v>60</v>
      </c>
      <c r="J902">
        <v>5</v>
      </c>
      <c r="K902">
        <v>374</v>
      </c>
      <c r="L902">
        <v>1870</v>
      </c>
      <c r="M902">
        <v>50</v>
      </c>
      <c r="N902" t="s">
        <v>38</v>
      </c>
      <c r="O902">
        <v>4.3</v>
      </c>
      <c r="P902" s="2">
        <f>EOMONTH(Table1[[#This Row],[Order_Date]],0)</f>
        <v>45412</v>
      </c>
      <c r="Q902" s="3">
        <f>WEEKNUM(Table1[[#This Row],[Order_Date]])</f>
        <v>14</v>
      </c>
      <c r="R902">
        <f>YEAR(Table1[[#This Row],[Order_Date]])</f>
        <v>2024</v>
      </c>
      <c r="S902" t="str">
        <f>IF(Table1[[#This Row],[Quantity]]&gt;=3,"Promo","Regular")</f>
        <v>Promo</v>
      </c>
    </row>
    <row r="903" spans="1:19" x14ac:dyDescent="0.35">
      <c r="A903" t="s">
        <v>2070</v>
      </c>
      <c r="B903" t="s">
        <v>976</v>
      </c>
      <c r="C903" s="1">
        <v>45310</v>
      </c>
      <c r="D903" t="s">
        <v>57</v>
      </c>
      <c r="E903" t="s">
        <v>58</v>
      </c>
      <c r="F903" t="s">
        <v>17</v>
      </c>
      <c r="G903" t="s">
        <v>18</v>
      </c>
      <c r="H903" t="s">
        <v>53</v>
      </c>
      <c r="I903" t="s">
        <v>20</v>
      </c>
      <c r="J903">
        <v>5</v>
      </c>
      <c r="K903">
        <v>462</v>
      </c>
      <c r="L903">
        <v>2310</v>
      </c>
      <c r="M903">
        <v>59</v>
      </c>
      <c r="N903" t="s">
        <v>38</v>
      </c>
      <c r="O903">
        <v>3.7</v>
      </c>
      <c r="P903" s="2">
        <f>EOMONTH(Table1[[#This Row],[Order_Date]],0)</f>
        <v>45322</v>
      </c>
      <c r="Q903" s="3">
        <f>WEEKNUM(Table1[[#This Row],[Order_Date]])</f>
        <v>3</v>
      </c>
      <c r="R903">
        <f>YEAR(Table1[[#This Row],[Order_Date]])</f>
        <v>2024</v>
      </c>
      <c r="S903" t="str">
        <f>IF(Table1[[#This Row],[Quantity]]&gt;=3,"Promo","Regular")</f>
        <v>Promo</v>
      </c>
    </row>
    <row r="904" spans="1:19" x14ac:dyDescent="0.35">
      <c r="A904" t="s">
        <v>2070</v>
      </c>
      <c r="B904" t="s">
        <v>977</v>
      </c>
      <c r="C904" s="1">
        <v>45539</v>
      </c>
      <c r="D904" t="s">
        <v>57</v>
      </c>
      <c r="E904" t="s">
        <v>75</v>
      </c>
      <c r="F904" t="s">
        <v>65</v>
      </c>
      <c r="G904" t="s">
        <v>36</v>
      </c>
      <c r="H904" t="s">
        <v>53</v>
      </c>
      <c r="I904" t="s">
        <v>20</v>
      </c>
      <c r="J904">
        <v>1</v>
      </c>
      <c r="K904">
        <v>454</v>
      </c>
      <c r="L904">
        <v>454</v>
      </c>
      <c r="M904">
        <v>29</v>
      </c>
      <c r="N904" t="s">
        <v>33</v>
      </c>
      <c r="O904">
        <v>3.7</v>
      </c>
      <c r="P904" s="2">
        <f>EOMONTH(Table1[[#This Row],[Order_Date]],0)</f>
        <v>45565</v>
      </c>
      <c r="Q904" s="3">
        <f>WEEKNUM(Table1[[#This Row],[Order_Date]])</f>
        <v>36</v>
      </c>
      <c r="R904">
        <f>YEAR(Table1[[#This Row],[Order_Date]])</f>
        <v>2024</v>
      </c>
      <c r="S904" t="str">
        <f>IF(Table1[[#This Row],[Quantity]]&gt;=3,"Promo","Regular")</f>
        <v>Regular</v>
      </c>
    </row>
    <row r="905" spans="1:19" x14ac:dyDescent="0.35">
      <c r="A905" t="s">
        <v>2070</v>
      </c>
      <c r="B905" t="s">
        <v>978</v>
      </c>
      <c r="C905" s="1">
        <v>45361</v>
      </c>
      <c r="D905" t="s">
        <v>57</v>
      </c>
      <c r="E905" t="s">
        <v>136</v>
      </c>
      <c r="F905" t="s">
        <v>17</v>
      </c>
      <c r="G905" t="s">
        <v>25</v>
      </c>
      <c r="H905" t="s">
        <v>53</v>
      </c>
      <c r="I905" t="s">
        <v>20</v>
      </c>
      <c r="J905">
        <v>4</v>
      </c>
      <c r="K905">
        <v>116</v>
      </c>
      <c r="L905">
        <v>464</v>
      </c>
      <c r="M905">
        <v>20</v>
      </c>
      <c r="N905" t="s">
        <v>21</v>
      </c>
      <c r="O905">
        <v>4.0999999999999996</v>
      </c>
      <c r="P905" s="2">
        <f>EOMONTH(Table1[[#This Row],[Order_Date]],0)</f>
        <v>45382</v>
      </c>
      <c r="Q905" s="3">
        <f>WEEKNUM(Table1[[#This Row],[Order_Date]])</f>
        <v>11</v>
      </c>
      <c r="R905">
        <f>YEAR(Table1[[#This Row],[Order_Date]])</f>
        <v>2024</v>
      </c>
      <c r="S905" t="str">
        <f>IF(Table1[[#This Row],[Quantity]]&gt;=3,"Promo","Regular")</f>
        <v>Promo</v>
      </c>
    </row>
    <row r="906" spans="1:19" x14ac:dyDescent="0.35">
      <c r="A906" t="s">
        <v>2071</v>
      </c>
      <c r="B906" t="s">
        <v>979</v>
      </c>
      <c r="C906" s="1">
        <v>45353</v>
      </c>
      <c r="D906" t="s">
        <v>48</v>
      </c>
      <c r="E906" t="s">
        <v>64</v>
      </c>
      <c r="F906" t="s">
        <v>41</v>
      </c>
      <c r="G906" t="s">
        <v>73</v>
      </c>
      <c r="H906" t="s">
        <v>32</v>
      </c>
      <c r="I906" t="s">
        <v>20</v>
      </c>
      <c r="J906">
        <v>2</v>
      </c>
      <c r="K906">
        <v>195</v>
      </c>
      <c r="L906">
        <v>390</v>
      </c>
      <c r="M906">
        <v>58</v>
      </c>
      <c r="N906" t="s">
        <v>33</v>
      </c>
      <c r="O906">
        <v>4.3</v>
      </c>
      <c r="P906" s="2">
        <f>EOMONTH(Table1[[#This Row],[Order_Date]],0)</f>
        <v>45382</v>
      </c>
      <c r="Q906" s="3">
        <f>WEEKNUM(Table1[[#This Row],[Order_Date]])</f>
        <v>9</v>
      </c>
      <c r="R906">
        <f>YEAR(Table1[[#This Row],[Order_Date]])</f>
        <v>2024</v>
      </c>
      <c r="S906" t="str">
        <f>IF(Table1[[#This Row],[Quantity]]&gt;=3,"Promo","Regular")</f>
        <v>Regular</v>
      </c>
    </row>
    <row r="907" spans="1:19" x14ac:dyDescent="0.35">
      <c r="A907" t="s">
        <v>2071</v>
      </c>
      <c r="B907" t="s">
        <v>980</v>
      </c>
      <c r="C907" s="1">
        <v>45292</v>
      </c>
      <c r="D907" t="s">
        <v>48</v>
      </c>
      <c r="E907" t="s">
        <v>132</v>
      </c>
      <c r="F907" t="s">
        <v>41</v>
      </c>
      <c r="G907" t="s">
        <v>73</v>
      </c>
      <c r="H907" t="s">
        <v>50</v>
      </c>
      <c r="I907" t="s">
        <v>20</v>
      </c>
      <c r="J907">
        <v>2</v>
      </c>
      <c r="K907">
        <v>442</v>
      </c>
      <c r="L907">
        <v>884</v>
      </c>
      <c r="M907">
        <v>40</v>
      </c>
      <c r="N907" t="s">
        <v>38</v>
      </c>
      <c r="O907">
        <v>4.9000000000000004</v>
      </c>
      <c r="P907" s="2">
        <f>EOMONTH(Table1[[#This Row],[Order_Date]],0)</f>
        <v>45322</v>
      </c>
      <c r="Q907" s="3">
        <f>WEEKNUM(Table1[[#This Row],[Order_Date]])</f>
        <v>1</v>
      </c>
      <c r="R907">
        <f>YEAR(Table1[[#This Row],[Order_Date]])</f>
        <v>2024</v>
      </c>
      <c r="S907" t="str">
        <f>IF(Table1[[#This Row],[Quantity]]&gt;=3,"Promo","Regular")</f>
        <v>Regular</v>
      </c>
    </row>
    <row r="908" spans="1:19" x14ac:dyDescent="0.35">
      <c r="A908" t="s">
        <v>2071</v>
      </c>
      <c r="B908" t="s">
        <v>981</v>
      </c>
      <c r="C908" s="1">
        <v>45467</v>
      </c>
      <c r="D908" t="s">
        <v>48</v>
      </c>
      <c r="E908" t="s">
        <v>68</v>
      </c>
      <c r="F908" t="s">
        <v>30</v>
      </c>
      <c r="G908" t="s">
        <v>31</v>
      </c>
      <c r="H908" t="s">
        <v>53</v>
      </c>
      <c r="I908" t="s">
        <v>20</v>
      </c>
      <c r="J908">
        <v>1</v>
      </c>
      <c r="K908">
        <v>158</v>
      </c>
      <c r="L908">
        <v>158</v>
      </c>
      <c r="M908">
        <v>46</v>
      </c>
      <c r="N908" t="s">
        <v>21</v>
      </c>
      <c r="O908">
        <v>4.5</v>
      </c>
      <c r="P908" s="2">
        <f>EOMONTH(Table1[[#This Row],[Order_Date]],0)</f>
        <v>45473</v>
      </c>
      <c r="Q908" s="3">
        <f>WEEKNUM(Table1[[#This Row],[Order_Date]])</f>
        <v>26</v>
      </c>
      <c r="R908">
        <f>YEAR(Table1[[#This Row],[Order_Date]])</f>
        <v>2024</v>
      </c>
      <c r="S908" t="str">
        <f>IF(Table1[[#This Row],[Quantity]]&gt;=3,"Promo","Regular")</f>
        <v>Regular</v>
      </c>
    </row>
    <row r="909" spans="1:19" x14ac:dyDescent="0.35">
      <c r="A909" t="s">
        <v>2071</v>
      </c>
      <c r="B909" t="s">
        <v>982</v>
      </c>
      <c r="C909" s="1">
        <v>45422</v>
      </c>
      <c r="D909" t="s">
        <v>28</v>
      </c>
      <c r="E909" t="s">
        <v>29</v>
      </c>
      <c r="F909" t="s">
        <v>65</v>
      </c>
      <c r="G909" t="s">
        <v>31</v>
      </c>
      <c r="H909" t="s">
        <v>59</v>
      </c>
      <c r="I909" t="s">
        <v>60</v>
      </c>
      <c r="J909">
        <v>2</v>
      </c>
      <c r="K909">
        <v>274</v>
      </c>
      <c r="L909">
        <v>548</v>
      </c>
      <c r="M909">
        <v>36</v>
      </c>
      <c r="N909" t="s">
        <v>38</v>
      </c>
      <c r="O909">
        <v>4.0999999999999996</v>
      </c>
      <c r="P909" s="2">
        <f>EOMONTH(Table1[[#This Row],[Order_Date]],0)</f>
        <v>45443</v>
      </c>
      <c r="Q909" s="3">
        <f>WEEKNUM(Table1[[#This Row],[Order_Date]])</f>
        <v>19</v>
      </c>
      <c r="R909">
        <f>YEAR(Table1[[#This Row],[Order_Date]])</f>
        <v>2024</v>
      </c>
      <c r="S909" t="str">
        <f>IF(Table1[[#This Row],[Quantity]]&gt;=3,"Promo","Regular")</f>
        <v>Regular</v>
      </c>
    </row>
    <row r="910" spans="1:19" x14ac:dyDescent="0.35">
      <c r="A910" t="s">
        <v>2072</v>
      </c>
      <c r="B910" t="s">
        <v>983</v>
      </c>
      <c r="C910" s="1">
        <v>45538</v>
      </c>
      <c r="D910" t="s">
        <v>28</v>
      </c>
      <c r="E910" t="s">
        <v>98</v>
      </c>
      <c r="F910" t="s">
        <v>72</v>
      </c>
      <c r="G910" t="s">
        <v>25</v>
      </c>
      <c r="H910" t="s">
        <v>26</v>
      </c>
      <c r="I910" t="s">
        <v>20</v>
      </c>
      <c r="J910">
        <v>3</v>
      </c>
      <c r="K910">
        <v>359</v>
      </c>
      <c r="L910">
        <v>1077</v>
      </c>
      <c r="M910">
        <v>53</v>
      </c>
      <c r="N910" t="s">
        <v>38</v>
      </c>
      <c r="O910">
        <v>4.0999999999999996</v>
      </c>
      <c r="P910" s="2">
        <f>EOMONTH(Table1[[#This Row],[Order_Date]],0)</f>
        <v>45565</v>
      </c>
      <c r="Q910" s="3">
        <f>WEEKNUM(Table1[[#This Row],[Order_Date]])</f>
        <v>36</v>
      </c>
      <c r="R910">
        <f>YEAR(Table1[[#This Row],[Order_Date]])</f>
        <v>2024</v>
      </c>
      <c r="S910" t="str">
        <f>IF(Table1[[#This Row],[Quantity]]&gt;=3,"Promo","Regular")</f>
        <v>Promo</v>
      </c>
    </row>
    <row r="911" spans="1:19" x14ac:dyDescent="0.35">
      <c r="A911" t="s">
        <v>2072</v>
      </c>
      <c r="B911" t="s">
        <v>984</v>
      </c>
      <c r="C911" s="1">
        <v>45380</v>
      </c>
      <c r="D911" t="s">
        <v>57</v>
      </c>
      <c r="E911" t="s">
        <v>58</v>
      </c>
      <c r="F911" t="s">
        <v>24</v>
      </c>
      <c r="G911" t="s">
        <v>36</v>
      </c>
      <c r="H911" t="s">
        <v>19</v>
      </c>
      <c r="I911" t="s">
        <v>20</v>
      </c>
      <c r="J911">
        <v>1</v>
      </c>
      <c r="K911">
        <v>362</v>
      </c>
      <c r="L911">
        <v>362</v>
      </c>
      <c r="M911">
        <v>55</v>
      </c>
      <c r="N911" t="s">
        <v>21</v>
      </c>
      <c r="O911">
        <v>3.9</v>
      </c>
      <c r="P911" s="2">
        <f>EOMONTH(Table1[[#This Row],[Order_Date]],0)</f>
        <v>45382</v>
      </c>
      <c r="Q911" s="3">
        <f>WEEKNUM(Table1[[#This Row],[Order_Date]])</f>
        <v>13</v>
      </c>
      <c r="R911">
        <f>YEAR(Table1[[#This Row],[Order_Date]])</f>
        <v>2024</v>
      </c>
      <c r="S911" t="str">
        <f>IF(Table1[[#This Row],[Quantity]]&gt;=3,"Promo","Regular")</f>
        <v>Regular</v>
      </c>
    </row>
    <row r="912" spans="1:19" x14ac:dyDescent="0.35">
      <c r="A912" t="s">
        <v>2072</v>
      </c>
      <c r="B912" t="s">
        <v>985</v>
      </c>
      <c r="C912" s="1">
        <v>45357</v>
      </c>
      <c r="D912" t="s">
        <v>57</v>
      </c>
      <c r="E912" t="s">
        <v>62</v>
      </c>
      <c r="F912" t="s">
        <v>45</v>
      </c>
      <c r="G912" t="s">
        <v>31</v>
      </c>
      <c r="H912" t="s">
        <v>19</v>
      </c>
      <c r="I912" t="s">
        <v>20</v>
      </c>
      <c r="J912">
        <v>4</v>
      </c>
      <c r="K912">
        <v>431</v>
      </c>
      <c r="L912">
        <v>1724</v>
      </c>
      <c r="M912">
        <v>45</v>
      </c>
      <c r="N912" t="s">
        <v>38</v>
      </c>
      <c r="O912">
        <v>4.8</v>
      </c>
      <c r="P912" s="2">
        <f>EOMONTH(Table1[[#This Row],[Order_Date]],0)</f>
        <v>45382</v>
      </c>
      <c r="Q912" s="3">
        <f>WEEKNUM(Table1[[#This Row],[Order_Date]])</f>
        <v>10</v>
      </c>
      <c r="R912">
        <f>YEAR(Table1[[#This Row],[Order_Date]])</f>
        <v>2024</v>
      </c>
      <c r="S912" t="str">
        <f>IF(Table1[[#This Row],[Quantity]]&gt;=3,"Promo","Regular")</f>
        <v>Promo</v>
      </c>
    </row>
    <row r="913" spans="1:19" x14ac:dyDescent="0.35">
      <c r="A913" t="s">
        <v>2072</v>
      </c>
      <c r="B913" t="s">
        <v>986</v>
      </c>
      <c r="C913" s="1">
        <v>45567</v>
      </c>
      <c r="D913" t="s">
        <v>43</v>
      </c>
      <c r="E913" t="s">
        <v>52</v>
      </c>
      <c r="F913" t="s">
        <v>85</v>
      </c>
      <c r="G913" t="s">
        <v>46</v>
      </c>
      <c r="H913" t="s">
        <v>37</v>
      </c>
      <c r="I913" t="s">
        <v>20</v>
      </c>
      <c r="J913">
        <v>2</v>
      </c>
      <c r="K913">
        <v>407</v>
      </c>
      <c r="L913">
        <v>814</v>
      </c>
      <c r="M913">
        <v>52</v>
      </c>
      <c r="N913" t="s">
        <v>21</v>
      </c>
      <c r="O913">
        <v>4.3</v>
      </c>
      <c r="P913" s="2">
        <f>EOMONTH(Table1[[#This Row],[Order_Date]],0)</f>
        <v>45596</v>
      </c>
      <c r="Q913" s="3">
        <f>WEEKNUM(Table1[[#This Row],[Order_Date]])</f>
        <v>40</v>
      </c>
      <c r="R913">
        <f>YEAR(Table1[[#This Row],[Order_Date]])</f>
        <v>2024</v>
      </c>
      <c r="S913" t="str">
        <f>IF(Table1[[#This Row],[Quantity]]&gt;=3,"Promo","Regular")</f>
        <v>Regular</v>
      </c>
    </row>
    <row r="914" spans="1:19" x14ac:dyDescent="0.35">
      <c r="A914" t="s">
        <v>2072</v>
      </c>
      <c r="B914" t="s">
        <v>987</v>
      </c>
      <c r="C914" s="1">
        <v>45335</v>
      </c>
      <c r="D914" t="s">
        <v>28</v>
      </c>
      <c r="E914" t="s">
        <v>98</v>
      </c>
      <c r="F914" t="s">
        <v>85</v>
      </c>
      <c r="G914" t="s">
        <v>25</v>
      </c>
      <c r="H914" t="s">
        <v>53</v>
      </c>
      <c r="I914" t="s">
        <v>20</v>
      </c>
      <c r="J914">
        <v>2</v>
      </c>
      <c r="K914">
        <v>147</v>
      </c>
      <c r="L914">
        <v>294</v>
      </c>
      <c r="M914">
        <v>60</v>
      </c>
      <c r="N914" t="s">
        <v>21</v>
      </c>
      <c r="O914">
        <v>4.0999999999999996</v>
      </c>
      <c r="P914" s="2">
        <f>EOMONTH(Table1[[#This Row],[Order_Date]],0)</f>
        <v>45351</v>
      </c>
      <c r="Q914" s="3">
        <f>WEEKNUM(Table1[[#This Row],[Order_Date]])</f>
        <v>7</v>
      </c>
      <c r="R914">
        <f>YEAR(Table1[[#This Row],[Order_Date]])</f>
        <v>2024</v>
      </c>
      <c r="S914" t="str">
        <f>IF(Table1[[#This Row],[Quantity]]&gt;=3,"Promo","Regular")</f>
        <v>Regular</v>
      </c>
    </row>
    <row r="915" spans="1:19" x14ac:dyDescent="0.35">
      <c r="A915" t="s">
        <v>2073</v>
      </c>
      <c r="B915" t="s">
        <v>988</v>
      </c>
      <c r="C915" s="1">
        <v>45370</v>
      </c>
      <c r="D915" t="s">
        <v>43</v>
      </c>
      <c r="E915" t="s">
        <v>93</v>
      </c>
      <c r="F915" t="s">
        <v>69</v>
      </c>
      <c r="G915" t="s">
        <v>73</v>
      </c>
      <c r="H915" t="s">
        <v>66</v>
      </c>
      <c r="I915" t="s">
        <v>20</v>
      </c>
      <c r="J915">
        <v>2</v>
      </c>
      <c r="K915">
        <v>376</v>
      </c>
      <c r="L915">
        <v>752</v>
      </c>
      <c r="M915">
        <v>48</v>
      </c>
      <c r="N915" t="s">
        <v>21</v>
      </c>
      <c r="O915">
        <v>4.3</v>
      </c>
      <c r="P915" s="2">
        <f>EOMONTH(Table1[[#This Row],[Order_Date]],0)</f>
        <v>45382</v>
      </c>
      <c r="Q915" s="3">
        <f>WEEKNUM(Table1[[#This Row],[Order_Date]])</f>
        <v>12</v>
      </c>
      <c r="R915">
        <f>YEAR(Table1[[#This Row],[Order_Date]])</f>
        <v>2024</v>
      </c>
      <c r="S915" t="str">
        <f>IF(Table1[[#This Row],[Quantity]]&gt;=3,"Promo","Regular")</f>
        <v>Regular</v>
      </c>
    </row>
    <row r="916" spans="1:19" x14ac:dyDescent="0.35">
      <c r="A916" t="s">
        <v>2073</v>
      </c>
      <c r="B916" t="s">
        <v>989</v>
      </c>
      <c r="C916" s="1">
        <v>45412</v>
      </c>
      <c r="D916" t="s">
        <v>43</v>
      </c>
      <c r="E916" t="s">
        <v>52</v>
      </c>
      <c r="F916" t="s">
        <v>85</v>
      </c>
      <c r="G916" t="s">
        <v>18</v>
      </c>
      <c r="H916" t="s">
        <v>55</v>
      </c>
      <c r="I916" t="s">
        <v>20</v>
      </c>
      <c r="J916">
        <v>4</v>
      </c>
      <c r="K916">
        <v>482</v>
      </c>
      <c r="L916">
        <v>1928</v>
      </c>
      <c r="M916">
        <v>46</v>
      </c>
      <c r="N916" t="s">
        <v>33</v>
      </c>
      <c r="O916">
        <v>3.9</v>
      </c>
      <c r="P916" s="2">
        <f>EOMONTH(Table1[[#This Row],[Order_Date]],0)</f>
        <v>45412</v>
      </c>
      <c r="Q916" s="3">
        <f>WEEKNUM(Table1[[#This Row],[Order_Date]])</f>
        <v>18</v>
      </c>
      <c r="R916">
        <f>YEAR(Table1[[#This Row],[Order_Date]])</f>
        <v>2024</v>
      </c>
      <c r="S916" t="str">
        <f>IF(Table1[[#This Row],[Quantity]]&gt;=3,"Promo","Regular")</f>
        <v>Promo</v>
      </c>
    </row>
    <row r="917" spans="1:19" x14ac:dyDescent="0.35">
      <c r="A917" t="s">
        <v>2073</v>
      </c>
      <c r="B917" t="s">
        <v>990</v>
      </c>
      <c r="C917" s="1">
        <v>45547</v>
      </c>
      <c r="D917" t="s">
        <v>15</v>
      </c>
      <c r="E917" t="s">
        <v>23</v>
      </c>
      <c r="F917" t="s">
        <v>30</v>
      </c>
      <c r="G917" t="s">
        <v>31</v>
      </c>
      <c r="H917" t="s">
        <v>66</v>
      </c>
      <c r="I917" t="s">
        <v>20</v>
      </c>
      <c r="J917">
        <v>3</v>
      </c>
      <c r="K917">
        <v>293</v>
      </c>
      <c r="L917">
        <v>879</v>
      </c>
      <c r="M917">
        <v>51</v>
      </c>
      <c r="N917" t="s">
        <v>33</v>
      </c>
      <c r="O917">
        <v>4.5999999999999996</v>
      </c>
      <c r="P917" s="2">
        <f>EOMONTH(Table1[[#This Row],[Order_Date]],0)</f>
        <v>45565</v>
      </c>
      <c r="Q917" s="3">
        <f>WEEKNUM(Table1[[#This Row],[Order_Date]])</f>
        <v>37</v>
      </c>
      <c r="R917">
        <f>YEAR(Table1[[#This Row],[Order_Date]])</f>
        <v>2024</v>
      </c>
      <c r="S917" t="str">
        <f>IF(Table1[[#This Row],[Quantity]]&gt;=3,"Promo","Regular")</f>
        <v>Promo</v>
      </c>
    </row>
    <row r="918" spans="1:19" x14ac:dyDescent="0.35">
      <c r="A918" t="s">
        <v>2073</v>
      </c>
      <c r="B918" t="s">
        <v>991</v>
      </c>
      <c r="C918" s="1">
        <v>45505</v>
      </c>
      <c r="D918" t="s">
        <v>15</v>
      </c>
      <c r="E918" t="s">
        <v>112</v>
      </c>
      <c r="F918" t="s">
        <v>35</v>
      </c>
      <c r="G918" t="s">
        <v>18</v>
      </c>
      <c r="H918" t="s">
        <v>19</v>
      </c>
      <c r="I918" t="s">
        <v>20</v>
      </c>
      <c r="J918">
        <v>2</v>
      </c>
      <c r="K918">
        <v>157</v>
      </c>
      <c r="L918">
        <v>314</v>
      </c>
      <c r="M918">
        <v>59</v>
      </c>
      <c r="N918" t="s">
        <v>21</v>
      </c>
      <c r="O918">
        <v>4.9000000000000004</v>
      </c>
      <c r="P918" s="2">
        <f>EOMONTH(Table1[[#This Row],[Order_Date]],0)</f>
        <v>45535</v>
      </c>
      <c r="Q918" s="3">
        <f>WEEKNUM(Table1[[#This Row],[Order_Date]])</f>
        <v>31</v>
      </c>
      <c r="R918">
        <f>YEAR(Table1[[#This Row],[Order_Date]])</f>
        <v>2024</v>
      </c>
      <c r="S918" t="str">
        <f>IF(Table1[[#This Row],[Quantity]]&gt;=3,"Promo","Regular")</f>
        <v>Regular</v>
      </c>
    </row>
    <row r="919" spans="1:19" x14ac:dyDescent="0.35">
      <c r="A919" t="s">
        <v>2074</v>
      </c>
      <c r="B919" t="s">
        <v>992</v>
      </c>
      <c r="C919" s="1">
        <v>45334</v>
      </c>
      <c r="D919" t="s">
        <v>57</v>
      </c>
      <c r="E919" t="s">
        <v>75</v>
      </c>
      <c r="F919" t="s">
        <v>65</v>
      </c>
      <c r="G919" t="s">
        <v>31</v>
      </c>
      <c r="H919" t="s">
        <v>50</v>
      </c>
      <c r="I919" t="s">
        <v>20</v>
      </c>
      <c r="J919">
        <v>2</v>
      </c>
      <c r="K919">
        <v>268</v>
      </c>
      <c r="L919">
        <v>536</v>
      </c>
      <c r="M919">
        <v>57</v>
      </c>
      <c r="N919" t="s">
        <v>33</v>
      </c>
      <c r="O919">
        <v>4.5999999999999996</v>
      </c>
      <c r="P919" s="2">
        <f>EOMONTH(Table1[[#This Row],[Order_Date]],0)</f>
        <v>45351</v>
      </c>
      <c r="Q919" s="3">
        <f>WEEKNUM(Table1[[#This Row],[Order_Date]])</f>
        <v>7</v>
      </c>
      <c r="R919">
        <f>YEAR(Table1[[#This Row],[Order_Date]])</f>
        <v>2024</v>
      </c>
      <c r="S919" t="str">
        <f>IF(Table1[[#This Row],[Quantity]]&gt;=3,"Promo","Regular")</f>
        <v>Regular</v>
      </c>
    </row>
    <row r="920" spans="1:19" x14ac:dyDescent="0.35">
      <c r="A920" t="s">
        <v>2074</v>
      </c>
      <c r="B920" t="s">
        <v>993</v>
      </c>
      <c r="C920" s="1">
        <v>45313</v>
      </c>
      <c r="D920" t="s">
        <v>48</v>
      </c>
      <c r="E920" t="s">
        <v>68</v>
      </c>
      <c r="F920" t="s">
        <v>85</v>
      </c>
      <c r="G920" t="s">
        <v>73</v>
      </c>
      <c r="H920" t="s">
        <v>26</v>
      </c>
      <c r="I920" t="s">
        <v>20</v>
      </c>
      <c r="J920">
        <v>5</v>
      </c>
      <c r="K920">
        <v>169</v>
      </c>
      <c r="L920">
        <v>845</v>
      </c>
      <c r="M920">
        <v>53</v>
      </c>
      <c r="N920" t="s">
        <v>21</v>
      </c>
      <c r="O920">
        <v>3.7</v>
      </c>
      <c r="P920" s="2">
        <f>EOMONTH(Table1[[#This Row],[Order_Date]],0)</f>
        <v>45322</v>
      </c>
      <c r="Q920" s="3">
        <f>WEEKNUM(Table1[[#This Row],[Order_Date]])</f>
        <v>4</v>
      </c>
      <c r="R920">
        <f>YEAR(Table1[[#This Row],[Order_Date]])</f>
        <v>2024</v>
      </c>
      <c r="S920" t="str">
        <f>IF(Table1[[#This Row],[Quantity]]&gt;=3,"Promo","Regular")</f>
        <v>Promo</v>
      </c>
    </row>
    <row r="921" spans="1:19" x14ac:dyDescent="0.35">
      <c r="A921" t="s">
        <v>2074</v>
      </c>
      <c r="B921" t="s">
        <v>994</v>
      </c>
      <c r="C921" s="1">
        <v>45332</v>
      </c>
      <c r="D921" t="s">
        <v>43</v>
      </c>
      <c r="E921" t="s">
        <v>93</v>
      </c>
      <c r="F921" t="s">
        <v>17</v>
      </c>
      <c r="G921" t="s">
        <v>31</v>
      </c>
      <c r="H921" t="s">
        <v>59</v>
      </c>
      <c r="I921" t="s">
        <v>60</v>
      </c>
      <c r="J921">
        <v>1</v>
      </c>
      <c r="K921">
        <v>356</v>
      </c>
      <c r="L921">
        <v>356</v>
      </c>
      <c r="M921">
        <v>38</v>
      </c>
      <c r="N921" t="s">
        <v>21</v>
      </c>
      <c r="O921">
        <v>4.0999999999999996</v>
      </c>
      <c r="P921" s="2">
        <f>EOMONTH(Table1[[#This Row],[Order_Date]],0)</f>
        <v>45351</v>
      </c>
      <c r="Q921" s="3">
        <f>WEEKNUM(Table1[[#This Row],[Order_Date]])</f>
        <v>6</v>
      </c>
      <c r="R921">
        <f>YEAR(Table1[[#This Row],[Order_Date]])</f>
        <v>2024</v>
      </c>
      <c r="S921" t="str">
        <f>IF(Table1[[#This Row],[Quantity]]&gt;=3,"Promo","Regular")</f>
        <v>Regular</v>
      </c>
    </row>
    <row r="922" spans="1:19" x14ac:dyDescent="0.35">
      <c r="A922" t="s">
        <v>2074</v>
      </c>
      <c r="B922" t="s">
        <v>995</v>
      </c>
      <c r="C922" s="1">
        <v>45509</v>
      </c>
      <c r="D922" t="s">
        <v>57</v>
      </c>
      <c r="E922" t="s">
        <v>105</v>
      </c>
      <c r="F922" t="s">
        <v>35</v>
      </c>
      <c r="G922" t="s">
        <v>36</v>
      </c>
      <c r="H922" t="s">
        <v>59</v>
      </c>
      <c r="I922" t="s">
        <v>60</v>
      </c>
      <c r="J922">
        <v>2</v>
      </c>
      <c r="K922">
        <v>143</v>
      </c>
      <c r="L922">
        <v>286</v>
      </c>
      <c r="M922">
        <v>20</v>
      </c>
      <c r="N922" t="s">
        <v>21</v>
      </c>
      <c r="O922">
        <v>3.3</v>
      </c>
      <c r="P922" s="2">
        <f>EOMONTH(Table1[[#This Row],[Order_Date]],0)</f>
        <v>45535</v>
      </c>
      <c r="Q922" s="3">
        <f>WEEKNUM(Table1[[#This Row],[Order_Date]])</f>
        <v>32</v>
      </c>
      <c r="R922">
        <f>YEAR(Table1[[#This Row],[Order_Date]])</f>
        <v>2024</v>
      </c>
      <c r="S922" t="str">
        <f>IF(Table1[[#This Row],[Quantity]]&gt;=3,"Promo","Regular")</f>
        <v>Regular</v>
      </c>
    </row>
    <row r="923" spans="1:19" x14ac:dyDescent="0.35">
      <c r="A923" t="s">
        <v>2074</v>
      </c>
      <c r="B923" t="s">
        <v>996</v>
      </c>
      <c r="C923" s="1">
        <v>45371</v>
      </c>
      <c r="D923" t="s">
        <v>57</v>
      </c>
      <c r="E923" t="s">
        <v>136</v>
      </c>
      <c r="F923" t="s">
        <v>24</v>
      </c>
      <c r="G923" t="s">
        <v>18</v>
      </c>
      <c r="H923" t="s">
        <v>120</v>
      </c>
      <c r="I923" t="s">
        <v>60</v>
      </c>
      <c r="J923">
        <v>5</v>
      </c>
      <c r="K923">
        <v>391</v>
      </c>
      <c r="L923">
        <v>1955</v>
      </c>
      <c r="M923">
        <v>38</v>
      </c>
      <c r="N923" t="s">
        <v>21</v>
      </c>
      <c r="O923">
        <v>3.8</v>
      </c>
      <c r="P923" s="2">
        <f>EOMONTH(Table1[[#This Row],[Order_Date]],0)</f>
        <v>45382</v>
      </c>
      <c r="Q923" s="3">
        <f>WEEKNUM(Table1[[#This Row],[Order_Date]])</f>
        <v>12</v>
      </c>
      <c r="R923">
        <f>YEAR(Table1[[#This Row],[Order_Date]])</f>
        <v>2024</v>
      </c>
      <c r="S923" t="str">
        <f>IF(Table1[[#This Row],[Quantity]]&gt;=3,"Promo","Regular")</f>
        <v>Promo</v>
      </c>
    </row>
    <row r="924" spans="1:19" x14ac:dyDescent="0.35">
      <c r="A924" t="s">
        <v>2075</v>
      </c>
      <c r="B924" t="s">
        <v>997</v>
      </c>
      <c r="C924" s="1">
        <v>45338</v>
      </c>
      <c r="D924" t="s">
        <v>15</v>
      </c>
      <c r="E924" t="s">
        <v>23</v>
      </c>
      <c r="F924" t="s">
        <v>65</v>
      </c>
      <c r="G924" t="s">
        <v>73</v>
      </c>
      <c r="H924" t="s">
        <v>59</v>
      </c>
      <c r="I924" t="s">
        <v>60</v>
      </c>
      <c r="J924">
        <v>1</v>
      </c>
      <c r="K924">
        <v>490</v>
      </c>
      <c r="L924">
        <v>490</v>
      </c>
      <c r="M924">
        <v>39</v>
      </c>
      <c r="N924" t="s">
        <v>38</v>
      </c>
      <c r="O924">
        <v>3.8</v>
      </c>
      <c r="P924" s="2">
        <f>EOMONTH(Table1[[#This Row],[Order_Date]],0)</f>
        <v>45351</v>
      </c>
      <c r="Q924" s="3">
        <f>WEEKNUM(Table1[[#This Row],[Order_Date]])</f>
        <v>7</v>
      </c>
      <c r="R924">
        <f>YEAR(Table1[[#This Row],[Order_Date]])</f>
        <v>2024</v>
      </c>
      <c r="S924" t="str">
        <f>IF(Table1[[#This Row],[Quantity]]&gt;=3,"Promo","Regular")</f>
        <v>Regular</v>
      </c>
    </row>
    <row r="925" spans="1:19" x14ac:dyDescent="0.35">
      <c r="A925" t="s">
        <v>2075</v>
      </c>
      <c r="B925" t="s">
        <v>998</v>
      </c>
      <c r="C925" s="1">
        <v>45520</v>
      </c>
      <c r="D925" t="s">
        <v>43</v>
      </c>
      <c r="E925" t="s">
        <v>44</v>
      </c>
      <c r="F925" t="s">
        <v>85</v>
      </c>
      <c r="G925" t="s">
        <v>46</v>
      </c>
      <c r="H925" t="s">
        <v>55</v>
      </c>
      <c r="I925" t="s">
        <v>20</v>
      </c>
      <c r="J925">
        <v>3</v>
      </c>
      <c r="K925">
        <v>308</v>
      </c>
      <c r="L925">
        <v>924</v>
      </c>
      <c r="M925">
        <v>52</v>
      </c>
      <c r="N925" t="s">
        <v>21</v>
      </c>
      <c r="O925">
        <v>4.4000000000000004</v>
      </c>
      <c r="P925" s="2">
        <f>EOMONTH(Table1[[#This Row],[Order_Date]],0)</f>
        <v>45535</v>
      </c>
      <c r="Q925" s="3">
        <f>WEEKNUM(Table1[[#This Row],[Order_Date]])</f>
        <v>33</v>
      </c>
      <c r="R925">
        <f>YEAR(Table1[[#This Row],[Order_Date]])</f>
        <v>2024</v>
      </c>
      <c r="S925" t="str">
        <f>IF(Table1[[#This Row],[Quantity]]&gt;=3,"Promo","Regular")</f>
        <v>Promo</v>
      </c>
    </row>
    <row r="926" spans="1:19" x14ac:dyDescent="0.35">
      <c r="A926" t="s">
        <v>2075</v>
      </c>
      <c r="B926" t="s">
        <v>999</v>
      </c>
      <c r="C926" s="1">
        <v>45477</v>
      </c>
      <c r="D926" t="s">
        <v>43</v>
      </c>
      <c r="E926" t="s">
        <v>82</v>
      </c>
      <c r="F926" t="s">
        <v>24</v>
      </c>
      <c r="G926" t="s">
        <v>18</v>
      </c>
      <c r="H926" t="s">
        <v>66</v>
      </c>
      <c r="I926" t="s">
        <v>20</v>
      </c>
      <c r="J926">
        <v>5</v>
      </c>
      <c r="K926">
        <v>402</v>
      </c>
      <c r="L926">
        <v>2010</v>
      </c>
      <c r="M926">
        <v>57</v>
      </c>
      <c r="N926" t="s">
        <v>38</v>
      </c>
      <c r="O926">
        <v>4.9000000000000004</v>
      </c>
      <c r="P926" s="2">
        <f>EOMONTH(Table1[[#This Row],[Order_Date]],0)</f>
        <v>45504</v>
      </c>
      <c r="Q926" s="3">
        <f>WEEKNUM(Table1[[#This Row],[Order_Date]])</f>
        <v>27</v>
      </c>
      <c r="R926">
        <f>YEAR(Table1[[#This Row],[Order_Date]])</f>
        <v>2024</v>
      </c>
      <c r="S926" t="str">
        <f>IF(Table1[[#This Row],[Quantity]]&gt;=3,"Promo","Regular")</f>
        <v>Promo</v>
      </c>
    </row>
    <row r="927" spans="1:19" x14ac:dyDescent="0.35">
      <c r="A927" t="s">
        <v>2075</v>
      </c>
      <c r="B927" t="s">
        <v>1000</v>
      </c>
      <c r="C927" s="1">
        <v>45415</v>
      </c>
      <c r="D927" t="s">
        <v>57</v>
      </c>
      <c r="E927" t="s">
        <v>105</v>
      </c>
      <c r="F927" t="s">
        <v>72</v>
      </c>
      <c r="G927" t="s">
        <v>18</v>
      </c>
      <c r="H927" t="s">
        <v>120</v>
      </c>
      <c r="I927" t="s">
        <v>60</v>
      </c>
      <c r="J927">
        <v>5</v>
      </c>
      <c r="K927">
        <v>162</v>
      </c>
      <c r="L927">
        <v>810</v>
      </c>
      <c r="M927">
        <v>46</v>
      </c>
      <c r="N927" t="s">
        <v>38</v>
      </c>
      <c r="O927">
        <v>3.3</v>
      </c>
      <c r="P927" s="2">
        <f>EOMONTH(Table1[[#This Row],[Order_Date]],0)</f>
        <v>45443</v>
      </c>
      <c r="Q927" s="3">
        <f>WEEKNUM(Table1[[#This Row],[Order_Date]])</f>
        <v>18</v>
      </c>
      <c r="R927">
        <f>YEAR(Table1[[#This Row],[Order_Date]])</f>
        <v>2024</v>
      </c>
      <c r="S927" t="str">
        <f>IF(Table1[[#This Row],[Quantity]]&gt;=3,"Promo","Regular")</f>
        <v>Promo</v>
      </c>
    </row>
    <row r="928" spans="1:19" x14ac:dyDescent="0.35">
      <c r="A928" t="s">
        <v>2075</v>
      </c>
      <c r="B928" t="s">
        <v>1001</v>
      </c>
      <c r="C928" s="1">
        <v>45517</v>
      </c>
      <c r="D928" t="s">
        <v>15</v>
      </c>
      <c r="E928" t="s">
        <v>95</v>
      </c>
      <c r="F928" t="s">
        <v>24</v>
      </c>
      <c r="G928" t="s">
        <v>25</v>
      </c>
      <c r="H928" t="s">
        <v>66</v>
      </c>
      <c r="I928" t="s">
        <v>20</v>
      </c>
      <c r="J928">
        <v>5</v>
      </c>
      <c r="K928">
        <v>321</v>
      </c>
      <c r="L928">
        <v>1605</v>
      </c>
      <c r="M928">
        <v>55</v>
      </c>
      <c r="N928" t="s">
        <v>21</v>
      </c>
      <c r="O928">
        <v>3.7</v>
      </c>
      <c r="P928" s="2">
        <f>EOMONTH(Table1[[#This Row],[Order_Date]],0)</f>
        <v>45535</v>
      </c>
      <c r="Q928" s="3">
        <f>WEEKNUM(Table1[[#This Row],[Order_Date]])</f>
        <v>33</v>
      </c>
      <c r="R928">
        <f>YEAR(Table1[[#This Row],[Order_Date]])</f>
        <v>2024</v>
      </c>
      <c r="S928" t="str">
        <f>IF(Table1[[#This Row],[Quantity]]&gt;=3,"Promo","Regular")</f>
        <v>Promo</v>
      </c>
    </row>
    <row r="929" spans="1:19" x14ac:dyDescent="0.35">
      <c r="A929" t="s">
        <v>2076</v>
      </c>
      <c r="B929" t="s">
        <v>1002</v>
      </c>
      <c r="C929" s="1">
        <v>45398</v>
      </c>
      <c r="D929" t="s">
        <v>57</v>
      </c>
      <c r="E929" t="s">
        <v>58</v>
      </c>
      <c r="F929" t="s">
        <v>41</v>
      </c>
      <c r="G929" t="s">
        <v>18</v>
      </c>
      <c r="H929" t="s">
        <v>120</v>
      </c>
      <c r="I929" t="s">
        <v>60</v>
      </c>
      <c r="J929">
        <v>1</v>
      </c>
      <c r="K929">
        <v>483</v>
      </c>
      <c r="L929">
        <v>483</v>
      </c>
      <c r="M929">
        <v>44</v>
      </c>
      <c r="N929" t="s">
        <v>21</v>
      </c>
      <c r="O929">
        <v>4.0999999999999996</v>
      </c>
      <c r="P929" s="2">
        <f>EOMONTH(Table1[[#This Row],[Order_Date]],0)</f>
        <v>45412</v>
      </c>
      <c r="Q929" s="3">
        <f>WEEKNUM(Table1[[#This Row],[Order_Date]])</f>
        <v>16</v>
      </c>
      <c r="R929">
        <f>YEAR(Table1[[#This Row],[Order_Date]])</f>
        <v>2024</v>
      </c>
      <c r="S929" t="str">
        <f>IF(Table1[[#This Row],[Quantity]]&gt;=3,"Promo","Regular")</f>
        <v>Regular</v>
      </c>
    </row>
    <row r="930" spans="1:19" x14ac:dyDescent="0.35">
      <c r="A930" t="s">
        <v>2076</v>
      </c>
      <c r="B930" t="s">
        <v>1003</v>
      </c>
      <c r="C930" s="1">
        <v>45481</v>
      </c>
      <c r="D930" t="s">
        <v>57</v>
      </c>
      <c r="E930" t="s">
        <v>136</v>
      </c>
      <c r="F930" t="s">
        <v>72</v>
      </c>
      <c r="G930" t="s">
        <v>18</v>
      </c>
      <c r="H930" t="s">
        <v>59</v>
      </c>
      <c r="I930" t="s">
        <v>60</v>
      </c>
      <c r="J930">
        <v>3</v>
      </c>
      <c r="K930">
        <v>272</v>
      </c>
      <c r="L930">
        <v>816</v>
      </c>
      <c r="M930">
        <v>39</v>
      </c>
      <c r="N930" t="s">
        <v>33</v>
      </c>
      <c r="O930">
        <v>4.4000000000000004</v>
      </c>
      <c r="P930" s="2">
        <f>EOMONTH(Table1[[#This Row],[Order_Date]],0)</f>
        <v>45504</v>
      </c>
      <c r="Q930" s="3">
        <f>WEEKNUM(Table1[[#This Row],[Order_Date]])</f>
        <v>28</v>
      </c>
      <c r="R930">
        <f>YEAR(Table1[[#This Row],[Order_Date]])</f>
        <v>2024</v>
      </c>
      <c r="S930" t="str">
        <f>IF(Table1[[#This Row],[Quantity]]&gt;=3,"Promo","Regular")</f>
        <v>Promo</v>
      </c>
    </row>
    <row r="931" spans="1:19" x14ac:dyDescent="0.35">
      <c r="A931" t="s">
        <v>2076</v>
      </c>
      <c r="B931" t="s">
        <v>1004</v>
      </c>
      <c r="C931" s="1">
        <v>45523</v>
      </c>
      <c r="D931" t="s">
        <v>28</v>
      </c>
      <c r="E931" t="s">
        <v>98</v>
      </c>
      <c r="F931" t="s">
        <v>45</v>
      </c>
      <c r="G931" t="s">
        <v>31</v>
      </c>
      <c r="H931" t="s">
        <v>55</v>
      </c>
      <c r="I931" t="s">
        <v>20</v>
      </c>
      <c r="J931">
        <v>5</v>
      </c>
      <c r="K931">
        <v>134</v>
      </c>
      <c r="L931">
        <v>670</v>
      </c>
      <c r="M931">
        <v>31</v>
      </c>
      <c r="N931" t="s">
        <v>33</v>
      </c>
      <c r="O931">
        <v>3.5</v>
      </c>
      <c r="P931" s="2">
        <f>EOMONTH(Table1[[#This Row],[Order_Date]],0)</f>
        <v>45535</v>
      </c>
      <c r="Q931" s="3">
        <f>WEEKNUM(Table1[[#This Row],[Order_Date]])</f>
        <v>34</v>
      </c>
      <c r="R931">
        <f>YEAR(Table1[[#This Row],[Order_Date]])</f>
        <v>2024</v>
      </c>
      <c r="S931" t="str">
        <f>IF(Table1[[#This Row],[Quantity]]&gt;=3,"Promo","Regular")</f>
        <v>Promo</v>
      </c>
    </row>
    <row r="932" spans="1:19" x14ac:dyDescent="0.35">
      <c r="A932" t="s">
        <v>2077</v>
      </c>
      <c r="B932" t="s">
        <v>1005</v>
      </c>
      <c r="C932" s="1">
        <v>45417</v>
      </c>
      <c r="D932" t="s">
        <v>57</v>
      </c>
      <c r="E932" t="s">
        <v>105</v>
      </c>
      <c r="F932" t="s">
        <v>45</v>
      </c>
      <c r="G932" t="s">
        <v>73</v>
      </c>
      <c r="H932" t="s">
        <v>50</v>
      </c>
      <c r="I932" t="s">
        <v>20</v>
      </c>
      <c r="J932">
        <v>3</v>
      </c>
      <c r="K932">
        <v>263</v>
      </c>
      <c r="L932">
        <v>789</v>
      </c>
      <c r="M932">
        <v>31</v>
      </c>
      <c r="N932" t="s">
        <v>21</v>
      </c>
      <c r="O932">
        <v>4.9000000000000004</v>
      </c>
      <c r="P932" s="2">
        <f>EOMONTH(Table1[[#This Row],[Order_Date]],0)</f>
        <v>45443</v>
      </c>
      <c r="Q932" s="3">
        <f>WEEKNUM(Table1[[#This Row],[Order_Date]])</f>
        <v>19</v>
      </c>
      <c r="R932">
        <f>YEAR(Table1[[#This Row],[Order_Date]])</f>
        <v>2024</v>
      </c>
      <c r="S932" t="str">
        <f>IF(Table1[[#This Row],[Quantity]]&gt;=3,"Promo","Regular")</f>
        <v>Promo</v>
      </c>
    </row>
    <row r="933" spans="1:19" x14ac:dyDescent="0.35">
      <c r="A933" t="s">
        <v>2077</v>
      </c>
      <c r="B933" t="s">
        <v>1006</v>
      </c>
      <c r="C933" s="1">
        <v>45335</v>
      </c>
      <c r="D933" t="s">
        <v>15</v>
      </c>
      <c r="E933" t="s">
        <v>16</v>
      </c>
      <c r="F933" t="s">
        <v>72</v>
      </c>
      <c r="G933" t="s">
        <v>25</v>
      </c>
      <c r="H933" t="s">
        <v>66</v>
      </c>
      <c r="I933" t="s">
        <v>20</v>
      </c>
      <c r="J933">
        <v>2</v>
      </c>
      <c r="K933">
        <v>456</v>
      </c>
      <c r="L933">
        <v>912</v>
      </c>
      <c r="M933">
        <v>44</v>
      </c>
      <c r="N933" t="s">
        <v>33</v>
      </c>
      <c r="O933">
        <v>3.5</v>
      </c>
      <c r="P933" s="2">
        <f>EOMONTH(Table1[[#This Row],[Order_Date]],0)</f>
        <v>45351</v>
      </c>
      <c r="Q933" s="3">
        <f>WEEKNUM(Table1[[#This Row],[Order_Date]])</f>
        <v>7</v>
      </c>
      <c r="R933">
        <f>YEAR(Table1[[#This Row],[Order_Date]])</f>
        <v>2024</v>
      </c>
      <c r="S933" t="str">
        <f>IF(Table1[[#This Row],[Quantity]]&gt;=3,"Promo","Regular")</f>
        <v>Regular</v>
      </c>
    </row>
    <row r="934" spans="1:19" x14ac:dyDescent="0.35">
      <c r="A934" t="s">
        <v>2077</v>
      </c>
      <c r="B934" t="s">
        <v>1007</v>
      </c>
      <c r="C934" s="1">
        <v>45444</v>
      </c>
      <c r="D934" t="s">
        <v>15</v>
      </c>
      <c r="E934" t="s">
        <v>95</v>
      </c>
      <c r="F934" t="s">
        <v>24</v>
      </c>
      <c r="G934" t="s">
        <v>46</v>
      </c>
      <c r="H934" t="s">
        <v>66</v>
      </c>
      <c r="I934" t="s">
        <v>20</v>
      </c>
      <c r="J934">
        <v>3</v>
      </c>
      <c r="K934">
        <v>104</v>
      </c>
      <c r="L934">
        <v>312</v>
      </c>
      <c r="M934">
        <v>35</v>
      </c>
      <c r="N934" t="s">
        <v>33</v>
      </c>
      <c r="O934">
        <v>4.3</v>
      </c>
      <c r="P934" s="2">
        <f>EOMONTH(Table1[[#This Row],[Order_Date]],0)</f>
        <v>45473</v>
      </c>
      <c r="Q934" s="3">
        <f>WEEKNUM(Table1[[#This Row],[Order_Date]])</f>
        <v>22</v>
      </c>
      <c r="R934">
        <f>YEAR(Table1[[#This Row],[Order_Date]])</f>
        <v>2024</v>
      </c>
      <c r="S934" t="str">
        <f>IF(Table1[[#This Row],[Quantity]]&gt;=3,"Promo","Regular")</f>
        <v>Promo</v>
      </c>
    </row>
    <row r="935" spans="1:19" x14ac:dyDescent="0.35">
      <c r="A935" t="s">
        <v>2077</v>
      </c>
      <c r="B935" t="s">
        <v>1008</v>
      </c>
      <c r="C935" s="1">
        <v>45497</v>
      </c>
      <c r="D935" t="s">
        <v>15</v>
      </c>
      <c r="E935" t="s">
        <v>103</v>
      </c>
      <c r="F935" t="s">
        <v>45</v>
      </c>
      <c r="G935" t="s">
        <v>31</v>
      </c>
      <c r="H935" t="s">
        <v>19</v>
      </c>
      <c r="I935" t="s">
        <v>20</v>
      </c>
      <c r="J935">
        <v>1</v>
      </c>
      <c r="K935">
        <v>103</v>
      </c>
      <c r="L935">
        <v>103</v>
      </c>
      <c r="M935">
        <v>42</v>
      </c>
      <c r="N935" t="s">
        <v>38</v>
      </c>
      <c r="O935">
        <v>3.3</v>
      </c>
      <c r="P935" s="2">
        <f>EOMONTH(Table1[[#This Row],[Order_Date]],0)</f>
        <v>45504</v>
      </c>
      <c r="Q935" s="3">
        <f>WEEKNUM(Table1[[#This Row],[Order_Date]])</f>
        <v>30</v>
      </c>
      <c r="R935">
        <f>YEAR(Table1[[#This Row],[Order_Date]])</f>
        <v>2024</v>
      </c>
      <c r="S935" t="str">
        <f>IF(Table1[[#This Row],[Quantity]]&gt;=3,"Promo","Regular")</f>
        <v>Regular</v>
      </c>
    </row>
    <row r="936" spans="1:19" x14ac:dyDescent="0.35">
      <c r="A936" t="s">
        <v>2078</v>
      </c>
      <c r="B936" t="s">
        <v>1009</v>
      </c>
      <c r="C936" s="1">
        <v>45582</v>
      </c>
      <c r="D936" t="s">
        <v>57</v>
      </c>
      <c r="E936" t="s">
        <v>75</v>
      </c>
      <c r="F936" t="s">
        <v>35</v>
      </c>
      <c r="G936" t="s">
        <v>46</v>
      </c>
      <c r="H936" t="s">
        <v>53</v>
      </c>
      <c r="I936" t="s">
        <v>20</v>
      </c>
      <c r="J936">
        <v>1</v>
      </c>
      <c r="K936">
        <v>164</v>
      </c>
      <c r="L936">
        <v>164</v>
      </c>
      <c r="M936">
        <v>46</v>
      </c>
      <c r="N936" t="s">
        <v>38</v>
      </c>
      <c r="O936">
        <v>3.4</v>
      </c>
      <c r="P936" s="2">
        <f>EOMONTH(Table1[[#This Row],[Order_Date]],0)</f>
        <v>45596</v>
      </c>
      <c r="Q936" s="3">
        <f>WEEKNUM(Table1[[#This Row],[Order_Date]])</f>
        <v>42</v>
      </c>
      <c r="R936">
        <f>YEAR(Table1[[#This Row],[Order_Date]])</f>
        <v>2024</v>
      </c>
      <c r="S936" t="str">
        <f>IF(Table1[[#This Row],[Quantity]]&gt;=3,"Promo","Regular")</f>
        <v>Regular</v>
      </c>
    </row>
    <row r="937" spans="1:19" x14ac:dyDescent="0.35">
      <c r="A937" t="s">
        <v>2078</v>
      </c>
      <c r="B937" t="s">
        <v>1010</v>
      </c>
      <c r="C937" s="1">
        <v>45588</v>
      </c>
      <c r="D937" t="s">
        <v>48</v>
      </c>
      <c r="E937" t="s">
        <v>64</v>
      </c>
      <c r="F937" t="s">
        <v>17</v>
      </c>
      <c r="G937" t="s">
        <v>36</v>
      </c>
      <c r="H937" t="s">
        <v>120</v>
      </c>
      <c r="I937" t="s">
        <v>60</v>
      </c>
      <c r="J937">
        <v>1</v>
      </c>
      <c r="K937">
        <v>277</v>
      </c>
      <c r="L937">
        <v>277</v>
      </c>
      <c r="M937">
        <v>20</v>
      </c>
      <c r="N937" t="s">
        <v>38</v>
      </c>
      <c r="O937">
        <v>3.5</v>
      </c>
      <c r="P937" s="2">
        <f>EOMONTH(Table1[[#This Row],[Order_Date]],0)</f>
        <v>45596</v>
      </c>
      <c r="Q937" s="3">
        <f>WEEKNUM(Table1[[#This Row],[Order_Date]])</f>
        <v>43</v>
      </c>
      <c r="R937">
        <f>YEAR(Table1[[#This Row],[Order_Date]])</f>
        <v>2024</v>
      </c>
      <c r="S937" t="str">
        <f>IF(Table1[[#This Row],[Quantity]]&gt;=3,"Promo","Regular")</f>
        <v>Regular</v>
      </c>
    </row>
    <row r="938" spans="1:19" x14ac:dyDescent="0.35">
      <c r="A938" t="s">
        <v>2078</v>
      </c>
      <c r="B938" t="s">
        <v>1011</v>
      </c>
      <c r="C938" s="1">
        <v>45491</v>
      </c>
      <c r="D938" t="s">
        <v>57</v>
      </c>
      <c r="E938" t="s">
        <v>105</v>
      </c>
      <c r="F938" t="s">
        <v>65</v>
      </c>
      <c r="G938" t="s">
        <v>31</v>
      </c>
      <c r="H938" t="s">
        <v>120</v>
      </c>
      <c r="I938" t="s">
        <v>60</v>
      </c>
      <c r="J938">
        <v>5</v>
      </c>
      <c r="K938">
        <v>254</v>
      </c>
      <c r="L938">
        <v>1270</v>
      </c>
      <c r="M938">
        <v>29</v>
      </c>
      <c r="N938" t="s">
        <v>21</v>
      </c>
      <c r="O938">
        <v>4.2</v>
      </c>
      <c r="P938" s="2">
        <f>EOMONTH(Table1[[#This Row],[Order_Date]],0)</f>
        <v>45504</v>
      </c>
      <c r="Q938" s="3">
        <f>WEEKNUM(Table1[[#This Row],[Order_Date]])</f>
        <v>29</v>
      </c>
      <c r="R938">
        <f>YEAR(Table1[[#This Row],[Order_Date]])</f>
        <v>2024</v>
      </c>
      <c r="S938" t="str">
        <f>IF(Table1[[#This Row],[Quantity]]&gt;=3,"Promo","Regular")</f>
        <v>Promo</v>
      </c>
    </row>
    <row r="939" spans="1:19" x14ac:dyDescent="0.35">
      <c r="A939" t="s">
        <v>2078</v>
      </c>
      <c r="B939" t="s">
        <v>1012</v>
      </c>
      <c r="C939" s="1">
        <v>45403</v>
      </c>
      <c r="D939" t="s">
        <v>15</v>
      </c>
      <c r="E939" t="s">
        <v>112</v>
      </c>
      <c r="F939" t="s">
        <v>45</v>
      </c>
      <c r="G939" t="s">
        <v>31</v>
      </c>
      <c r="H939" t="s">
        <v>50</v>
      </c>
      <c r="I939" t="s">
        <v>20</v>
      </c>
      <c r="J939">
        <v>1</v>
      </c>
      <c r="K939">
        <v>326</v>
      </c>
      <c r="L939">
        <v>326</v>
      </c>
      <c r="M939">
        <v>26</v>
      </c>
      <c r="N939" t="s">
        <v>38</v>
      </c>
      <c r="O939">
        <v>4.7</v>
      </c>
      <c r="P939" s="2">
        <f>EOMONTH(Table1[[#This Row],[Order_Date]],0)</f>
        <v>45412</v>
      </c>
      <c r="Q939" s="3">
        <f>WEEKNUM(Table1[[#This Row],[Order_Date]])</f>
        <v>17</v>
      </c>
      <c r="R939">
        <f>YEAR(Table1[[#This Row],[Order_Date]])</f>
        <v>2024</v>
      </c>
      <c r="S939" t="str">
        <f>IF(Table1[[#This Row],[Quantity]]&gt;=3,"Promo","Regular")</f>
        <v>Regular</v>
      </c>
    </row>
    <row r="940" spans="1:19" x14ac:dyDescent="0.35">
      <c r="A940" t="s">
        <v>2078</v>
      </c>
      <c r="B940" t="s">
        <v>1013</v>
      </c>
      <c r="C940" s="1">
        <v>45390</v>
      </c>
      <c r="D940" t="s">
        <v>28</v>
      </c>
      <c r="E940" t="s">
        <v>71</v>
      </c>
      <c r="F940" t="s">
        <v>72</v>
      </c>
      <c r="G940" t="s">
        <v>73</v>
      </c>
      <c r="H940" t="s">
        <v>50</v>
      </c>
      <c r="I940" t="s">
        <v>20</v>
      </c>
      <c r="J940">
        <v>1</v>
      </c>
      <c r="K940">
        <v>391</v>
      </c>
      <c r="L940">
        <v>391</v>
      </c>
      <c r="M940">
        <v>41</v>
      </c>
      <c r="N940" t="s">
        <v>38</v>
      </c>
      <c r="O940">
        <v>4.5</v>
      </c>
      <c r="P940" s="2">
        <f>EOMONTH(Table1[[#This Row],[Order_Date]],0)</f>
        <v>45412</v>
      </c>
      <c r="Q940" s="3">
        <f>WEEKNUM(Table1[[#This Row],[Order_Date]])</f>
        <v>15</v>
      </c>
      <c r="R940">
        <f>YEAR(Table1[[#This Row],[Order_Date]])</f>
        <v>2024</v>
      </c>
      <c r="S940" t="str">
        <f>IF(Table1[[#This Row],[Quantity]]&gt;=3,"Promo","Regular")</f>
        <v>Regular</v>
      </c>
    </row>
    <row r="941" spans="1:19" x14ac:dyDescent="0.35">
      <c r="A941" t="s">
        <v>2079</v>
      </c>
      <c r="B941" t="s">
        <v>1014</v>
      </c>
      <c r="C941" s="1">
        <v>45341</v>
      </c>
      <c r="D941" t="s">
        <v>28</v>
      </c>
      <c r="E941" t="s">
        <v>40</v>
      </c>
      <c r="F941" t="s">
        <v>24</v>
      </c>
      <c r="G941" t="s">
        <v>36</v>
      </c>
      <c r="H941" t="s">
        <v>37</v>
      </c>
      <c r="I941" t="s">
        <v>20</v>
      </c>
      <c r="J941">
        <v>2</v>
      </c>
      <c r="K941">
        <v>485</v>
      </c>
      <c r="L941">
        <v>970</v>
      </c>
      <c r="M941">
        <v>51</v>
      </c>
      <c r="N941" t="s">
        <v>21</v>
      </c>
      <c r="O941">
        <v>3.1</v>
      </c>
      <c r="P941" s="2">
        <f>EOMONTH(Table1[[#This Row],[Order_Date]],0)</f>
        <v>45351</v>
      </c>
      <c r="Q941" s="3">
        <f>WEEKNUM(Table1[[#This Row],[Order_Date]])</f>
        <v>8</v>
      </c>
      <c r="R941">
        <f>YEAR(Table1[[#This Row],[Order_Date]])</f>
        <v>2024</v>
      </c>
      <c r="S941" t="str">
        <f>IF(Table1[[#This Row],[Quantity]]&gt;=3,"Promo","Regular")</f>
        <v>Regular</v>
      </c>
    </row>
    <row r="942" spans="1:19" x14ac:dyDescent="0.35">
      <c r="A942" t="s">
        <v>2079</v>
      </c>
      <c r="B942" t="s">
        <v>1015</v>
      </c>
      <c r="C942" s="1">
        <v>45338</v>
      </c>
      <c r="D942" t="s">
        <v>43</v>
      </c>
      <c r="E942" t="s">
        <v>93</v>
      </c>
      <c r="F942" t="s">
        <v>30</v>
      </c>
      <c r="G942" t="s">
        <v>18</v>
      </c>
      <c r="H942" t="s">
        <v>37</v>
      </c>
      <c r="I942" t="s">
        <v>20</v>
      </c>
      <c r="J942">
        <v>1</v>
      </c>
      <c r="K942">
        <v>321</v>
      </c>
      <c r="L942">
        <v>321</v>
      </c>
      <c r="M942">
        <v>33</v>
      </c>
      <c r="N942" t="s">
        <v>33</v>
      </c>
      <c r="O942">
        <v>4.9000000000000004</v>
      </c>
      <c r="P942" s="2">
        <f>EOMONTH(Table1[[#This Row],[Order_Date]],0)</f>
        <v>45351</v>
      </c>
      <c r="Q942" s="3">
        <f>WEEKNUM(Table1[[#This Row],[Order_Date]])</f>
        <v>7</v>
      </c>
      <c r="R942">
        <f>YEAR(Table1[[#This Row],[Order_Date]])</f>
        <v>2024</v>
      </c>
      <c r="S942" t="str">
        <f>IF(Table1[[#This Row],[Quantity]]&gt;=3,"Promo","Regular")</f>
        <v>Regular</v>
      </c>
    </row>
    <row r="943" spans="1:19" x14ac:dyDescent="0.35">
      <c r="A943" t="s">
        <v>2080</v>
      </c>
      <c r="B943" t="s">
        <v>1016</v>
      </c>
      <c r="C943" s="1">
        <v>45547</v>
      </c>
      <c r="D943" t="s">
        <v>57</v>
      </c>
      <c r="E943" t="s">
        <v>75</v>
      </c>
      <c r="F943" t="s">
        <v>65</v>
      </c>
      <c r="G943" t="s">
        <v>36</v>
      </c>
      <c r="H943" t="s">
        <v>66</v>
      </c>
      <c r="I943" t="s">
        <v>20</v>
      </c>
      <c r="J943">
        <v>2</v>
      </c>
      <c r="K943">
        <v>205</v>
      </c>
      <c r="L943">
        <v>410</v>
      </c>
      <c r="M943">
        <v>36</v>
      </c>
      <c r="N943" t="s">
        <v>21</v>
      </c>
      <c r="O943">
        <v>4.3</v>
      </c>
      <c r="P943" s="2">
        <f>EOMONTH(Table1[[#This Row],[Order_Date]],0)</f>
        <v>45565</v>
      </c>
      <c r="Q943" s="3">
        <f>WEEKNUM(Table1[[#This Row],[Order_Date]])</f>
        <v>37</v>
      </c>
      <c r="R943">
        <f>YEAR(Table1[[#This Row],[Order_Date]])</f>
        <v>2024</v>
      </c>
      <c r="S943" t="str">
        <f>IF(Table1[[#This Row],[Quantity]]&gt;=3,"Promo","Regular")</f>
        <v>Regular</v>
      </c>
    </row>
    <row r="944" spans="1:19" x14ac:dyDescent="0.35">
      <c r="A944" t="s">
        <v>2080</v>
      </c>
      <c r="B944" t="s">
        <v>1017</v>
      </c>
      <c r="C944" s="1">
        <v>45591</v>
      </c>
      <c r="D944" t="s">
        <v>28</v>
      </c>
      <c r="E944" t="s">
        <v>77</v>
      </c>
      <c r="F944" t="s">
        <v>69</v>
      </c>
      <c r="G944" t="s">
        <v>18</v>
      </c>
      <c r="H944" t="s">
        <v>26</v>
      </c>
      <c r="I944" t="s">
        <v>20</v>
      </c>
      <c r="J944">
        <v>4</v>
      </c>
      <c r="K944">
        <v>295</v>
      </c>
      <c r="L944">
        <v>1180</v>
      </c>
      <c r="M944">
        <v>36</v>
      </c>
      <c r="N944" t="s">
        <v>21</v>
      </c>
      <c r="O944">
        <v>3.1</v>
      </c>
      <c r="P944" s="2">
        <f>EOMONTH(Table1[[#This Row],[Order_Date]],0)</f>
        <v>45596</v>
      </c>
      <c r="Q944" s="3">
        <f>WEEKNUM(Table1[[#This Row],[Order_Date]])</f>
        <v>43</v>
      </c>
      <c r="R944">
        <f>YEAR(Table1[[#This Row],[Order_Date]])</f>
        <v>2024</v>
      </c>
      <c r="S944" t="str">
        <f>IF(Table1[[#This Row],[Quantity]]&gt;=3,"Promo","Regular")</f>
        <v>Promo</v>
      </c>
    </row>
    <row r="945" spans="1:19" x14ac:dyDescent="0.35">
      <c r="A945" t="s">
        <v>2081</v>
      </c>
      <c r="B945" t="s">
        <v>1018</v>
      </c>
      <c r="C945" s="1">
        <v>45504</v>
      </c>
      <c r="D945" t="s">
        <v>28</v>
      </c>
      <c r="E945" t="s">
        <v>77</v>
      </c>
      <c r="F945" t="s">
        <v>45</v>
      </c>
      <c r="G945" t="s">
        <v>46</v>
      </c>
      <c r="H945" t="s">
        <v>37</v>
      </c>
      <c r="I945" t="s">
        <v>20</v>
      </c>
      <c r="J945">
        <v>4</v>
      </c>
      <c r="K945">
        <v>133</v>
      </c>
      <c r="L945">
        <v>532</v>
      </c>
      <c r="M945">
        <v>58</v>
      </c>
      <c r="N945" t="s">
        <v>21</v>
      </c>
      <c r="O945">
        <v>3.3</v>
      </c>
      <c r="P945" s="2">
        <f>EOMONTH(Table1[[#This Row],[Order_Date]],0)</f>
        <v>45504</v>
      </c>
      <c r="Q945" s="3">
        <f>WEEKNUM(Table1[[#This Row],[Order_Date]])</f>
        <v>31</v>
      </c>
      <c r="R945">
        <f>YEAR(Table1[[#This Row],[Order_Date]])</f>
        <v>2024</v>
      </c>
      <c r="S945" t="str">
        <f>IF(Table1[[#This Row],[Quantity]]&gt;=3,"Promo","Regular")</f>
        <v>Promo</v>
      </c>
    </row>
    <row r="946" spans="1:19" x14ac:dyDescent="0.35">
      <c r="A946" t="s">
        <v>2081</v>
      </c>
      <c r="B946" t="s">
        <v>1019</v>
      </c>
      <c r="C946" s="1">
        <v>45302</v>
      </c>
      <c r="D946" t="s">
        <v>57</v>
      </c>
      <c r="E946" t="s">
        <v>105</v>
      </c>
      <c r="F946" t="s">
        <v>45</v>
      </c>
      <c r="G946" t="s">
        <v>25</v>
      </c>
      <c r="H946" t="s">
        <v>37</v>
      </c>
      <c r="I946" t="s">
        <v>20</v>
      </c>
      <c r="J946">
        <v>2</v>
      </c>
      <c r="K946">
        <v>323</v>
      </c>
      <c r="L946">
        <v>646</v>
      </c>
      <c r="M946">
        <v>35</v>
      </c>
      <c r="N946" t="s">
        <v>21</v>
      </c>
      <c r="O946">
        <v>4.8</v>
      </c>
      <c r="P946" s="2">
        <f>EOMONTH(Table1[[#This Row],[Order_Date]],0)</f>
        <v>45322</v>
      </c>
      <c r="Q946" s="3">
        <f>WEEKNUM(Table1[[#This Row],[Order_Date]])</f>
        <v>2</v>
      </c>
      <c r="R946">
        <f>YEAR(Table1[[#This Row],[Order_Date]])</f>
        <v>2024</v>
      </c>
      <c r="S946" t="str">
        <f>IF(Table1[[#This Row],[Quantity]]&gt;=3,"Promo","Regular")</f>
        <v>Regular</v>
      </c>
    </row>
    <row r="947" spans="1:19" x14ac:dyDescent="0.35">
      <c r="A947" t="s">
        <v>2081</v>
      </c>
      <c r="B947" t="s">
        <v>1020</v>
      </c>
      <c r="C947" s="1">
        <v>45554</v>
      </c>
      <c r="D947" t="s">
        <v>15</v>
      </c>
      <c r="E947" t="s">
        <v>95</v>
      </c>
      <c r="F947" t="s">
        <v>65</v>
      </c>
      <c r="G947" t="s">
        <v>46</v>
      </c>
      <c r="H947" t="s">
        <v>59</v>
      </c>
      <c r="I947" t="s">
        <v>60</v>
      </c>
      <c r="J947">
        <v>5</v>
      </c>
      <c r="K947">
        <v>169</v>
      </c>
      <c r="L947">
        <v>845</v>
      </c>
      <c r="M947">
        <v>60</v>
      </c>
      <c r="N947" t="s">
        <v>38</v>
      </c>
      <c r="O947">
        <v>4.2</v>
      </c>
      <c r="P947" s="2">
        <f>EOMONTH(Table1[[#This Row],[Order_Date]],0)</f>
        <v>45565</v>
      </c>
      <c r="Q947" s="3">
        <f>WEEKNUM(Table1[[#This Row],[Order_Date]])</f>
        <v>38</v>
      </c>
      <c r="R947">
        <f>YEAR(Table1[[#This Row],[Order_Date]])</f>
        <v>2024</v>
      </c>
      <c r="S947" t="str">
        <f>IF(Table1[[#This Row],[Quantity]]&gt;=3,"Promo","Regular")</f>
        <v>Promo</v>
      </c>
    </row>
    <row r="948" spans="1:19" x14ac:dyDescent="0.35">
      <c r="A948" t="s">
        <v>2082</v>
      </c>
      <c r="B948" t="s">
        <v>1021</v>
      </c>
      <c r="C948" s="1">
        <v>45378</v>
      </c>
      <c r="D948" t="s">
        <v>28</v>
      </c>
      <c r="E948" t="s">
        <v>77</v>
      </c>
      <c r="F948" t="s">
        <v>30</v>
      </c>
      <c r="G948" t="s">
        <v>18</v>
      </c>
      <c r="H948" t="s">
        <v>50</v>
      </c>
      <c r="I948" t="s">
        <v>20</v>
      </c>
      <c r="J948">
        <v>3</v>
      </c>
      <c r="K948">
        <v>105</v>
      </c>
      <c r="L948">
        <v>315</v>
      </c>
      <c r="M948">
        <v>24</v>
      </c>
      <c r="N948" t="s">
        <v>21</v>
      </c>
      <c r="O948">
        <v>4.5</v>
      </c>
      <c r="P948" s="2">
        <f>EOMONTH(Table1[[#This Row],[Order_Date]],0)</f>
        <v>45382</v>
      </c>
      <c r="Q948" s="3">
        <f>WEEKNUM(Table1[[#This Row],[Order_Date]])</f>
        <v>13</v>
      </c>
      <c r="R948">
        <f>YEAR(Table1[[#This Row],[Order_Date]])</f>
        <v>2024</v>
      </c>
      <c r="S948" t="str">
        <f>IF(Table1[[#This Row],[Quantity]]&gt;=3,"Promo","Regular")</f>
        <v>Promo</v>
      </c>
    </row>
    <row r="949" spans="1:19" x14ac:dyDescent="0.35">
      <c r="A949" t="s">
        <v>2082</v>
      </c>
      <c r="B949" t="s">
        <v>1022</v>
      </c>
      <c r="C949" s="1">
        <v>45391</v>
      </c>
      <c r="D949" t="s">
        <v>57</v>
      </c>
      <c r="E949" t="s">
        <v>105</v>
      </c>
      <c r="F949" t="s">
        <v>72</v>
      </c>
      <c r="G949" t="s">
        <v>25</v>
      </c>
      <c r="H949" t="s">
        <v>26</v>
      </c>
      <c r="I949" t="s">
        <v>20</v>
      </c>
      <c r="J949">
        <v>2</v>
      </c>
      <c r="K949">
        <v>356</v>
      </c>
      <c r="L949">
        <v>712</v>
      </c>
      <c r="M949">
        <v>45</v>
      </c>
      <c r="N949" t="s">
        <v>38</v>
      </c>
      <c r="O949">
        <v>3.3</v>
      </c>
      <c r="P949" s="2">
        <f>EOMONTH(Table1[[#This Row],[Order_Date]],0)</f>
        <v>45412</v>
      </c>
      <c r="Q949" s="3">
        <f>WEEKNUM(Table1[[#This Row],[Order_Date]])</f>
        <v>15</v>
      </c>
      <c r="R949">
        <f>YEAR(Table1[[#This Row],[Order_Date]])</f>
        <v>2024</v>
      </c>
      <c r="S949" t="str">
        <f>IF(Table1[[#This Row],[Quantity]]&gt;=3,"Promo","Regular")</f>
        <v>Regular</v>
      </c>
    </row>
    <row r="950" spans="1:19" x14ac:dyDescent="0.35">
      <c r="A950" t="s">
        <v>2082</v>
      </c>
      <c r="B950" t="s">
        <v>1023</v>
      </c>
      <c r="C950" s="1">
        <v>45311</v>
      </c>
      <c r="D950" t="s">
        <v>15</v>
      </c>
      <c r="E950" t="s">
        <v>103</v>
      </c>
      <c r="F950" t="s">
        <v>72</v>
      </c>
      <c r="G950" t="s">
        <v>36</v>
      </c>
      <c r="H950" t="s">
        <v>32</v>
      </c>
      <c r="I950" t="s">
        <v>20</v>
      </c>
      <c r="J950">
        <v>3</v>
      </c>
      <c r="K950">
        <v>224</v>
      </c>
      <c r="L950">
        <v>672</v>
      </c>
      <c r="M950">
        <v>22</v>
      </c>
      <c r="N950" t="s">
        <v>38</v>
      </c>
      <c r="O950">
        <v>4.3</v>
      </c>
      <c r="P950" s="2">
        <f>EOMONTH(Table1[[#This Row],[Order_Date]],0)</f>
        <v>45322</v>
      </c>
      <c r="Q950" s="3">
        <f>WEEKNUM(Table1[[#This Row],[Order_Date]])</f>
        <v>3</v>
      </c>
      <c r="R950">
        <f>YEAR(Table1[[#This Row],[Order_Date]])</f>
        <v>2024</v>
      </c>
      <c r="S950" t="str">
        <f>IF(Table1[[#This Row],[Quantity]]&gt;=3,"Promo","Regular")</f>
        <v>Promo</v>
      </c>
    </row>
    <row r="951" spans="1:19" x14ac:dyDescent="0.35">
      <c r="A951" t="s">
        <v>2082</v>
      </c>
      <c r="B951" t="s">
        <v>1024</v>
      </c>
      <c r="C951" s="1">
        <v>45470</v>
      </c>
      <c r="D951" t="s">
        <v>57</v>
      </c>
      <c r="E951" t="s">
        <v>105</v>
      </c>
      <c r="F951" t="s">
        <v>69</v>
      </c>
      <c r="G951" t="s">
        <v>36</v>
      </c>
      <c r="H951" t="s">
        <v>59</v>
      </c>
      <c r="I951" t="s">
        <v>60</v>
      </c>
      <c r="J951">
        <v>2</v>
      </c>
      <c r="K951">
        <v>239</v>
      </c>
      <c r="L951">
        <v>478</v>
      </c>
      <c r="M951">
        <v>26</v>
      </c>
      <c r="N951" t="s">
        <v>21</v>
      </c>
      <c r="O951">
        <v>4.9000000000000004</v>
      </c>
      <c r="P951" s="2">
        <f>EOMONTH(Table1[[#This Row],[Order_Date]],0)</f>
        <v>45473</v>
      </c>
      <c r="Q951" s="3">
        <f>WEEKNUM(Table1[[#This Row],[Order_Date]])</f>
        <v>26</v>
      </c>
      <c r="R951">
        <f>YEAR(Table1[[#This Row],[Order_Date]])</f>
        <v>2024</v>
      </c>
      <c r="S951" t="str">
        <f>IF(Table1[[#This Row],[Quantity]]&gt;=3,"Promo","Regular")</f>
        <v>Regular</v>
      </c>
    </row>
    <row r="952" spans="1:19" x14ac:dyDescent="0.35">
      <c r="A952" t="s">
        <v>2082</v>
      </c>
      <c r="B952" t="s">
        <v>1025</v>
      </c>
      <c r="C952" s="1">
        <v>45533</v>
      </c>
      <c r="D952" t="s">
        <v>15</v>
      </c>
      <c r="E952" t="s">
        <v>103</v>
      </c>
      <c r="F952" t="s">
        <v>30</v>
      </c>
      <c r="G952" t="s">
        <v>18</v>
      </c>
      <c r="H952" t="s">
        <v>19</v>
      </c>
      <c r="I952" t="s">
        <v>20</v>
      </c>
      <c r="J952">
        <v>5</v>
      </c>
      <c r="K952">
        <v>303</v>
      </c>
      <c r="L952">
        <v>1515</v>
      </c>
      <c r="M952">
        <v>43</v>
      </c>
      <c r="N952" t="s">
        <v>33</v>
      </c>
      <c r="O952">
        <v>3.1</v>
      </c>
      <c r="P952" s="2">
        <f>EOMONTH(Table1[[#This Row],[Order_Date]],0)</f>
        <v>45535</v>
      </c>
      <c r="Q952" s="3">
        <f>WEEKNUM(Table1[[#This Row],[Order_Date]])</f>
        <v>35</v>
      </c>
      <c r="R952">
        <f>YEAR(Table1[[#This Row],[Order_Date]])</f>
        <v>2024</v>
      </c>
      <c r="S952" t="str">
        <f>IF(Table1[[#This Row],[Quantity]]&gt;=3,"Promo","Regular")</f>
        <v>Promo</v>
      </c>
    </row>
    <row r="953" spans="1:19" x14ac:dyDescent="0.35">
      <c r="A953" t="s">
        <v>2083</v>
      </c>
      <c r="B953" t="s">
        <v>1026</v>
      </c>
      <c r="C953" s="1">
        <v>45446</v>
      </c>
      <c r="D953" t="s">
        <v>15</v>
      </c>
      <c r="E953" t="s">
        <v>103</v>
      </c>
      <c r="F953" t="s">
        <v>65</v>
      </c>
      <c r="G953" t="s">
        <v>73</v>
      </c>
      <c r="H953" t="s">
        <v>53</v>
      </c>
      <c r="I953" t="s">
        <v>20</v>
      </c>
      <c r="J953">
        <v>3</v>
      </c>
      <c r="K953">
        <v>384</v>
      </c>
      <c r="L953">
        <v>1152</v>
      </c>
      <c r="M953">
        <v>38</v>
      </c>
      <c r="N953" t="s">
        <v>38</v>
      </c>
      <c r="O953">
        <v>3.3</v>
      </c>
      <c r="P953" s="2">
        <f>EOMONTH(Table1[[#This Row],[Order_Date]],0)</f>
        <v>45473</v>
      </c>
      <c r="Q953" s="3">
        <f>WEEKNUM(Table1[[#This Row],[Order_Date]])</f>
        <v>23</v>
      </c>
      <c r="R953">
        <f>YEAR(Table1[[#This Row],[Order_Date]])</f>
        <v>2024</v>
      </c>
      <c r="S953" t="str">
        <f>IF(Table1[[#This Row],[Quantity]]&gt;=3,"Promo","Regular")</f>
        <v>Promo</v>
      </c>
    </row>
    <row r="954" spans="1:19" x14ac:dyDescent="0.35">
      <c r="A954" t="s">
        <v>2083</v>
      </c>
      <c r="B954" t="s">
        <v>1027</v>
      </c>
      <c r="C954" s="1">
        <v>45522</v>
      </c>
      <c r="D954" t="s">
        <v>43</v>
      </c>
      <c r="E954" t="s">
        <v>93</v>
      </c>
      <c r="F954" t="s">
        <v>17</v>
      </c>
      <c r="G954" t="s">
        <v>36</v>
      </c>
      <c r="H954" t="s">
        <v>19</v>
      </c>
      <c r="I954" t="s">
        <v>20</v>
      </c>
      <c r="J954">
        <v>4</v>
      </c>
      <c r="K954">
        <v>200</v>
      </c>
      <c r="L954">
        <v>800</v>
      </c>
      <c r="M954">
        <v>47</v>
      </c>
      <c r="N954" t="s">
        <v>21</v>
      </c>
      <c r="O954">
        <v>3</v>
      </c>
      <c r="P954" s="2">
        <f>EOMONTH(Table1[[#This Row],[Order_Date]],0)</f>
        <v>45535</v>
      </c>
      <c r="Q954" s="3">
        <f>WEEKNUM(Table1[[#This Row],[Order_Date]])</f>
        <v>34</v>
      </c>
      <c r="R954">
        <f>YEAR(Table1[[#This Row],[Order_Date]])</f>
        <v>2024</v>
      </c>
      <c r="S954" t="str">
        <f>IF(Table1[[#This Row],[Quantity]]&gt;=3,"Promo","Regular")</f>
        <v>Promo</v>
      </c>
    </row>
    <row r="955" spans="1:19" x14ac:dyDescent="0.35">
      <c r="A955" t="s">
        <v>2083</v>
      </c>
      <c r="B955" t="s">
        <v>1028</v>
      </c>
      <c r="C955" s="1">
        <v>45557</v>
      </c>
      <c r="D955" t="s">
        <v>28</v>
      </c>
      <c r="E955" t="s">
        <v>98</v>
      </c>
      <c r="F955" t="s">
        <v>35</v>
      </c>
      <c r="G955" t="s">
        <v>36</v>
      </c>
      <c r="H955" t="s">
        <v>32</v>
      </c>
      <c r="I955" t="s">
        <v>20</v>
      </c>
      <c r="J955">
        <v>2</v>
      </c>
      <c r="K955">
        <v>161</v>
      </c>
      <c r="L955">
        <v>322</v>
      </c>
      <c r="M955">
        <v>54</v>
      </c>
      <c r="N955" t="s">
        <v>21</v>
      </c>
      <c r="O955">
        <v>4.5999999999999996</v>
      </c>
      <c r="P955" s="2">
        <f>EOMONTH(Table1[[#This Row],[Order_Date]],0)</f>
        <v>45565</v>
      </c>
      <c r="Q955" s="3">
        <f>WEEKNUM(Table1[[#This Row],[Order_Date]])</f>
        <v>39</v>
      </c>
      <c r="R955">
        <f>YEAR(Table1[[#This Row],[Order_Date]])</f>
        <v>2024</v>
      </c>
      <c r="S955" t="str">
        <f>IF(Table1[[#This Row],[Quantity]]&gt;=3,"Promo","Regular")</f>
        <v>Regular</v>
      </c>
    </row>
    <row r="956" spans="1:19" x14ac:dyDescent="0.35">
      <c r="A956" t="s">
        <v>2083</v>
      </c>
      <c r="B956" t="s">
        <v>1029</v>
      </c>
      <c r="C956" s="1">
        <v>45294</v>
      </c>
      <c r="D956" t="s">
        <v>15</v>
      </c>
      <c r="E956" t="s">
        <v>16</v>
      </c>
      <c r="F956" t="s">
        <v>30</v>
      </c>
      <c r="G956" t="s">
        <v>46</v>
      </c>
      <c r="H956" t="s">
        <v>66</v>
      </c>
      <c r="I956" t="s">
        <v>20</v>
      </c>
      <c r="J956">
        <v>5</v>
      </c>
      <c r="K956">
        <v>365</v>
      </c>
      <c r="L956">
        <v>1825</v>
      </c>
      <c r="M956">
        <v>53</v>
      </c>
      <c r="N956" t="s">
        <v>38</v>
      </c>
      <c r="O956">
        <v>4.2</v>
      </c>
      <c r="P956" s="2">
        <f>EOMONTH(Table1[[#This Row],[Order_Date]],0)</f>
        <v>45322</v>
      </c>
      <c r="Q956" s="3">
        <f>WEEKNUM(Table1[[#This Row],[Order_Date]])</f>
        <v>1</v>
      </c>
      <c r="R956">
        <f>YEAR(Table1[[#This Row],[Order_Date]])</f>
        <v>2024</v>
      </c>
      <c r="S956" t="str">
        <f>IF(Table1[[#This Row],[Quantity]]&gt;=3,"Promo","Regular")</f>
        <v>Promo</v>
      </c>
    </row>
    <row r="957" spans="1:19" x14ac:dyDescent="0.35">
      <c r="A957" t="s">
        <v>2084</v>
      </c>
      <c r="B957" t="s">
        <v>1030</v>
      </c>
      <c r="C957" s="1">
        <v>45504</v>
      </c>
      <c r="D957" t="s">
        <v>28</v>
      </c>
      <c r="E957" t="s">
        <v>71</v>
      </c>
      <c r="F957" t="s">
        <v>35</v>
      </c>
      <c r="G957" t="s">
        <v>31</v>
      </c>
      <c r="H957" t="s">
        <v>50</v>
      </c>
      <c r="I957" t="s">
        <v>20</v>
      </c>
      <c r="J957">
        <v>3</v>
      </c>
      <c r="K957">
        <v>156</v>
      </c>
      <c r="L957">
        <v>468</v>
      </c>
      <c r="M957">
        <v>22</v>
      </c>
      <c r="N957" t="s">
        <v>38</v>
      </c>
      <c r="O957">
        <v>4.3</v>
      </c>
      <c r="P957" s="2">
        <f>EOMONTH(Table1[[#This Row],[Order_Date]],0)</f>
        <v>45504</v>
      </c>
      <c r="Q957" s="3">
        <f>WEEKNUM(Table1[[#This Row],[Order_Date]])</f>
        <v>31</v>
      </c>
      <c r="R957">
        <f>YEAR(Table1[[#This Row],[Order_Date]])</f>
        <v>2024</v>
      </c>
      <c r="S957" t="str">
        <f>IF(Table1[[#This Row],[Quantity]]&gt;=3,"Promo","Regular")</f>
        <v>Promo</v>
      </c>
    </row>
    <row r="958" spans="1:19" x14ac:dyDescent="0.35">
      <c r="A958" t="s">
        <v>2084</v>
      </c>
      <c r="B958" t="s">
        <v>1031</v>
      </c>
      <c r="C958" s="1">
        <v>45388</v>
      </c>
      <c r="D958" t="s">
        <v>28</v>
      </c>
      <c r="E958" t="s">
        <v>98</v>
      </c>
      <c r="F958" t="s">
        <v>24</v>
      </c>
      <c r="G958" t="s">
        <v>25</v>
      </c>
      <c r="H958" t="s">
        <v>37</v>
      </c>
      <c r="I958" t="s">
        <v>20</v>
      </c>
      <c r="J958">
        <v>2</v>
      </c>
      <c r="K958">
        <v>394</v>
      </c>
      <c r="L958">
        <v>788</v>
      </c>
      <c r="M958">
        <v>40</v>
      </c>
      <c r="N958" t="s">
        <v>21</v>
      </c>
      <c r="O958">
        <v>3.2</v>
      </c>
      <c r="P958" s="2">
        <f>EOMONTH(Table1[[#This Row],[Order_Date]],0)</f>
        <v>45412</v>
      </c>
      <c r="Q958" s="3">
        <f>WEEKNUM(Table1[[#This Row],[Order_Date]])</f>
        <v>14</v>
      </c>
      <c r="R958">
        <f>YEAR(Table1[[#This Row],[Order_Date]])</f>
        <v>2024</v>
      </c>
      <c r="S958" t="str">
        <f>IF(Table1[[#This Row],[Quantity]]&gt;=3,"Promo","Regular")</f>
        <v>Regular</v>
      </c>
    </row>
    <row r="959" spans="1:19" x14ac:dyDescent="0.35">
      <c r="A959" t="s">
        <v>2085</v>
      </c>
      <c r="B959" t="s">
        <v>1032</v>
      </c>
      <c r="C959" s="1">
        <v>45337</v>
      </c>
      <c r="D959" t="s">
        <v>15</v>
      </c>
      <c r="E959" t="s">
        <v>103</v>
      </c>
      <c r="F959" t="s">
        <v>17</v>
      </c>
      <c r="G959" t="s">
        <v>31</v>
      </c>
      <c r="H959" t="s">
        <v>53</v>
      </c>
      <c r="I959" t="s">
        <v>20</v>
      </c>
      <c r="J959">
        <v>2</v>
      </c>
      <c r="K959">
        <v>200</v>
      </c>
      <c r="L959">
        <v>400</v>
      </c>
      <c r="M959">
        <v>50</v>
      </c>
      <c r="N959" t="s">
        <v>33</v>
      </c>
      <c r="O959">
        <v>4.8</v>
      </c>
      <c r="P959" s="2">
        <f>EOMONTH(Table1[[#This Row],[Order_Date]],0)</f>
        <v>45351</v>
      </c>
      <c r="Q959" s="3">
        <f>WEEKNUM(Table1[[#This Row],[Order_Date]])</f>
        <v>7</v>
      </c>
      <c r="R959">
        <f>YEAR(Table1[[#This Row],[Order_Date]])</f>
        <v>2024</v>
      </c>
      <c r="S959" t="str">
        <f>IF(Table1[[#This Row],[Quantity]]&gt;=3,"Promo","Regular")</f>
        <v>Regular</v>
      </c>
    </row>
    <row r="960" spans="1:19" x14ac:dyDescent="0.35">
      <c r="A960" t="s">
        <v>2085</v>
      </c>
      <c r="B960" t="s">
        <v>1033</v>
      </c>
      <c r="C960" s="1">
        <v>45494</v>
      </c>
      <c r="D960" t="s">
        <v>28</v>
      </c>
      <c r="E960" t="s">
        <v>29</v>
      </c>
      <c r="F960" t="s">
        <v>17</v>
      </c>
      <c r="G960" t="s">
        <v>36</v>
      </c>
      <c r="H960" t="s">
        <v>53</v>
      </c>
      <c r="I960" t="s">
        <v>20</v>
      </c>
      <c r="J960">
        <v>1</v>
      </c>
      <c r="K960">
        <v>416</v>
      </c>
      <c r="L960">
        <v>416</v>
      </c>
      <c r="M960">
        <v>51</v>
      </c>
      <c r="N960" t="s">
        <v>38</v>
      </c>
      <c r="O960">
        <v>3.8</v>
      </c>
      <c r="P960" s="2">
        <f>EOMONTH(Table1[[#This Row],[Order_Date]],0)</f>
        <v>45504</v>
      </c>
      <c r="Q960" s="3">
        <f>WEEKNUM(Table1[[#This Row],[Order_Date]])</f>
        <v>30</v>
      </c>
      <c r="R960">
        <f>YEAR(Table1[[#This Row],[Order_Date]])</f>
        <v>2024</v>
      </c>
      <c r="S960" t="str">
        <f>IF(Table1[[#This Row],[Quantity]]&gt;=3,"Promo","Regular")</f>
        <v>Regular</v>
      </c>
    </row>
    <row r="961" spans="1:19" x14ac:dyDescent="0.35">
      <c r="A961" t="s">
        <v>2085</v>
      </c>
      <c r="B961" t="s">
        <v>1034</v>
      </c>
      <c r="C961" s="1">
        <v>45454</v>
      </c>
      <c r="D961" t="s">
        <v>43</v>
      </c>
      <c r="E961" t="s">
        <v>110</v>
      </c>
      <c r="F961" t="s">
        <v>24</v>
      </c>
      <c r="G961" t="s">
        <v>25</v>
      </c>
      <c r="H961" t="s">
        <v>19</v>
      </c>
      <c r="I961" t="s">
        <v>20</v>
      </c>
      <c r="J961">
        <v>1</v>
      </c>
      <c r="K961">
        <v>180</v>
      </c>
      <c r="L961">
        <v>180</v>
      </c>
      <c r="M961">
        <v>51</v>
      </c>
      <c r="N961" t="s">
        <v>38</v>
      </c>
      <c r="O961">
        <v>4.4000000000000004</v>
      </c>
      <c r="P961" s="2">
        <f>EOMONTH(Table1[[#This Row],[Order_Date]],0)</f>
        <v>45473</v>
      </c>
      <c r="Q961" s="3">
        <f>WEEKNUM(Table1[[#This Row],[Order_Date]])</f>
        <v>24</v>
      </c>
      <c r="R961">
        <f>YEAR(Table1[[#This Row],[Order_Date]])</f>
        <v>2024</v>
      </c>
      <c r="S961" t="str">
        <f>IF(Table1[[#This Row],[Quantity]]&gt;=3,"Promo","Regular")</f>
        <v>Regular</v>
      </c>
    </row>
    <row r="962" spans="1:19" x14ac:dyDescent="0.35">
      <c r="A962" t="s">
        <v>2085</v>
      </c>
      <c r="B962" t="s">
        <v>1035</v>
      </c>
      <c r="C962" s="1">
        <v>45577</v>
      </c>
      <c r="D962" t="s">
        <v>57</v>
      </c>
      <c r="E962" t="s">
        <v>62</v>
      </c>
      <c r="F962" t="s">
        <v>85</v>
      </c>
      <c r="G962" t="s">
        <v>36</v>
      </c>
      <c r="H962" t="s">
        <v>120</v>
      </c>
      <c r="I962" t="s">
        <v>60</v>
      </c>
      <c r="J962">
        <v>3</v>
      </c>
      <c r="K962">
        <v>288</v>
      </c>
      <c r="L962">
        <v>864</v>
      </c>
      <c r="M962">
        <v>48</v>
      </c>
      <c r="N962" t="s">
        <v>21</v>
      </c>
      <c r="O962">
        <v>4.5</v>
      </c>
      <c r="P962" s="2">
        <f>EOMONTH(Table1[[#This Row],[Order_Date]],0)</f>
        <v>45596</v>
      </c>
      <c r="Q962" s="3">
        <f>WEEKNUM(Table1[[#This Row],[Order_Date]])</f>
        <v>41</v>
      </c>
      <c r="R962">
        <f>YEAR(Table1[[#This Row],[Order_Date]])</f>
        <v>2024</v>
      </c>
      <c r="S962" t="str">
        <f>IF(Table1[[#This Row],[Quantity]]&gt;=3,"Promo","Regular")</f>
        <v>Promo</v>
      </c>
    </row>
    <row r="963" spans="1:19" x14ac:dyDescent="0.35">
      <c r="A963" t="s">
        <v>2085</v>
      </c>
      <c r="B963" t="s">
        <v>1036</v>
      </c>
      <c r="C963" s="1">
        <v>45448</v>
      </c>
      <c r="D963" t="s">
        <v>43</v>
      </c>
      <c r="E963" t="s">
        <v>82</v>
      </c>
      <c r="F963" t="s">
        <v>45</v>
      </c>
      <c r="G963" t="s">
        <v>25</v>
      </c>
      <c r="H963" t="s">
        <v>59</v>
      </c>
      <c r="I963" t="s">
        <v>60</v>
      </c>
      <c r="J963">
        <v>4</v>
      </c>
      <c r="K963">
        <v>109</v>
      </c>
      <c r="L963">
        <v>436</v>
      </c>
      <c r="M963">
        <v>53</v>
      </c>
      <c r="N963" t="s">
        <v>33</v>
      </c>
      <c r="O963">
        <v>3.4</v>
      </c>
      <c r="P963" s="2">
        <f>EOMONTH(Table1[[#This Row],[Order_Date]],0)</f>
        <v>45473</v>
      </c>
      <c r="Q963" s="3">
        <f>WEEKNUM(Table1[[#This Row],[Order_Date]])</f>
        <v>23</v>
      </c>
      <c r="R963">
        <f>YEAR(Table1[[#This Row],[Order_Date]])</f>
        <v>2024</v>
      </c>
      <c r="S963" t="str">
        <f>IF(Table1[[#This Row],[Quantity]]&gt;=3,"Promo","Regular")</f>
        <v>Promo</v>
      </c>
    </row>
    <row r="964" spans="1:19" x14ac:dyDescent="0.35">
      <c r="A964" t="s">
        <v>2086</v>
      </c>
      <c r="B964" t="s">
        <v>1037</v>
      </c>
      <c r="C964" s="1">
        <v>45456</v>
      </c>
      <c r="D964" t="s">
        <v>28</v>
      </c>
      <c r="E964" t="s">
        <v>29</v>
      </c>
      <c r="F964" t="s">
        <v>41</v>
      </c>
      <c r="G964" t="s">
        <v>36</v>
      </c>
      <c r="H964" t="s">
        <v>59</v>
      </c>
      <c r="I964" t="s">
        <v>60</v>
      </c>
      <c r="J964">
        <v>3</v>
      </c>
      <c r="K964">
        <v>104</v>
      </c>
      <c r="L964">
        <v>312</v>
      </c>
      <c r="M964">
        <v>27</v>
      </c>
      <c r="N964" t="s">
        <v>38</v>
      </c>
      <c r="O964">
        <v>4.4000000000000004</v>
      </c>
      <c r="P964" s="2">
        <f>EOMONTH(Table1[[#This Row],[Order_Date]],0)</f>
        <v>45473</v>
      </c>
      <c r="Q964" s="3">
        <f>WEEKNUM(Table1[[#This Row],[Order_Date]])</f>
        <v>24</v>
      </c>
      <c r="R964">
        <f>YEAR(Table1[[#This Row],[Order_Date]])</f>
        <v>2024</v>
      </c>
      <c r="S964" t="str">
        <f>IF(Table1[[#This Row],[Quantity]]&gt;=3,"Promo","Regular")</f>
        <v>Promo</v>
      </c>
    </row>
    <row r="965" spans="1:19" x14ac:dyDescent="0.35">
      <c r="A965" t="s">
        <v>2086</v>
      </c>
      <c r="B965" t="s">
        <v>1038</v>
      </c>
      <c r="C965" s="1">
        <v>45569</v>
      </c>
      <c r="D965" t="s">
        <v>57</v>
      </c>
      <c r="E965" t="s">
        <v>105</v>
      </c>
      <c r="F965" t="s">
        <v>45</v>
      </c>
      <c r="G965" t="s">
        <v>18</v>
      </c>
      <c r="H965" t="s">
        <v>26</v>
      </c>
      <c r="I965" t="s">
        <v>20</v>
      </c>
      <c r="J965">
        <v>4</v>
      </c>
      <c r="K965">
        <v>225</v>
      </c>
      <c r="L965">
        <v>900</v>
      </c>
      <c r="M965">
        <v>25</v>
      </c>
      <c r="N965" t="s">
        <v>21</v>
      </c>
      <c r="O965">
        <v>3.8</v>
      </c>
      <c r="P965" s="2">
        <f>EOMONTH(Table1[[#This Row],[Order_Date]],0)</f>
        <v>45596</v>
      </c>
      <c r="Q965" s="3">
        <f>WEEKNUM(Table1[[#This Row],[Order_Date]])</f>
        <v>40</v>
      </c>
      <c r="R965">
        <f>YEAR(Table1[[#This Row],[Order_Date]])</f>
        <v>2024</v>
      </c>
      <c r="S965" t="str">
        <f>IF(Table1[[#This Row],[Quantity]]&gt;=3,"Promo","Regular")</f>
        <v>Promo</v>
      </c>
    </row>
    <row r="966" spans="1:19" x14ac:dyDescent="0.35">
      <c r="A966" t="s">
        <v>2086</v>
      </c>
      <c r="B966" t="s">
        <v>1039</v>
      </c>
      <c r="C966" s="1">
        <v>45357</v>
      </c>
      <c r="D966" t="s">
        <v>43</v>
      </c>
      <c r="E966" t="s">
        <v>110</v>
      </c>
      <c r="F966" t="s">
        <v>35</v>
      </c>
      <c r="G966" t="s">
        <v>36</v>
      </c>
      <c r="H966" t="s">
        <v>55</v>
      </c>
      <c r="I966" t="s">
        <v>20</v>
      </c>
      <c r="J966">
        <v>2</v>
      </c>
      <c r="K966">
        <v>106</v>
      </c>
      <c r="L966">
        <v>212</v>
      </c>
      <c r="M966">
        <v>55</v>
      </c>
      <c r="N966" t="s">
        <v>33</v>
      </c>
      <c r="O966">
        <v>4.5999999999999996</v>
      </c>
      <c r="P966" s="2">
        <f>EOMONTH(Table1[[#This Row],[Order_Date]],0)</f>
        <v>45382</v>
      </c>
      <c r="Q966" s="3">
        <f>WEEKNUM(Table1[[#This Row],[Order_Date]])</f>
        <v>10</v>
      </c>
      <c r="R966">
        <f>YEAR(Table1[[#This Row],[Order_Date]])</f>
        <v>2024</v>
      </c>
      <c r="S966" t="str">
        <f>IF(Table1[[#This Row],[Quantity]]&gt;=3,"Promo","Regular")</f>
        <v>Regular</v>
      </c>
    </row>
    <row r="967" spans="1:19" x14ac:dyDescent="0.35">
      <c r="A967" t="s">
        <v>2086</v>
      </c>
      <c r="B967" t="s">
        <v>1040</v>
      </c>
      <c r="C967" s="1">
        <v>45349</v>
      </c>
      <c r="D967" t="s">
        <v>43</v>
      </c>
      <c r="E967" t="s">
        <v>110</v>
      </c>
      <c r="F967" t="s">
        <v>45</v>
      </c>
      <c r="G967" t="s">
        <v>73</v>
      </c>
      <c r="H967" t="s">
        <v>53</v>
      </c>
      <c r="I967" t="s">
        <v>20</v>
      </c>
      <c r="J967">
        <v>5</v>
      </c>
      <c r="K967">
        <v>337</v>
      </c>
      <c r="L967">
        <v>1685</v>
      </c>
      <c r="M967">
        <v>20</v>
      </c>
      <c r="N967" t="s">
        <v>33</v>
      </c>
      <c r="O967">
        <v>3.1</v>
      </c>
      <c r="P967" s="2">
        <f>EOMONTH(Table1[[#This Row],[Order_Date]],0)</f>
        <v>45351</v>
      </c>
      <c r="Q967" s="3">
        <f>WEEKNUM(Table1[[#This Row],[Order_Date]])</f>
        <v>9</v>
      </c>
      <c r="R967">
        <f>YEAR(Table1[[#This Row],[Order_Date]])</f>
        <v>2024</v>
      </c>
      <c r="S967" t="str">
        <f>IF(Table1[[#This Row],[Quantity]]&gt;=3,"Promo","Regular")</f>
        <v>Promo</v>
      </c>
    </row>
    <row r="968" spans="1:19" x14ac:dyDescent="0.35">
      <c r="A968" t="s">
        <v>2086</v>
      </c>
      <c r="B968" t="s">
        <v>1041</v>
      </c>
      <c r="C968" s="1">
        <v>45324</v>
      </c>
      <c r="D968" t="s">
        <v>48</v>
      </c>
      <c r="E968" t="s">
        <v>132</v>
      </c>
      <c r="F968" t="s">
        <v>85</v>
      </c>
      <c r="G968" t="s">
        <v>25</v>
      </c>
      <c r="H968" t="s">
        <v>19</v>
      </c>
      <c r="I968" t="s">
        <v>20</v>
      </c>
      <c r="J968">
        <v>3</v>
      </c>
      <c r="K968">
        <v>332</v>
      </c>
      <c r="L968">
        <v>996</v>
      </c>
      <c r="M968">
        <v>35</v>
      </c>
      <c r="N968" t="s">
        <v>21</v>
      </c>
      <c r="O968">
        <v>3</v>
      </c>
      <c r="P968" s="2">
        <f>EOMONTH(Table1[[#This Row],[Order_Date]],0)</f>
        <v>45351</v>
      </c>
      <c r="Q968" s="3">
        <f>WEEKNUM(Table1[[#This Row],[Order_Date]])</f>
        <v>5</v>
      </c>
      <c r="R968">
        <f>YEAR(Table1[[#This Row],[Order_Date]])</f>
        <v>2024</v>
      </c>
      <c r="S968" t="str">
        <f>IF(Table1[[#This Row],[Quantity]]&gt;=3,"Promo","Regular")</f>
        <v>Promo</v>
      </c>
    </row>
    <row r="969" spans="1:19" x14ac:dyDescent="0.35">
      <c r="A969" t="s">
        <v>2087</v>
      </c>
      <c r="B969" t="s">
        <v>1042</v>
      </c>
      <c r="C969" s="1">
        <v>45426</v>
      </c>
      <c r="D969" t="s">
        <v>48</v>
      </c>
      <c r="E969" t="s">
        <v>127</v>
      </c>
      <c r="F969" t="s">
        <v>65</v>
      </c>
      <c r="G969" t="s">
        <v>25</v>
      </c>
      <c r="H969" t="s">
        <v>120</v>
      </c>
      <c r="I969" t="s">
        <v>60</v>
      </c>
      <c r="J969">
        <v>1</v>
      </c>
      <c r="K969">
        <v>344</v>
      </c>
      <c r="L969">
        <v>344</v>
      </c>
      <c r="M969">
        <v>26</v>
      </c>
      <c r="N969" t="s">
        <v>33</v>
      </c>
      <c r="O969">
        <v>4</v>
      </c>
      <c r="P969" s="2">
        <f>EOMONTH(Table1[[#This Row],[Order_Date]],0)</f>
        <v>45443</v>
      </c>
      <c r="Q969" s="3">
        <f>WEEKNUM(Table1[[#This Row],[Order_Date]])</f>
        <v>20</v>
      </c>
      <c r="R969">
        <f>YEAR(Table1[[#This Row],[Order_Date]])</f>
        <v>2024</v>
      </c>
      <c r="S969" t="str">
        <f>IF(Table1[[#This Row],[Quantity]]&gt;=3,"Promo","Regular")</f>
        <v>Regular</v>
      </c>
    </row>
    <row r="970" spans="1:19" x14ac:dyDescent="0.35">
      <c r="A970" t="s">
        <v>2087</v>
      </c>
      <c r="B970" t="s">
        <v>1043</v>
      </c>
      <c r="C970" s="1">
        <v>45390</v>
      </c>
      <c r="D970" t="s">
        <v>15</v>
      </c>
      <c r="E970" t="s">
        <v>16</v>
      </c>
      <c r="F970" t="s">
        <v>17</v>
      </c>
      <c r="G970" t="s">
        <v>73</v>
      </c>
      <c r="H970" t="s">
        <v>55</v>
      </c>
      <c r="I970" t="s">
        <v>20</v>
      </c>
      <c r="J970">
        <v>1</v>
      </c>
      <c r="K970">
        <v>408</v>
      </c>
      <c r="L970">
        <v>408</v>
      </c>
      <c r="M970">
        <v>56</v>
      </c>
      <c r="N970" t="s">
        <v>21</v>
      </c>
      <c r="O970">
        <v>3.6</v>
      </c>
      <c r="P970" s="2">
        <f>EOMONTH(Table1[[#This Row],[Order_Date]],0)</f>
        <v>45412</v>
      </c>
      <c r="Q970" s="3">
        <f>WEEKNUM(Table1[[#This Row],[Order_Date]])</f>
        <v>15</v>
      </c>
      <c r="R970">
        <f>YEAR(Table1[[#This Row],[Order_Date]])</f>
        <v>2024</v>
      </c>
      <c r="S970" t="str">
        <f>IF(Table1[[#This Row],[Quantity]]&gt;=3,"Promo","Regular")</f>
        <v>Regular</v>
      </c>
    </row>
    <row r="971" spans="1:19" x14ac:dyDescent="0.35">
      <c r="A971" t="s">
        <v>2087</v>
      </c>
      <c r="B971" t="s">
        <v>1044</v>
      </c>
      <c r="C971" s="1">
        <v>45568</v>
      </c>
      <c r="D971" t="s">
        <v>15</v>
      </c>
      <c r="E971" t="s">
        <v>16</v>
      </c>
      <c r="F971" t="s">
        <v>65</v>
      </c>
      <c r="G971" t="s">
        <v>46</v>
      </c>
      <c r="H971" t="s">
        <v>32</v>
      </c>
      <c r="I971" t="s">
        <v>20</v>
      </c>
      <c r="J971">
        <v>5</v>
      </c>
      <c r="K971">
        <v>187</v>
      </c>
      <c r="L971">
        <v>935</v>
      </c>
      <c r="M971">
        <v>36</v>
      </c>
      <c r="N971" t="s">
        <v>33</v>
      </c>
      <c r="O971">
        <v>4.4000000000000004</v>
      </c>
      <c r="P971" s="2">
        <f>EOMONTH(Table1[[#This Row],[Order_Date]],0)</f>
        <v>45596</v>
      </c>
      <c r="Q971" s="3">
        <f>WEEKNUM(Table1[[#This Row],[Order_Date]])</f>
        <v>40</v>
      </c>
      <c r="R971">
        <f>YEAR(Table1[[#This Row],[Order_Date]])</f>
        <v>2024</v>
      </c>
      <c r="S971" t="str">
        <f>IF(Table1[[#This Row],[Quantity]]&gt;=3,"Promo","Regular")</f>
        <v>Promo</v>
      </c>
    </row>
    <row r="972" spans="1:19" x14ac:dyDescent="0.35">
      <c r="A972" t="s">
        <v>2087</v>
      </c>
      <c r="B972" t="s">
        <v>1045</v>
      </c>
      <c r="C972" s="1">
        <v>45354</v>
      </c>
      <c r="D972" t="s">
        <v>15</v>
      </c>
      <c r="E972" t="s">
        <v>95</v>
      </c>
      <c r="F972" t="s">
        <v>41</v>
      </c>
      <c r="G972" t="s">
        <v>36</v>
      </c>
      <c r="H972" t="s">
        <v>32</v>
      </c>
      <c r="I972" t="s">
        <v>20</v>
      </c>
      <c r="J972">
        <v>4</v>
      </c>
      <c r="K972">
        <v>222</v>
      </c>
      <c r="L972">
        <v>888</v>
      </c>
      <c r="M972">
        <v>31</v>
      </c>
      <c r="N972" t="s">
        <v>21</v>
      </c>
      <c r="O972">
        <v>4.8</v>
      </c>
      <c r="P972" s="2">
        <f>EOMONTH(Table1[[#This Row],[Order_Date]],0)</f>
        <v>45382</v>
      </c>
      <c r="Q972" s="3">
        <f>WEEKNUM(Table1[[#This Row],[Order_Date]])</f>
        <v>10</v>
      </c>
      <c r="R972">
        <f>YEAR(Table1[[#This Row],[Order_Date]])</f>
        <v>2024</v>
      </c>
      <c r="S972" t="str">
        <f>IF(Table1[[#This Row],[Quantity]]&gt;=3,"Promo","Regular")</f>
        <v>Promo</v>
      </c>
    </row>
    <row r="973" spans="1:19" x14ac:dyDescent="0.35">
      <c r="A973" t="s">
        <v>2087</v>
      </c>
      <c r="B973" t="s">
        <v>1046</v>
      </c>
      <c r="C973" s="1">
        <v>45327</v>
      </c>
      <c r="D973" t="s">
        <v>57</v>
      </c>
      <c r="E973" t="s">
        <v>136</v>
      </c>
      <c r="F973" t="s">
        <v>65</v>
      </c>
      <c r="G973" t="s">
        <v>46</v>
      </c>
      <c r="H973" t="s">
        <v>26</v>
      </c>
      <c r="I973" t="s">
        <v>20</v>
      </c>
      <c r="J973">
        <v>1</v>
      </c>
      <c r="K973">
        <v>360</v>
      </c>
      <c r="L973">
        <v>360</v>
      </c>
      <c r="M973">
        <v>46</v>
      </c>
      <c r="N973" t="s">
        <v>21</v>
      </c>
      <c r="O973">
        <v>4</v>
      </c>
      <c r="P973" s="2">
        <f>EOMONTH(Table1[[#This Row],[Order_Date]],0)</f>
        <v>45351</v>
      </c>
      <c r="Q973" s="3">
        <f>WEEKNUM(Table1[[#This Row],[Order_Date]])</f>
        <v>6</v>
      </c>
      <c r="R973">
        <f>YEAR(Table1[[#This Row],[Order_Date]])</f>
        <v>2024</v>
      </c>
      <c r="S973" t="str">
        <f>IF(Table1[[#This Row],[Quantity]]&gt;=3,"Promo","Regular")</f>
        <v>Regular</v>
      </c>
    </row>
    <row r="974" spans="1:19" x14ac:dyDescent="0.35">
      <c r="A974" t="s">
        <v>2088</v>
      </c>
      <c r="B974" t="s">
        <v>1047</v>
      </c>
      <c r="C974" s="1">
        <v>45560</v>
      </c>
      <c r="D974" t="s">
        <v>43</v>
      </c>
      <c r="E974" t="s">
        <v>44</v>
      </c>
      <c r="F974" t="s">
        <v>30</v>
      </c>
      <c r="G974" t="s">
        <v>25</v>
      </c>
      <c r="H974" t="s">
        <v>53</v>
      </c>
      <c r="I974" t="s">
        <v>20</v>
      </c>
      <c r="J974">
        <v>3</v>
      </c>
      <c r="K974">
        <v>425</v>
      </c>
      <c r="L974">
        <v>1275</v>
      </c>
      <c r="M974">
        <v>57</v>
      </c>
      <c r="N974" t="s">
        <v>21</v>
      </c>
      <c r="O974">
        <v>3.4</v>
      </c>
      <c r="P974" s="2">
        <f>EOMONTH(Table1[[#This Row],[Order_Date]],0)</f>
        <v>45565</v>
      </c>
      <c r="Q974" s="3">
        <f>WEEKNUM(Table1[[#This Row],[Order_Date]])</f>
        <v>39</v>
      </c>
      <c r="R974">
        <f>YEAR(Table1[[#This Row],[Order_Date]])</f>
        <v>2024</v>
      </c>
      <c r="S974" t="str">
        <f>IF(Table1[[#This Row],[Quantity]]&gt;=3,"Promo","Regular")</f>
        <v>Promo</v>
      </c>
    </row>
    <row r="975" spans="1:19" x14ac:dyDescent="0.35">
      <c r="A975" t="s">
        <v>2088</v>
      </c>
      <c r="B975" t="s">
        <v>1048</v>
      </c>
      <c r="C975" s="1">
        <v>45422</v>
      </c>
      <c r="D975" t="s">
        <v>15</v>
      </c>
      <c r="E975" t="s">
        <v>95</v>
      </c>
      <c r="F975" t="s">
        <v>30</v>
      </c>
      <c r="G975" t="s">
        <v>18</v>
      </c>
      <c r="H975" t="s">
        <v>120</v>
      </c>
      <c r="I975" t="s">
        <v>60</v>
      </c>
      <c r="J975">
        <v>3</v>
      </c>
      <c r="K975">
        <v>398</v>
      </c>
      <c r="L975">
        <v>1194</v>
      </c>
      <c r="M975">
        <v>47</v>
      </c>
      <c r="N975" t="s">
        <v>33</v>
      </c>
      <c r="O975">
        <v>3.2</v>
      </c>
      <c r="P975" s="2">
        <f>EOMONTH(Table1[[#This Row],[Order_Date]],0)</f>
        <v>45443</v>
      </c>
      <c r="Q975" s="3">
        <f>WEEKNUM(Table1[[#This Row],[Order_Date]])</f>
        <v>19</v>
      </c>
      <c r="R975">
        <f>YEAR(Table1[[#This Row],[Order_Date]])</f>
        <v>2024</v>
      </c>
      <c r="S975" t="str">
        <f>IF(Table1[[#This Row],[Quantity]]&gt;=3,"Promo","Regular")</f>
        <v>Promo</v>
      </c>
    </row>
    <row r="976" spans="1:19" x14ac:dyDescent="0.35">
      <c r="A976" t="s">
        <v>2088</v>
      </c>
      <c r="B976" t="s">
        <v>1049</v>
      </c>
      <c r="C976" s="1">
        <v>45576</v>
      </c>
      <c r="D976" t="s">
        <v>57</v>
      </c>
      <c r="E976" t="s">
        <v>58</v>
      </c>
      <c r="F976" t="s">
        <v>30</v>
      </c>
      <c r="G976" t="s">
        <v>46</v>
      </c>
      <c r="H976" t="s">
        <v>55</v>
      </c>
      <c r="I976" t="s">
        <v>20</v>
      </c>
      <c r="J976">
        <v>3</v>
      </c>
      <c r="K976">
        <v>172</v>
      </c>
      <c r="L976">
        <v>516</v>
      </c>
      <c r="M976">
        <v>47</v>
      </c>
      <c r="N976" t="s">
        <v>33</v>
      </c>
      <c r="O976">
        <v>3.8</v>
      </c>
      <c r="P976" s="2">
        <f>EOMONTH(Table1[[#This Row],[Order_Date]],0)</f>
        <v>45596</v>
      </c>
      <c r="Q976" s="3">
        <f>WEEKNUM(Table1[[#This Row],[Order_Date]])</f>
        <v>41</v>
      </c>
      <c r="R976">
        <f>YEAR(Table1[[#This Row],[Order_Date]])</f>
        <v>2024</v>
      </c>
      <c r="S976" t="str">
        <f>IF(Table1[[#This Row],[Quantity]]&gt;=3,"Promo","Regular")</f>
        <v>Promo</v>
      </c>
    </row>
    <row r="977" spans="1:19" x14ac:dyDescent="0.35">
      <c r="A977" t="s">
        <v>2088</v>
      </c>
      <c r="B977" t="s">
        <v>1050</v>
      </c>
      <c r="C977" s="1">
        <v>45538</v>
      </c>
      <c r="D977" t="s">
        <v>57</v>
      </c>
      <c r="E977" t="s">
        <v>58</v>
      </c>
      <c r="F977" t="s">
        <v>24</v>
      </c>
      <c r="G977" t="s">
        <v>18</v>
      </c>
      <c r="H977" t="s">
        <v>66</v>
      </c>
      <c r="I977" t="s">
        <v>20</v>
      </c>
      <c r="J977">
        <v>1</v>
      </c>
      <c r="K977">
        <v>141</v>
      </c>
      <c r="L977">
        <v>141</v>
      </c>
      <c r="M977">
        <v>46</v>
      </c>
      <c r="N977" t="s">
        <v>38</v>
      </c>
      <c r="O977">
        <v>4.5</v>
      </c>
      <c r="P977" s="2">
        <f>EOMONTH(Table1[[#This Row],[Order_Date]],0)</f>
        <v>45565</v>
      </c>
      <c r="Q977" s="3">
        <f>WEEKNUM(Table1[[#This Row],[Order_Date]])</f>
        <v>36</v>
      </c>
      <c r="R977">
        <f>YEAR(Table1[[#This Row],[Order_Date]])</f>
        <v>2024</v>
      </c>
      <c r="S977" t="str">
        <f>IF(Table1[[#This Row],[Quantity]]&gt;=3,"Promo","Regular")</f>
        <v>Regular</v>
      </c>
    </row>
    <row r="978" spans="1:19" x14ac:dyDescent="0.35">
      <c r="A978" t="s">
        <v>2088</v>
      </c>
      <c r="B978" t="s">
        <v>1051</v>
      </c>
      <c r="C978" s="1">
        <v>45314</v>
      </c>
      <c r="D978" t="s">
        <v>57</v>
      </c>
      <c r="E978" t="s">
        <v>75</v>
      </c>
      <c r="F978" t="s">
        <v>85</v>
      </c>
      <c r="G978" t="s">
        <v>31</v>
      </c>
      <c r="H978" t="s">
        <v>50</v>
      </c>
      <c r="I978" t="s">
        <v>20</v>
      </c>
      <c r="J978">
        <v>1</v>
      </c>
      <c r="K978">
        <v>158</v>
      </c>
      <c r="L978">
        <v>158</v>
      </c>
      <c r="M978">
        <v>53</v>
      </c>
      <c r="N978" t="s">
        <v>21</v>
      </c>
      <c r="O978">
        <v>4.0999999999999996</v>
      </c>
      <c r="P978" s="2">
        <f>EOMONTH(Table1[[#This Row],[Order_Date]],0)</f>
        <v>45322</v>
      </c>
      <c r="Q978" s="3">
        <f>WEEKNUM(Table1[[#This Row],[Order_Date]])</f>
        <v>4</v>
      </c>
      <c r="R978">
        <f>YEAR(Table1[[#This Row],[Order_Date]])</f>
        <v>2024</v>
      </c>
      <c r="S978" t="str">
        <f>IF(Table1[[#This Row],[Quantity]]&gt;=3,"Promo","Regular")</f>
        <v>Regular</v>
      </c>
    </row>
    <row r="979" spans="1:19" x14ac:dyDescent="0.35">
      <c r="A979" t="s">
        <v>2089</v>
      </c>
      <c r="B979" t="s">
        <v>1052</v>
      </c>
      <c r="C979" s="1">
        <v>45303</v>
      </c>
      <c r="D979" t="s">
        <v>57</v>
      </c>
      <c r="E979" t="s">
        <v>75</v>
      </c>
      <c r="F979" t="s">
        <v>45</v>
      </c>
      <c r="G979" t="s">
        <v>73</v>
      </c>
      <c r="H979" t="s">
        <v>59</v>
      </c>
      <c r="I979" t="s">
        <v>60</v>
      </c>
      <c r="J979">
        <v>4</v>
      </c>
      <c r="K979">
        <v>284</v>
      </c>
      <c r="L979">
        <v>1136</v>
      </c>
      <c r="M979">
        <v>35</v>
      </c>
      <c r="N979" t="s">
        <v>38</v>
      </c>
      <c r="O979">
        <v>4.7</v>
      </c>
      <c r="P979" s="2">
        <f>EOMONTH(Table1[[#This Row],[Order_Date]],0)</f>
        <v>45322</v>
      </c>
      <c r="Q979" s="3">
        <f>WEEKNUM(Table1[[#This Row],[Order_Date]])</f>
        <v>2</v>
      </c>
      <c r="R979">
        <f>YEAR(Table1[[#This Row],[Order_Date]])</f>
        <v>2024</v>
      </c>
      <c r="S979" t="str">
        <f>IF(Table1[[#This Row],[Quantity]]&gt;=3,"Promo","Regular")</f>
        <v>Promo</v>
      </c>
    </row>
    <row r="980" spans="1:19" x14ac:dyDescent="0.35">
      <c r="A980" t="s">
        <v>2089</v>
      </c>
      <c r="B980" t="s">
        <v>1053</v>
      </c>
      <c r="C980" s="1">
        <v>45398</v>
      </c>
      <c r="D980" t="s">
        <v>43</v>
      </c>
      <c r="E980" t="s">
        <v>82</v>
      </c>
      <c r="F980" t="s">
        <v>69</v>
      </c>
      <c r="G980" t="s">
        <v>31</v>
      </c>
      <c r="H980" t="s">
        <v>32</v>
      </c>
      <c r="I980" t="s">
        <v>20</v>
      </c>
      <c r="J980">
        <v>4</v>
      </c>
      <c r="K980">
        <v>498</v>
      </c>
      <c r="L980">
        <v>1992</v>
      </c>
      <c r="M980">
        <v>22</v>
      </c>
      <c r="N980" t="s">
        <v>33</v>
      </c>
      <c r="O980">
        <v>3.3</v>
      </c>
      <c r="P980" s="2">
        <f>EOMONTH(Table1[[#This Row],[Order_Date]],0)</f>
        <v>45412</v>
      </c>
      <c r="Q980" s="3">
        <f>WEEKNUM(Table1[[#This Row],[Order_Date]])</f>
        <v>16</v>
      </c>
      <c r="R980">
        <f>YEAR(Table1[[#This Row],[Order_Date]])</f>
        <v>2024</v>
      </c>
      <c r="S980" t="str">
        <f>IF(Table1[[#This Row],[Quantity]]&gt;=3,"Promo","Regular")</f>
        <v>Promo</v>
      </c>
    </row>
    <row r="981" spans="1:19" x14ac:dyDescent="0.35">
      <c r="A981" t="s">
        <v>2090</v>
      </c>
      <c r="B981" t="s">
        <v>1054</v>
      </c>
      <c r="C981" s="1">
        <v>45342</v>
      </c>
      <c r="D981" t="s">
        <v>43</v>
      </c>
      <c r="E981" t="s">
        <v>93</v>
      </c>
      <c r="F981" t="s">
        <v>17</v>
      </c>
      <c r="G981" t="s">
        <v>18</v>
      </c>
      <c r="H981" t="s">
        <v>37</v>
      </c>
      <c r="I981" t="s">
        <v>20</v>
      </c>
      <c r="J981">
        <v>3</v>
      </c>
      <c r="K981">
        <v>298</v>
      </c>
      <c r="L981">
        <v>894</v>
      </c>
      <c r="M981">
        <v>20</v>
      </c>
      <c r="N981" t="s">
        <v>38</v>
      </c>
      <c r="O981">
        <v>4.4000000000000004</v>
      </c>
      <c r="P981" s="2">
        <f>EOMONTH(Table1[[#This Row],[Order_Date]],0)</f>
        <v>45351</v>
      </c>
      <c r="Q981" s="3">
        <f>WEEKNUM(Table1[[#This Row],[Order_Date]])</f>
        <v>8</v>
      </c>
      <c r="R981">
        <f>YEAR(Table1[[#This Row],[Order_Date]])</f>
        <v>2024</v>
      </c>
      <c r="S981" t="str">
        <f>IF(Table1[[#This Row],[Quantity]]&gt;=3,"Promo","Regular")</f>
        <v>Promo</v>
      </c>
    </row>
    <row r="982" spans="1:19" x14ac:dyDescent="0.35">
      <c r="A982" t="s">
        <v>2090</v>
      </c>
      <c r="B982" t="s">
        <v>1055</v>
      </c>
      <c r="C982" s="1">
        <v>45317</v>
      </c>
      <c r="D982" t="s">
        <v>28</v>
      </c>
      <c r="E982" t="s">
        <v>40</v>
      </c>
      <c r="F982" t="s">
        <v>24</v>
      </c>
      <c r="G982" t="s">
        <v>25</v>
      </c>
      <c r="H982" t="s">
        <v>59</v>
      </c>
      <c r="I982" t="s">
        <v>60</v>
      </c>
      <c r="J982">
        <v>5</v>
      </c>
      <c r="K982">
        <v>390</v>
      </c>
      <c r="L982">
        <v>1950</v>
      </c>
      <c r="M982">
        <v>38</v>
      </c>
      <c r="N982" t="s">
        <v>38</v>
      </c>
      <c r="O982">
        <v>4.2</v>
      </c>
      <c r="P982" s="2">
        <f>EOMONTH(Table1[[#This Row],[Order_Date]],0)</f>
        <v>45322</v>
      </c>
      <c r="Q982" s="3">
        <f>WEEKNUM(Table1[[#This Row],[Order_Date]])</f>
        <v>4</v>
      </c>
      <c r="R982">
        <f>YEAR(Table1[[#This Row],[Order_Date]])</f>
        <v>2024</v>
      </c>
      <c r="S982" t="str">
        <f>IF(Table1[[#This Row],[Quantity]]&gt;=3,"Promo","Regular")</f>
        <v>Promo</v>
      </c>
    </row>
    <row r="983" spans="1:19" x14ac:dyDescent="0.35">
      <c r="A983" t="s">
        <v>2090</v>
      </c>
      <c r="B983" t="s">
        <v>1056</v>
      </c>
      <c r="C983" s="1">
        <v>45495</v>
      </c>
      <c r="D983" t="s">
        <v>57</v>
      </c>
      <c r="E983" t="s">
        <v>58</v>
      </c>
      <c r="F983" t="s">
        <v>72</v>
      </c>
      <c r="G983" t="s">
        <v>36</v>
      </c>
      <c r="H983" t="s">
        <v>26</v>
      </c>
      <c r="I983" t="s">
        <v>20</v>
      </c>
      <c r="J983">
        <v>5</v>
      </c>
      <c r="K983">
        <v>180</v>
      </c>
      <c r="L983">
        <v>900</v>
      </c>
      <c r="M983">
        <v>37</v>
      </c>
      <c r="N983" t="s">
        <v>33</v>
      </c>
      <c r="O983">
        <v>4.7</v>
      </c>
      <c r="P983" s="2">
        <f>EOMONTH(Table1[[#This Row],[Order_Date]],0)</f>
        <v>45504</v>
      </c>
      <c r="Q983" s="3">
        <f>WEEKNUM(Table1[[#This Row],[Order_Date]])</f>
        <v>30</v>
      </c>
      <c r="R983">
        <f>YEAR(Table1[[#This Row],[Order_Date]])</f>
        <v>2024</v>
      </c>
      <c r="S983" t="str">
        <f>IF(Table1[[#This Row],[Quantity]]&gt;=3,"Promo","Regular")</f>
        <v>Promo</v>
      </c>
    </row>
    <row r="984" spans="1:19" x14ac:dyDescent="0.35">
      <c r="A984" t="s">
        <v>2090</v>
      </c>
      <c r="B984" t="s">
        <v>1057</v>
      </c>
      <c r="C984" s="1">
        <v>45481</v>
      </c>
      <c r="D984" t="s">
        <v>57</v>
      </c>
      <c r="E984" t="s">
        <v>58</v>
      </c>
      <c r="F984" t="s">
        <v>69</v>
      </c>
      <c r="G984" t="s">
        <v>18</v>
      </c>
      <c r="H984" t="s">
        <v>120</v>
      </c>
      <c r="I984" t="s">
        <v>60</v>
      </c>
      <c r="J984">
        <v>1</v>
      </c>
      <c r="K984">
        <v>198</v>
      </c>
      <c r="L984">
        <v>198</v>
      </c>
      <c r="M984">
        <v>52</v>
      </c>
      <c r="N984" t="s">
        <v>38</v>
      </c>
      <c r="O984">
        <v>4.0999999999999996</v>
      </c>
      <c r="P984" s="2">
        <f>EOMONTH(Table1[[#This Row],[Order_Date]],0)</f>
        <v>45504</v>
      </c>
      <c r="Q984" s="3">
        <f>WEEKNUM(Table1[[#This Row],[Order_Date]])</f>
        <v>28</v>
      </c>
      <c r="R984">
        <f>YEAR(Table1[[#This Row],[Order_Date]])</f>
        <v>2024</v>
      </c>
      <c r="S984" t="str">
        <f>IF(Table1[[#This Row],[Quantity]]&gt;=3,"Promo","Regular")</f>
        <v>Regular</v>
      </c>
    </row>
    <row r="985" spans="1:19" x14ac:dyDescent="0.35">
      <c r="A985" t="s">
        <v>2090</v>
      </c>
      <c r="B985" t="s">
        <v>1058</v>
      </c>
      <c r="C985" s="1">
        <v>45445</v>
      </c>
      <c r="D985" t="s">
        <v>28</v>
      </c>
      <c r="E985" t="s">
        <v>98</v>
      </c>
      <c r="F985" t="s">
        <v>72</v>
      </c>
      <c r="G985" t="s">
        <v>73</v>
      </c>
      <c r="H985" t="s">
        <v>53</v>
      </c>
      <c r="I985" t="s">
        <v>20</v>
      </c>
      <c r="J985">
        <v>3</v>
      </c>
      <c r="K985">
        <v>299</v>
      </c>
      <c r="L985">
        <v>897</v>
      </c>
      <c r="M985">
        <v>45</v>
      </c>
      <c r="N985" t="s">
        <v>38</v>
      </c>
      <c r="O985">
        <v>4.0999999999999996</v>
      </c>
      <c r="P985" s="2">
        <f>EOMONTH(Table1[[#This Row],[Order_Date]],0)</f>
        <v>45473</v>
      </c>
      <c r="Q985" s="3">
        <f>WEEKNUM(Table1[[#This Row],[Order_Date]])</f>
        <v>23</v>
      </c>
      <c r="R985">
        <f>YEAR(Table1[[#This Row],[Order_Date]])</f>
        <v>2024</v>
      </c>
      <c r="S985" t="str">
        <f>IF(Table1[[#This Row],[Quantity]]&gt;=3,"Promo","Regular")</f>
        <v>Promo</v>
      </c>
    </row>
    <row r="986" spans="1:19" x14ac:dyDescent="0.35">
      <c r="A986" t="s">
        <v>2091</v>
      </c>
      <c r="B986" t="s">
        <v>1059</v>
      </c>
      <c r="C986" s="1">
        <v>45431</v>
      </c>
      <c r="D986" t="s">
        <v>57</v>
      </c>
      <c r="E986" t="s">
        <v>75</v>
      </c>
      <c r="F986" t="s">
        <v>85</v>
      </c>
      <c r="G986" t="s">
        <v>46</v>
      </c>
      <c r="H986" t="s">
        <v>53</v>
      </c>
      <c r="I986" t="s">
        <v>20</v>
      </c>
      <c r="J986">
        <v>2</v>
      </c>
      <c r="K986">
        <v>438</v>
      </c>
      <c r="L986">
        <v>876</v>
      </c>
      <c r="M986">
        <v>37</v>
      </c>
      <c r="N986" t="s">
        <v>38</v>
      </c>
      <c r="O986">
        <v>4.5</v>
      </c>
      <c r="P986" s="2">
        <f>EOMONTH(Table1[[#This Row],[Order_Date]],0)</f>
        <v>45443</v>
      </c>
      <c r="Q986" s="3">
        <f>WEEKNUM(Table1[[#This Row],[Order_Date]])</f>
        <v>21</v>
      </c>
      <c r="R986">
        <f>YEAR(Table1[[#This Row],[Order_Date]])</f>
        <v>2024</v>
      </c>
      <c r="S986" t="str">
        <f>IF(Table1[[#This Row],[Quantity]]&gt;=3,"Promo","Regular")</f>
        <v>Regular</v>
      </c>
    </row>
    <row r="987" spans="1:19" x14ac:dyDescent="0.35">
      <c r="A987" t="s">
        <v>2091</v>
      </c>
      <c r="B987" t="s">
        <v>1060</v>
      </c>
      <c r="C987" s="1">
        <v>45495</v>
      </c>
      <c r="D987" t="s">
        <v>48</v>
      </c>
      <c r="E987" t="s">
        <v>68</v>
      </c>
      <c r="F987" t="s">
        <v>45</v>
      </c>
      <c r="G987" t="s">
        <v>25</v>
      </c>
      <c r="H987" t="s">
        <v>66</v>
      </c>
      <c r="I987" t="s">
        <v>20</v>
      </c>
      <c r="J987">
        <v>5</v>
      </c>
      <c r="K987">
        <v>257</v>
      </c>
      <c r="L987">
        <v>1285</v>
      </c>
      <c r="M987">
        <v>54</v>
      </c>
      <c r="N987" t="s">
        <v>21</v>
      </c>
      <c r="O987">
        <v>3.6</v>
      </c>
      <c r="P987" s="2">
        <f>EOMONTH(Table1[[#This Row],[Order_Date]],0)</f>
        <v>45504</v>
      </c>
      <c r="Q987" s="3">
        <f>WEEKNUM(Table1[[#This Row],[Order_Date]])</f>
        <v>30</v>
      </c>
      <c r="R987">
        <f>YEAR(Table1[[#This Row],[Order_Date]])</f>
        <v>2024</v>
      </c>
      <c r="S987" t="str">
        <f>IF(Table1[[#This Row],[Quantity]]&gt;=3,"Promo","Regular")</f>
        <v>Promo</v>
      </c>
    </row>
    <row r="988" spans="1:19" x14ac:dyDescent="0.35">
      <c r="A988" t="s">
        <v>2091</v>
      </c>
      <c r="B988" t="s">
        <v>1061</v>
      </c>
      <c r="C988" s="1">
        <v>45324</v>
      </c>
      <c r="D988" t="s">
        <v>43</v>
      </c>
      <c r="E988" t="s">
        <v>44</v>
      </c>
      <c r="F988" t="s">
        <v>72</v>
      </c>
      <c r="G988" t="s">
        <v>73</v>
      </c>
      <c r="H988" t="s">
        <v>32</v>
      </c>
      <c r="I988" t="s">
        <v>20</v>
      </c>
      <c r="J988">
        <v>3</v>
      </c>
      <c r="K988">
        <v>272</v>
      </c>
      <c r="L988">
        <v>816</v>
      </c>
      <c r="M988">
        <v>30</v>
      </c>
      <c r="N988" t="s">
        <v>38</v>
      </c>
      <c r="O988">
        <v>5</v>
      </c>
      <c r="P988" s="2">
        <f>EOMONTH(Table1[[#This Row],[Order_Date]],0)</f>
        <v>45351</v>
      </c>
      <c r="Q988" s="3">
        <f>WEEKNUM(Table1[[#This Row],[Order_Date]])</f>
        <v>5</v>
      </c>
      <c r="R988">
        <f>YEAR(Table1[[#This Row],[Order_Date]])</f>
        <v>2024</v>
      </c>
      <c r="S988" t="str">
        <f>IF(Table1[[#This Row],[Quantity]]&gt;=3,"Promo","Regular")</f>
        <v>Promo</v>
      </c>
    </row>
    <row r="989" spans="1:19" x14ac:dyDescent="0.35">
      <c r="A989" t="s">
        <v>2091</v>
      </c>
      <c r="B989" t="s">
        <v>1062</v>
      </c>
      <c r="C989" s="1">
        <v>45446</v>
      </c>
      <c r="D989" t="s">
        <v>28</v>
      </c>
      <c r="E989" t="s">
        <v>29</v>
      </c>
      <c r="F989" t="s">
        <v>41</v>
      </c>
      <c r="G989" t="s">
        <v>36</v>
      </c>
      <c r="H989" t="s">
        <v>19</v>
      </c>
      <c r="I989" t="s">
        <v>20</v>
      </c>
      <c r="J989">
        <v>2</v>
      </c>
      <c r="K989">
        <v>249</v>
      </c>
      <c r="L989">
        <v>498</v>
      </c>
      <c r="M989">
        <v>31</v>
      </c>
      <c r="N989" t="s">
        <v>21</v>
      </c>
      <c r="O989">
        <v>3.7</v>
      </c>
      <c r="P989" s="2">
        <f>EOMONTH(Table1[[#This Row],[Order_Date]],0)</f>
        <v>45473</v>
      </c>
      <c r="Q989" s="3">
        <f>WEEKNUM(Table1[[#This Row],[Order_Date]])</f>
        <v>23</v>
      </c>
      <c r="R989">
        <f>YEAR(Table1[[#This Row],[Order_Date]])</f>
        <v>2024</v>
      </c>
      <c r="S989" t="str">
        <f>IF(Table1[[#This Row],[Quantity]]&gt;=3,"Promo","Regular")</f>
        <v>Regular</v>
      </c>
    </row>
    <row r="990" spans="1:19" x14ac:dyDescent="0.35">
      <c r="A990" t="s">
        <v>2092</v>
      </c>
      <c r="B990" t="s">
        <v>1063</v>
      </c>
      <c r="C990" s="1">
        <v>45310</v>
      </c>
      <c r="D990" t="s">
        <v>15</v>
      </c>
      <c r="E990" t="s">
        <v>16</v>
      </c>
      <c r="F990" t="s">
        <v>65</v>
      </c>
      <c r="G990" t="s">
        <v>25</v>
      </c>
      <c r="H990" t="s">
        <v>59</v>
      </c>
      <c r="I990" t="s">
        <v>60</v>
      </c>
      <c r="J990">
        <v>5</v>
      </c>
      <c r="K990">
        <v>297</v>
      </c>
      <c r="L990">
        <v>1485</v>
      </c>
      <c r="M990">
        <v>21</v>
      </c>
      <c r="N990" t="s">
        <v>33</v>
      </c>
      <c r="O990">
        <v>3.4</v>
      </c>
      <c r="P990" s="2">
        <f>EOMONTH(Table1[[#This Row],[Order_Date]],0)</f>
        <v>45322</v>
      </c>
      <c r="Q990" s="3">
        <f>WEEKNUM(Table1[[#This Row],[Order_Date]])</f>
        <v>3</v>
      </c>
      <c r="R990">
        <f>YEAR(Table1[[#This Row],[Order_Date]])</f>
        <v>2024</v>
      </c>
      <c r="S990" t="str">
        <f>IF(Table1[[#This Row],[Quantity]]&gt;=3,"Promo","Regular")</f>
        <v>Promo</v>
      </c>
    </row>
    <row r="991" spans="1:19" x14ac:dyDescent="0.35">
      <c r="A991" t="s">
        <v>2092</v>
      </c>
      <c r="B991" t="s">
        <v>1064</v>
      </c>
      <c r="C991" s="1">
        <v>45356</v>
      </c>
      <c r="D991" t="s">
        <v>57</v>
      </c>
      <c r="E991" t="s">
        <v>58</v>
      </c>
      <c r="F991" t="s">
        <v>72</v>
      </c>
      <c r="G991" t="s">
        <v>31</v>
      </c>
      <c r="H991" t="s">
        <v>50</v>
      </c>
      <c r="I991" t="s">
        <v>20</v>
      </c>
      <c r="J991">
        <v>4</v>
      </c>
      <c r="K991">
        <v>402</v>
      </c>
      <c r="L991">
        <v>1608</v>
      </c>
      <c r="M991">
        <v>22</v>
      </c>
      <c r="N991" t="s">
        <v>21</v>
      </c>
      <c r="O991">
        <v>3</v>
      </c>
      <c r="P991" s="2">
        <f>EOMONTH(Table1[[#This Row],[Order_Date]],0)</f>
        <v>45382</v>
      </c>
      <c r="Q991" s="3">
        <f>WEEKNUM(Table1[[#This Row],[Order_Date]])</f>
        <v>10</v>
      </c>
      <c r="R991">
        <f>YEAR(Table1[[#This Row],[Order_Date]])</f>
        <v>2024</v>
      </c>
      <c r="S991" t="str">
        <f>IF(Table1[[#This Row],[Quantity]]&gt;=3,"Promo","Regular")</f>
        <v>Promo</v>
      </c>
    </row>
    <row r="992" spans="1:19" x14ac:dyDescent="0.35">
      <c r="A992" t="s">
        <v>2092</v>
      </c>
      <c r="B992" t="s">
        <v>1065</v>
      </c>
      <c r="C992" s="1">
        <v>45417</v>
      </c>
      <c r="D992" t="s">
        <v>15</v>
      </c>
      <c r="E992" t="s">
        <v>112</v>
      </c>
      <c r="F992" t="s">
        <v>24</v>
      </c>
      <c r="G992" t="s">
        <v>18</v>
      </c>
      <c r="H992" t="s">
        <v>120</v>
      </c>
      <c r="I992" t="s">
        <v>60</v>
      </c>
      <c r="J992">
        <v>2</v>
      </c>
      <c r="K992">
        <v>266</v>
      </c>
      <c r="L992">
        <v>532</v>
      </c>
      <c r="M992">
        <v>51</v>
      </c>
      <c r="N992" t="s">
        <v>21</v>
      </c>
      <c r="O992">
        <v>3.9</v>
      </c>
      <c r="P992" s="2">
        <f>EOMONTH(Table1[[#This Row],[Order_Date]],0)</f>
        <v>45443</v>
      </c>
      <c r="Q992" s="3">
        <f>WEEKNUM(Table1[[#This Row],[Order_Date]])</f>
        <v>19</v>
      </c>
      <c r="R992">
        <f>YEAR(Table1[[#This Row],[Order_Date]])</f>
        <v>2024</v>
      </c>
      <c r="S992" t="str">
        <f>IF(Table1[[#This Row],[Quantity]]&gt;=3,"Promo","Regular")</f>
        <v>Regular</v>
      </c>
    </row>
    <row r="993" spans="1:19" x14ac:dyDescent="0.35">
      <c r="A993" t="s">
        <v>2093</v>
      </c>
      <c r="B993" t="s">
        <v>1066</v>
      </c>
      <c r="C993" s="1">
        <v>45466</v>
      </c>
      <c r="D993" t="s">
        <v>57</v>
      </c>
      <c r="E993" t="s">
        <v>136</v>
      </c>
      <c r="F993" t="s">
        <v>24</v>
      </c>
      <c r="G993" t="s">
        <v>25</v>
      </c>
      <c r="H993" t="s">
        <v>120</v>
      </c>
      <c r="I993" t="s">
        <v>60</v>
      </c>
      <c r="J993">
        <v>5</v>
      </c>
      <c r="K993">
        <v>336</v>
      </c>
      <c r="L993">
        <v>1680</v>
      </c>
      <c r="M993">
        <v>53</v>
      </c>
      <c r="N993" t="s">
        <v>21</v>
      </c>
      <c r="O993">
        <v>3.1</v>
      </c>
      <c r="P993" s="2">
        <f>EOMONTH(Table1[[#This Row],[Order_Date]],0)</f>
        <v>45473</v>
      </c>
      <c r="Q993" s="3">
        <f>WEEKNUM(Table1[[#This Row],[Order_Date]])</f>
        <v>26</v>
      </c>
      <c r="R993">
        <f>YEAR(Table1[[#This Row],[Order_Date]])</f>
        <v>2024</v>
      </c>
      <c r="S993" t="str">
        <f>IF(Table1[[#This Row],[Quantity]]&gt;=3,"Promo","Regular")</f>
        <v>Promo</v>
      </c>
    </row>
    <row r="994" spans="1:19" x14ac:dyDescent="0.35">
      <c r="A994" t="s">
        <v>2093</v>
      </c>
      <c r="B994" t="s">
        <v>1067</v>
      </c>
      <c r="C994" s="1">
        <v>45367</v>
      </c>
      <c r="D994" t="s">
        <v>15</v>
      </c>
      <c r="E994" t="s">
        <v>112</v>
      </c>
      <c r="F994" t="s">
        <v>17</v>
      </c>
      <c r="G994" t="s">
        <v>31</v>
      </c>
      <c r="H994" t="s">
        <v>53</v>
      </c>
      <c r="I994" t="s">
        <v>20</v>
      </c>
      <c r="J994">
        <v>1</v>
      </c>
      <c r="K994">
        <v>139</v>
      </c>
      <c r="L994">
        <v>139</v>
      </c>
      <c r="M994">
        <v>59</v>
      </c>
      <c r="N994" t="s">
        <v>21</v>
      </c>
      <c r="O994">
        <v>5</v>
      </c>
      <c r="P994" s="2">
        <f>EOMONTH(Table1[[#This Row],[Order_Date]],0)</f>
        <v>45382</v>
      </c>
      <c r="Q994" s="3">
        <f>WEEKNUM(Table1[[#This Row],[Order_Date]])</f>
        <v>11</v>
      </c>
      <c r="R994">
        <f>YEAR(Table1[[#This Row],[Order_Date]])</f>
        <v>2024</v>
      </c>
      <c r="S994" t="str">
        <f>IF(Table1[[#This Row],[Quantity]]&gt;=3,"Promo","Regular")</f>
        <v>Regular</v>
      </c>
    </row>
    <row r="995" spans="1:19" x14ac:dyDescent="0.35">
      <c r="A995" t="s">
        <v>2094</v>
      </c>
      <c r="B995" t="s">
        <v>1068</v>
      </c>
      <c r="C995" s="1">
        <v>45523</v>
      </c>
      <c r="D995" t="s">
        <v>28</v>
      </c>
      <c r="E995" t="s">
        <v>98</v>
      </c>
      <c r="F995" t="s">
        <v>30</v>
      </c>
      <c r="G995" t="s">
        <v>31</v>
      </c>
      <c r="H995" t="s">
        <v>120</v>
      </c>
      <c r="I995" t="s">
        <v>60</v>
      </c>
      <c r="J995">
        <v>4</v>
      </c>
      <c r="K995">
        <v>194</v>
      </c>
      <c r="L995">
        <v>776</v>
      </c>
      <c r="M995">
        <v>56</v>
      </c>
      <c r="N995" t="s">
        <v>21</v>
      </c>
      <c r="O995">
        <v>4.4000000000000004</v>
      </c>
      <c r="P995" s="2">
        <f>EOMONTH(Table1[[#This Row],[Order_Date]],0)</f>
        <v>45535</v>
      </c>
      <c r="Q995" s="3">
        <f>WEEKNUM(Table1[[#This Row],[Order_Date]])</f>
        <v>34</v>
      </c>
      <c r="R995">
        <f>YEAR(Table1[[#This Row],[Order_Date]])</f>
        <v>2024</v>
      </c>
      <c r="S995" t="str">
        <f>IF(Table1[[#This Row],[Quantity]]&gt;=3,"Promo","Regular")</f>
        <v>Promo</v>
      </c>
    </row>
    <row r="996" spans="1:19" x14ac:dyDescent="0.35">
      <c r="A996" t="s">
        <v>2094</v>
      </c>
      <c r="B996" t="s">
        <v>1069</v>
      </c>
      <c r="C996" s="1">
        <v>45338</v>
      </c>
      <c r="D996" t="s">
        <v>28</v>
      </c>
      <c r="E996" t="s">
        <v>29</v>
      </c>
      <c r="F996" t="s">
        <v>72</v>
      </c>
      <c r="G996" t="s">
        <v>25</v>
      </c>
      <c r="H996" t="s">
        <v>120</v>
      </c>
      <c r="I996" t="s">
        <v>60</v>
      </c>
      <c r="J996">
        <v>2</v>
      </c>
      <c r="K996">
        <v>245</v>
      </c>
      <c r="L996">
        <v>490</v>
      </c>
      <c r="M996">
        <v>25</v>
      </c>
      <c r="N996" t="s">
        <v>33</v>
      </c>
      <c r="O996">
        <v>4</v>
      </c>
      <c r="P996" s="2">
        <f>EOMONTH(Table1[[#This Row],[Order_Date]],0)</f>
        <v>45351</v>
      </c>
      <c r="Q996" s="3">
        <f>WEEKNUM(Table1[[#This Row],[Order_Date]])</f>
        <v>7</v>
      </c>
      <c r="R996">
        <f>YEAR(Table1[[#This Row],[Order_Date]])</f>
        <v>2024</v>
      </c>
      <c r="S996" t="str">
        <f>IF(Table1[[#This Row],[Quantity]]&gt;=3,"Promo","Regular")</f>
        <v>Regular</v>
      </c>
    </row>
    <row r="997" spans="1:19" x14ac:dyDescent="0.35">
      <c r="A997" t="s">
        <v>2094</v>
      </c>
      <c r="B997" t="s">
        <v>1070</v>
      </c>
      <c r="C997" s="1">
        <v>45399</v>
      </c>
      <c r="D997" t="s">
        <v>15</v>
      </c>
      <c r="E997" t="s">
        <v>95</v>
      </c>
      <c r="F997" t="s">
        <v>41</v>
      </c>
      <c r="G997" t="s">
        <v>18</v>
      </c>
      <c r="H997" t="s">
        <v>19</v>
      </c>
      <c r="I997" t="s">
        <v>20</v>
      </c>
      <c r="J997">
        <v>2</v>
      </c>
      <c r="K997">
        <v>308</v>
      </c>
      <c r="L997">
        <v>616</v>
      </c>
      <c r="M997">
        <v>28</v>
      </c>
      <c r="N997" t="s">
        <v>38</v>
      </c>
      <c r="O997">
        <v>3.5</v>
      </c>
      <c r="P997" s="2">
        <f>EOMONTH(Table1[[#This Row],[Order_Date]],0)</f>
        <v>45412</v>
      </c>
      <c r="Q997" s="3">
        <f>WEEKNUM(Table1[[#This Row],[Order_Date]])</f>
        <v>16</v>
      </c>
      <c r="R997">
        <f>YEAR(Table1[[#This Row],[Order_Date]])</f>
        <v>2024</v>
      </c>
      <c r="S997" t="str">
        <f>IF(Table1[[#This Row],[Quantity]]&gt;=3,"Promo","Regular")</f>
        <v>Regular</v>
      </c>
    </row>
    <row r="998" spans="1:19" x14ac:dyDescent="0.35">
      <c r="A998" t="s">
        <v>2094</v>
      </c>
      <c r="B998" t="s">
        <v>1071</v>
      </c>
      <c r="C998" s="1">
        <v>45558</v>
      </c>
      <c r="D998" t="s">
        <v>43</v>
      </c>
      <c r="E998" t="s">
        <v>82</v>
      </c>
      <c r="F998" t="s">
        <v>65</v>
      </c>
      <c r="G998" t="s">
        <v>18</v>
      </c>
      <c r="H998" t="s">
        <v>26</v>
      </c>
      <c r="I998" t="s">
        <v>20</v>
      </c>
      <c r="J998">
        <v>3</v>
      </c>
      <c r="K998">
        <v>167</v>
      </c>
      <c r="L998">
        <v>501</v>
      </c>
      <c r="M998">
        <v>48</v>
      </c>
      <c r="N998" t="s">
        <v>33</v>
      </c>
      <c r="O998">
        <v>3.1</v>
      </c>
      <c r="P998" s="2">
        <f>EOMONTH(Table1[[#This Row],[Order_Date]],0)</f>
        <v>45565</v>
      </c>
      <c r="Q998" s="3">
        <f>WEEKNUM(Table1[[#This Row],[Order_Date]])</f>
        <v>39</v>
      </c>
      <c r="R998">
        <f>YEAR(Table1[[#This Row],[Order_Date]])</f>
        <v>2024</v>
      </c>
      <c r="S998" t="str">
        <f>IF(Table1[[#This Row],[Quantity]]&gt;=3,"Promo","Regular")</f>
        <v>Promo</v>
      </c>
    </row>
    <row r="999" spans="1:19" x14ac:dyDescent="0.35">
      <c r="A999" t="s">
        <v>2094</v>
      </c>
      <c r="B999" t="s">
        <v>1072</v>
      </c>
      <c r="C999" s="1">
        <v>45308</v>
      </c>
      <c r="D999" t="s">
        <v>43</v>
      </c>
      <c r="E999" t="s">
        <v>110</v>
      </c>
      <c r="F999" t="s">
        <v>35</v>
      </c>
      <c r="G999" t="s">
        <v>36</v>
      </c>
      <c r="H999" t="s">
        <v>26</v>
      </c>
      <c r="I999" t="s">
        <v>20</v>
      </c>
      <c r="J999">
        <v>3</v>
      </c>
      <c r="K999">
        <v>122</v>
      </c>
      <c r="L999">
        <v>366</v>
      </c>
      <c r="M999">
        <v>28</v>
      </c>
      <c r="N999" t="s">
        <v>38</v>
      </c>
      <c r="O999">
        <v>3.9</v>
      </c>
      <c r="P999" s="2">
        <f>EOMONTH(Table1[[#This Row],[Order_Date]],0)</f>
        <v>45322</v>
      </c>
      <c r="Q999" s="3">
        <f>WEEKNUM(Table1[[#This Row],[Order_Date]])</f>
        <v>3</v>
      </c>
      <c r="R999">
        <f>YEAR(Table1[[#This Row],[Order_Date]])</f>
        <v>2024</v>
      </c>
      <c r="S999" t="str">
        <f>IF(Table1[[#This Row],[Quantity]]&gt;=3,"Promo","Regular")</f>
        <v>Promo</v>
      </c>
    </row>
    <row r="1000" spans="1:19" x14ac:dyDescent="0.35">
      <c r="A1000" t="s">
        <v>2095</v>
      </c>
      <c r="B1000" t="s">
        <v>1073</v>
      </c>
      <c r="C1000" s="1">
        <v>45299</v>
      </c>
      <c r="D1000" t="s">
        <v>15</v>
      </c>
      <c r="E1000" t="s">
        <v>95</v>
      </c>
      <c r="F1000" t="s">
        <v>65</v>
      </c>
      <c r="G1000" t="s">
        <v>73</v>
      </c>
      <c r="H1000" t="s">
        <v>53</v>
      </c>
      <c r="I1000" t="s">
        <v>20</v>
      </c>
      <c r="J1000">
        <v>4</v>
      </c>
      <c r="K1000">
        <v>298</v>
      </c>
      <c r="L1000">
        <v>1192</v>
      </c>
      <c r="M1000">
        <v>20</v>
      </c>
      <c r="N1000" t="s">
        <v>21</v>
      </c>
      <c r="O1000">
        <v>3.9</v>
      </c>
      <c r="P1000" s="2">
        <f>EOMONTH(Table1[[#This Row],[Order_Date]],0)</f>
        <v>45322</v>
      </c>
      <c r="Q1000" s="3">
        <f>WEEKNUM(Table1[[#This Row],[Order_Date]])</f>
        <v>2</v>
      </c>
      <c r="R1000">
        <f>YEAR(Table1[[#This Row],[Order_Date]])</f>
        <v>2024</v>
      </c>
      <c r="S1000" t="str">
        <f>IF(Table1[[#This Row],[Quantity]]&gt;=3,"Promo","Regular")</f>
        <v>Promo</v>
      </c>
    </row>
    <row r="1001" spans="1:19" x14ac:dyDescent="0.35">
      <c r="A1001" t="s">
        <v>2095</v>
      </c>
      <c r="B1001" t="s">
        <v>1074</v>
      </c>
      <c r="C1001" s="1">
        <v>45414</v>
      </c>
      <c r="D1001" t="s">
        <v>57</v>
      </c>
      <c r="E1001" t="s">
        <v>136</v>
      </c>
      <c r="F1001" t="s">
        <v>30</v>
      </c>
      <c r="G1001" t="s">
        <v>36</v>
      </c>
      <c r="H1001" t="s">
        <v>55</v>
      </c>
      <c r="I1001" t="s">
        <v>20</v>
      </c>
      <c r="J1001">
        <v>1</v>
      </c>
      <c r="K1001">
        <v>458</v>
      </c>
      <c r="L1001">
        <v>458</v>
      </c>
      <c r="M1001">
        <v>49</v>
      </c>
      <c r="N1001" t="s">
        <v>21</v>
      </c>
      <c r="O1001">
        <v>3.1</v>
      </c>
      <c r="P1001" s="2">
        <f>EOMONTH(Table1[[#This Row],[Order_Date]],0)</f>
        <v>45443</v>
      </c>
      <c r="Q1001" s="3">
        <f>WEEKNUM(Table1[[#This Row],[Order_Date]])</f>
        <v>18</v>
      </c>
      <c r="R1001">
        <f>YEAR(Table1[[#This Row],[Order_Date]])</f>
        <v>2024</v>
      </c>
      <c r="S1001" t="str">
        <f>IF(Table1[[#This Row],[Quantity]]&gt;=3,"Promo","Regular")</f>
        <v>Regular</v>
      </c>
    </row>
    <row r="1002" spans="1:19" x14ac:dyDescent="0.35">
      <c r="A1002" t="s">
        <v>2095</v>
      </c>
      <c r="B1002" t="s">
        <v>1075</v>
      </c>
      <c r="C1002" s="1">
        <v>45353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 t="s">
        <v>20</v>
      </c>
      <c r="J1002">
        <v>1</v>
      </c>
      <c r="K1002">
        <v>461</v>
      </c>
      <c r="L1002">
        <v>461</v>
      </c>
      <c r="M1002">
        <v>30</v>
      </c>
      <c r="N1002" t="s">
        <v>21</v>
      </c>
      <c r="O1002">
        <v>4.5</v>
      </c>
      <c r="P1002" s="2">
        <f>EOMONTH(Table1[[#This Row],[Order_Date]],0)</f>
        <v>45382</v>
      </c>
      <c r="Q1002" s="3">
        <f>WEEKNUM(Table1[[#This Row],[Order_Date]])</f>
        <v>9</v>
      </c>
      <c r="R1002">
        <f>YEAR(Table1[[#This Row],[Order_Date]])</f>
        <v>2024</v>
      </c>
      <c r="S1002" t="str">
        <f>IF(Table1[[#This Row],[Quantity]]&gt;=3,"Promo","Regular")</f>
        <v>Regular</v>
      </c>
    </row>
    <row r="1003" spans="1:19" x14ac:dyDescent="0.35">
      <c r="A1003" t="s">
        <v>2095</v>
      </c>
      <c r="B1003" t="s">
        <v>1076</v>
      </c>
      <c r="C1003" s="1">
        <v>45517</v>
      </c>
      <c r="D1003" t="s">
        <v>15</v>
      </c>
      <c r="E1003" t="s">
        <v>23</v>
      </c>
      <c r="F1003" t="s">
        <v>24</v>
      </c>
      <c r="G1003" t="s">
        <v>25</v>
      </c>
      <c r="H1003" t="s">
        <v>26</v>
      </c>
      <c r="I1003" t="s">
        <v>20</v>
      </c>
      <c r="J1003">
        <v>3</v>
      </c>
      <c r="K1003">
        <v>457</v>
      </c>
      <c r="L1003">
        <v>1371</v>
      </c>
      <c r="M1003">
        <v>42</v>
      </c>
      <c r="N1003" t="s">
        <v>21</v>
      </c>
      <c r="O1003">
        <v>3.6</v>
      </c>
      <c r="P1003" s="2">
        <f>EOMONTH(Table1[[#This Row],[Order_Date]],0)</f>
        <v>45535</v>
      </c>
      <c r="Q1003" s="3">
        <f>WEEKNUM(Table1[[#This Row],[Order_Date]])</f>
        <v>33</v>
      </c>
      <c r="R1003">
        <f>YEAR(Table1[[#This Row],[Order_Date]])</f>
        <v>2024</v>
      </c>
      <c r="S1003" t="str">
        <f>IF(Table1[[#This Row],[Quantity]]&gt;=3,"Promo","Regular")</f>
        <v>Promo</v>
      </c>
    </row>
    <row r="1004" spans="1:19" x14ac:dyDescent="0.35">
      <c r="A1004" t="s">
        <v>2096</v>
      </c>
      <c r="B1004" t="s">
        <v>1077</v>
      </c>
      <c r="C1004" s="1">
        <v>45383</v>
      </c>
      <c r="D1004" t="s">
        <v>28</v>
      </c>
      <c r="E1004" t="s">
        <v>29</v>
      </c>
      <c r="F1004" t="s">
        <v>30</v>
      </c>
      <c r="G1004" t="s">
        <v>31</v>
      </c>
      <c r="H1004" t="s">
        <v>32</v>
      </c>
      <c r="I1004" t="s">
        <v>20</v>
      </c>
      <c r="J1004">
        <v>3</v>
      </c>
      <c r="K1004">
        <v>373</v>
      </c>
      <c r="L1004">
        <v>1119</v>
      </c>
      <c r="M1004">
        <v>32</v>
      </c>
      <c r="N1004" t="s">
        <v>33</v>
      </c>
      <c r="O1004">
        <v>5</v>
      </c>
      <c r="P1004" s="2">
        <f>EOMONTH(Table1[[#This Row],[Order_Date]],0)</f>
        <v>45412</v>
      </c>
      <c r="Q1004" s="3">
        <f>WEEKNUM(Table1[[#This Row],[Order_Date]])</f>
        <v>14</v>
      </c>
      <c r="R1004">
        <f>YEAR(Table1[[#This Row],[Order_Date]])</f>
        <v>2024</v>
      </c>
      <c r="S1004" t="str">
        <f>IF(Table1[[#This Row],[Quantity]]&gt;=3,"Promo","Regular")</f>
        <v>Promo</v>
      </c>
    </row>
    <row r="1005" spans="1:19" x14ac:dyDescent="0.35">
      <c r="A1005" t="s">
        <v>2096</v>
      </c>
      <c r="B1005" t="s">
        <v>1078</v>
      </c>
      <c r="C1005" s="1">
        <v>45310</v>
      </c>
      <c r="D1005" t="s">
        <v>15</v>
      </c>
      <c r="E1005" t="s">
        <v>23</v>
      </c>
      <c r="F1005" t="s">
        <v>35</v>
      </c>
      <c r="G1005" t="s">
        <v>36</v>
      </c>
      <c r="H1005" t="s">
        <v>37</v>
      </c>
      <c r="I1005" t="s">
        <v>20</v>
      </c>
      <c r="J1005">
        <v>3</v>
      </c>
      <c r="K1005">
        <v>424</v>
      </c>
      <c r="L1005">
        <v>1272</v>
      </c>
      <c r="M1005">
        <v>44</v>
      </c>
      <c r="N1005" t="s">
        <v>38</v>
      </c>
      <c r="O1005">
        <v>3.7</v>
      </c>
      <c r="P1005" s="2">
        <f>EOMONTH(Table1[[#This Row],[Order_Date]],0)</f>
        <v>45322</v>
      </c>
      <c r="Q1005" s="3">
        <f>WEEKNUM(Table1[[#This Row],[Order_Date]])</f>
        <v>3</v>
      </c>
      <c r="R1005">
        <f>YEAR(Table1[[#This Row],[Order_Date]])</f>
        <v>2024</v>
      </c>
      <c r="S1005" t="str">
        <f>IF(Table1[[#This Row],[Quantity]]&gt;=3,"Promo","Regular")</f>
        <v>Promo</v>
      </c>
    </row>
    <row r="1006" spans="1:19" x14ac:dyDescent="0.35">
      <c r="A1006" t="s">
        <v>2096</v>
      </c>
      <c r="B1006" t="s">
        <v>1079</v>
      </c>
      <c r="C1006" s="1">
        <v>45539</v>
      </c>
      <c r="D1006" t="s">
        <v>28</v>
      </c>
      <c r="E1006" t="s">
        <v>40</v>
      </c>
      <c r="F1006" t="s">
        <v>41</v>
      </c>
      <c r="G1006" t="s">
        <v>25</v>
      </c>
      <c r="H1006" t="s">
        <v>19</v>
      </c>
      <c r="I1006" t="s">
        <v>20</v>
      </c>
      <c r="J1006">
        <v>5</v>
      </c>
      <c r="K1006">
        <v>313</v>
      </c>
      <c r="L1006">
        <v>1565</v>
      </c>
      <c r="M1006">
        <v>30</v>
      </c>
      <c r="N1006" t="s">
        <v>33</v>
      </c>
      <c r="O1006">
        <v>3.4</v>
      </c>
      <c r="P1006" s="2">
        <f>EOMONTH(Table1[[#This Row],[Order_Date]],0)</f>
        <v>45565</v>
      </c>
      <c r="Q1006" s="3">
        <f>WEEKNUM(Table1[[#This Row],[Order_Date]])</f>
        <v>36</v>
      </c>
      <c r="R1006">
        <f>YEAR(Table1[[#This Row],[Order_Date]])</f>
        <v>2024</v>
      </c>
      <c r="S1006" t="str">
        <f>IF(Table1[[#This Row],[Quantity]]&gt;=3,"Promo","Regular")</f>
        <v>Promo</v>
      </c>
    </row>
    <row r="1007" spans="1:19" x14ac:dyDescent="0.35">
      <c r="A1007" t="s">
        <v>2096</v>
      </c>
      <c r="B1007" t="s">
        <v>1080</v>
      </c>
      <c r="C1007" s="1">
        <v>45361</v>
      </c>
      <c r="D1007" t="s">
        <v>43</v>
      </c>
      <c r="E1007" t="s">
        <v>44</v>
      </c>
      <c r="F1007" t="s">
        <v>45</v>
      </c>
      <c r="G1007" t="s">
        <v>46</v>
      </c>
      <c r="H1007" t="s">
        <v>19</v>
      </c>
      <c r="I1007" t="s">
        <v>20</v>
      </c>
      <c r="J1007">
        <v>1</v>
      </c>
      <c r="K1007">
        <v>431</v>
      </c>
      <c r="L1007">
        <v>431</v>
      </c>
      <c r="M1007">
        <v>54</v>
      </c>
      <c r="N1007" t="s">
        <v>38</v>
      </c>
      <c r="O1007">
        <v>3</v>
      </c>
      <c r="P1007" s="2">
        <f>EOMONTH(Table1[[#This Row],[Order_Date]],0)</f>
        <v>45382</v>
      </c>
      <c r="Q1007" s="3">
        <f>WEEKNUM(Table1[[#This Row],[Order_Date]])</f>
        <v>11</v>
      </c>
      <c r="R1007">
        <f>YEAR(Table1[[#This Row],[Order_Date]])</f>
        <v>2024</v>
      </c>
      <c r="S1007" t="str">
        <f>IF(Table1[[#This Row],[Quantity]]&gt;=3,"Promo","Regular")</f>
        <v>Regular</v>
      </c>
    </row>
    <row r="1008" spans="1:19" x14ac:dyDescent="0.35">
      <c r="A1008" t="s">
        <v>2096</v>
      </c>
      <c r="B1008" t="s">
        <v>1081</v>
      </c>
      <c r="C1008" s="1">
        <v>45353</v>
      </c>
      <c r="D1008" t="s">
        <v>48</v>
      </c>
      <c r="E1008" t="s">
        <v>49</v>
      </c>
      <c r="F1008" t="s">
        <v>17</v>
      </c>
      <c r="G1008" t="s">
        <v>36</v>
      </c>
      <c r="H1008" t="s">
        <v>50</v>
      </c>
      <c r="I1008" t="s">
        <v>20</v>
      </c>
      <c r="J1008">
        <v>4</v>
      </c>
      <c r="K1008">
        <v>495</v>
      </c>
      <c r="L1008">
        <v>1980</v>
      </c>
      <c r="M1008">
        <v>33</v>
      </c>
      <c r="N1008" t="s">
        <v>33</v>
      </c>
      <c r="O1008">
        <v>3.9</v>
      </c>
      <c r="P1008" s="2">
        <f>EOMONTH(Table1[[#This Row],[Order_Date]],0)</f>
        <v>45382</v>
      </c>
      <c r="Q1008" s="3">
        <f>WEEKNUM(Table1[[#This Row],[Order_Date]])</f>
        <v>9</v>
      </c>
      <c r="R1008">
        <f>YEAR(Table1[[#This Row],[Order_Date]])</f>
        <v>2024</v>
      </c>
      <c r="S1008" t="str">
        <f>IF(Table1[[#This Row],[Quantity]]&gt;=3,"Promo","Regular")</f>
        <v>Promo</v>
      </c>
    </row>
    <row r="1009" spans="1:19" x14ac:dyDescent="0.35">
      <c r="A1009" t="s">
        <v>2097</v>
      </c>
      <c r="B1009" t="s">
        <v>1082</v>
      </c>
      <c r="C1009" s="1">
        <v>45292</v>
      </c>
      <c r="D1009" t="s">
        <v>43</v>
      </c>
      <c r="E1009" t="s">
        <v>52</v>
      </c>
      <c r="F1009" t="s">
        <v>24</v>
      </c>
      <c r="G1009" t="s">
        <v>18</v>
      </c>
      <c r="H1009" t="s">
        <v>53</v>
      </c>
      <c r="I1009" t="s">
        <v>20</v>
      </c>
      <c r="J1009">
        <v>4</v>
      </c>
      <c r="K1009">
        <v>318</v>
      </c>
      <c r="L1009">
        <v>1272</v>
      </c>
      <c r="M1009">
        <v>46</v>
      </c>
      <c r="N1009" t="s">
        <v>33</v>
      </c>
      <c r="O1009">
        <v>3.1</v>
      </c>
      <c r="P1009" s="2">
        <f>EOMONTH(Table1[[#This Row],[Order_Date]],0)</f>
        <v>45322</v>
      </c>
      <c r="Q1009" s="3">
        <f>WEEKNUM(Table1[[#This Row],[Order_Date]])</f>
        <v>1</v>
      </c>
      <c r="R1009">
        <f>YEAR(Table1[[#This Row],[Order_Date]])</f>
        <v>2024</v>
      </c>
      <c r="S1009" t="str">
        <f>IF(Table1[[#This Row],[Quantity]]&gt;=3,"Promo","Regular")</f>
        <v>Promo</v>
      </c>
    </row>
    <row r="1010" spans="1:19" x14ac:dyDescent="0.35">
      <c r="A1010" t="s">
        <v>2097</v>
      </c>
      <c r="B1010" t="s">
        <v>1083</v>
      </c>
      <c r="C1010" s="1">
        <v>45467</v>
      </c>
      <c r="D1010" t="s">
        <v>28</v>
      </c>
      <c r="E1010" t="s">
        <v>40</v>
      </c>
      <c r="F1010" t="s">
        <v>17</v>
      </c>
      <c r="G1010" t="s">
        <v>25</v>
      </c>
      <c r="H1010" t="s">
        <v>55</v>
      </c>
      <c r="I1010" t="s">
        <v>20</v>
      </c>
      <c r="J1010">
        <v>2</v>
      </c>
      <c r="K1010">
        <v>220</v>
      </c>
      <c r="L1010">
        <v>440</v>
      </c>
      <c r="M1010">
        <v>46</v>
      </c>
      <c r="N1010" t="s">
        <v>21</v>
      </c>
      <c r="O1010">
        <v>5</v>
      </c>
      <c r="P1010" s="2">
        <f>EOMONTH(Table1[[#This Row],[Order_Date]],0)</f>
        <v>45473</v>
      </c>
      <c r="Q1010" s="3">
        <f>WEEKNUM(Table1[[#This Row],[Order_Date]])</f>
        <v>26</v>
      </c>
      <c r="R1010">
        <f>YEAR(Table1[[#This Row],[Order_Date]])</f>
        <v>2024</v>
      </c>
      <c r="S1010" t="str">
        <f>IF(Table1[[#This Row],[Quantity]]&gt;=3,"Promo","Regular")</f>
        <v>Regular</v>
      </c>
    </row>
    <row r="1011" spans="1:19" x14ac:dyDescent="0.35">
      <c r="A1011" t="s">
        <v>2098</v>
      </c>
      <c r="B1011" t="s">
        <v>1084</v>
      </c>
      <c r="C1011" s="1">
        <v>45422</v>
      </c>
      <c r="D1011" t="s">
        <v>57</v>
      </c>
      <c r="E1011" t="s">
        <v>58</v>
      </c>
      <c r="F1011" t="s">
        <v>45</v>
      </c>
      <c r="G1011" t="s">
        <v>31</v>
      </c>
      <c r="H1011" t="s">
        <v>59</v>
      </c>
      <c r="I1011" t="s">
        <v>60</v>
      </c>
      <c r="J1011">
        <v>5</v>
      </c>
      <c r="K1011">
        <v>158</v>
      </c>
      <c r="L1011">
        <v>790</v>
      </c>
      <c r="M1011">
        <v>46</v>
      </c>
      <c r="N1011" t="s">
        <v>33</v>
      </c>
      <c r="O1011">
        <v>4.4000000000000004</v>
      </c>
      <c r="P1011" s="2">
        <f>EOMONTH(Table1[[#This Row],[Order_Date]],0)</f>
        <v>45443</v>
      </c>
      <c r="Q1011" s="3">
        <f>WEEKNUM(Table1[[#This Row],[Order_Date]])</f>
        <v>19</v>
      </c>
      <c r="R1011">
        <f>YEAR(Table1[[#This Row],[Order_Date]])</f>
        <v>2024</v>
      </c>
      <c r="S1011" t="str">
        <f>IF(Table1[[#This Row],[Quantity]]&gt;=3,"Promo","Regular")</f>
        <v>Promo</v>
      </c>
    </row>
    <row r="1012" spans="1:19" x14ac:dyDescent="0.35">
      <c r="A1012" t="s">
        <v>2098</v>
      </c>
      <c r="B1012" t="s">
        <v>1085</v>
      </c>
      <c r="C1012" s="1">
        <v>45538</v>
      </c>
      <c r="D1012" t="s">
        <v>57</v>
      </c>
      <c r="E1012" t="s">
        <v>62</v>
      </c>
      <c r="F1012" t="s">
        <v>41</v>
      </c>
      <c r="G1012" t="s">
        <v>18</v>
      </c>
      <c r="H1012" t="s">
        <v>26</v>
      </c>
      <c r="I1012" t="s">
        <v>20</v>
      </c>
      <c r="J1012">
        <v>3</v>
      </c>
      <c r="K1012">
        <v>264</v>
      </c>
      <c r="L1012">
        <v>792</v>
      </c>
      <c r="M1012">
        <v>21</v>
      </c>
      <c r="N1012" t="s">
        <v>21</v>
      </c>
      <c r="O1012">
        <v>4</v>
      </c>
      <c r="P1012" s="2">
        <f>EOMONTH(Table1[[#This Row],[Order_Date]],0)</f>
        <v>45565</v>
      </c>
      <c r="Q1012" s="3">
        <f>WEEKNUM(Table1[[#This Row],[Order_Date]])</f>
        <v>36</v>
      </c>
      <c r="R1012">
        <f>YEAR(Table1[[#This Row],[Order_Date]])</f>
        <v>2024</v>
      </c>
      <c r="S1012" t="str">
        <f>IF(Table1[[#This Row],[Quantity]]&gt;=3,"Promo","Regular")</f>
        <v>Promo</v>
      </c>
    </row>
    <row r="1013" spans="1:19" x14ac:dyDescent="0.35">
      <c r="A1013" t="s">
        <v>2098</v>
      </c>
      <c r="B1013" t="s">
        <v>1086</v>
      </c>
      <c r="C1013" s="1">
        <v>45380</v>
      </c>
      <c r="D1013" t="s">
        <v>48</v>
      </c>
      <c r="E1013" t="s">
        <v>64</v>
      </c>
      <c r="F1013" t="s">
        <v>65</v>
      </c>
      <c r="G1013" t="s">
        <v>36</v>
      </c>
      <c r="H1013" t="s">
        <v>66</v>
      </c>
      <c r="I1013" t="s">
        <v>20</v>
      </c>
      <c r="J1013">
        <v>4</v>
      </c>
      <c r="K1013">
        <v>387</v>
      </c>
      <c r="L1013">
        <v>1548</v>
      </c>
      <c r="M1013">
        <v>52</v>
      </c>
      <c r="N1013" t="s">
        <v>33</v>
      </c>
      <c r="O1013">
        <v>3.5</v>
      </c>
      <c r="P1013" s="2">
        <f>EOMONTH(Table1[[#This Row],[Order_Date]],0)</f>
        <v>45382</v>
      </c>
      <c r="Q1013" s="3">
        <f>WEEKNUM(Table1[[#This Row],[Order_Date]])</f>
        <v>13</v>
      </c>
      <c r="R1013">
        <f>YEAR(Table1[[#This Row],[Order_Date]])</f>
        <v>2024</v>
      </c>
      <c r="S1013" t="str">
        <f>IF(Table1[[#This Row],[Quantity]]&gt;=3,"Promo","Regular")</f>
        <v>Promo</v>
      </c>
    </row>
    <row r="1014" spans="1:19" x14ac:dyDescent="0.35">
      <c r="A1014" t="s">
        <v>2099</v>
      </c>
      <c r="B1014" t="s">
        <v>1087</v>
      </c>
      <c r="C1014" s="1">
        <v>45357</v>
      </c>
      <c r="D1014" t="s">
        <v>48</v>
      </c>
      <c r="E1014" t="s">
        <v>68</v>
      </c>
      <c r="F1014" t="s">
        <v>69</v>
      </c>
      <c r="G1014" t="s">
        <v>25</v>
      </c>
      <c r="H1014" t="s">
        <v>55</v>
      </c>
      <c r="I1014" t="s">
        <v>20</v>
      </c>
      <c r="J1014">
        <v>1</v>
      </c>
      <c r="K1014">
        <v>313</v>
      </c>
      <c r="L1014">
        <v>313</v>
      </c>
      <c r="M1014">
        <v>40</v>
      </c>
      <c r="N1014" t="s">
        <v>38</v>
      </c>
      <c r="O1014">
        <v>3.1</v>
      </c>
      <c r="P1014" s="2">
        <f>EOMONTH(Table1[[#This Row],[Order_Date]],0)</f>
        <v>45382</v>
      </c>
      <c r="Q1014" s="3">
        <f>WEEKNUM(Table1[[#This Row],[Order_Date]])</f>
        <v>10</v>
      </c>
      <c r="R1014">
        <f>YEAR(Table1[[#This Row],[Order_Date]])</f>
        <v>2024</v>
      </c>
      <c r="S1014" t="str">
        <f>IF(Table1[[#This Row],[Quantity]]&gt;=3,"Promo","Regular")</f>
        <v>Regular</v>
      </c>
    </row>
    <row r="1015" spans="1:19" x14ac:dyDescent="0.35">
      <c r="A1015" t="s">
        <v>2099</v>
      </c>
      <c r="B1015" t="s">
        <v>1088</v>
      </c>
      <c r="C1015" s="1">
        <v>45567</v>
      </c>
      <c r="D1015" t="s">
        <v>28</v>
      </c>
      <c r="E1015" t="s">
        <v>71</v>
      </c>
      <c r="F1015" t="s">
        <v>72</v>
      </c>
      <c r="G1015" t="s">
        <v>73</v>
      </c>
      <c r="H1015" t="s">
        <v>59</v>
      </c>
      <c r="I1015" t="s">
        <v>60</v>
      </c>
      <c r="J1015">
        <v>1</v>
      </c>
      <c r="K1015">
        <v>241</v>
      </c>
      <c r="L1015">
        <v>241</v>
      </c>
      <c r="M1015">
        <v>35</v>
      </c>
      <c r="N1015" t="s">
        <v>38</v>
      </c>
      <c r="O1015">
        <v>3.9</v>
      </c>
      <c r="P1015" s="2">
        <f>EOMONTH(Table1[[#This Row],[Order_Date]],0)</f>
        <v>45596</v>
      </c>
      <c r="Q1015" s="3">
        <f>WEEKNUM(Table1[[#This Row],[Order_Date]])</f>
        <v>40</v>
      </c>
      <c r="R1015">
        <f>YEAR(Table1[[#This Row],[Order_Date]])</f>
        <v>2024</v>
      </c>
      <c r="S1015" t="str">
        <f>IF(Table1[[#This Row],[Quantity]]&gt;=3,"Promo","Regular")</f>
        <v>Regular</v>
      </c>
    </row>
    <row r="1016" spans="1:19" x14ac:dyDescent="0.35">
      <c r="A1016" t="s">
        <v>2099</v>
      </c>
      <c r="B1016" t="s">
        <v>1089</v>
      </c>
      <c r="C1016" s="1">
        <v>45335</v>
      </c>
      <c r="D1016" t="s">
        <v>57</v>
      </c>
      <c r="E1016" t="s">
        <v>75</v>
      </c>
      <c r="F1016" t="s">
        <v>69</v>
      </c>
      <c r="G1016" t="s">
        <v>36</v>
      </c>
      <c r="H1016" t="s">
        <v>53</v>
      </c>
      <c r="I1016" t="s">
        <v>20</v>
      </c>
      <c r="J1016">
        <v>2</v>
      </c>
      <c r="K1016">
        <v>199</v>
      </c>
      <c r="L1016">
        <v>398</v>
      </c>
      <c r="M1016">
        <v>47</v>
      </c>
      <c r="N1016" t="s">
        <v>33</v>
      </c>
      <c r="O1016">
        <v>3.9</v>
      </c>
      <c r="P1016" s="2">
        <f>EOMONTH(Table1[[#This Row],[Order_Date]],0)</f>
        <v>45351</v>
      </c>
      <c r="Q1016" s="3">
        <f>WEEKNUM(Table1[[#This Row],[Order_Date]])</f>
        <v>7</v>
      </c>
      <c r="R1016">
        <f>YEAR(Table1[[#This Row],[Order_Date]])</f>
        <v>2024</v>
      </c>
      <c r="S1016" t="str">
        <f>IF(Table1[[#This Row],[Quantity]]&gt;=3,"Promo","Regular")</f>
        <v>Regular</v>
      </c>
    </row>
    <row r="1017" spans="1:19" x14ac:dyDescent="0.35">
      <c r="A1017" t="s">
        <v>2100</v>
      </c>
      <c r="B1017" t="s">
        <v>1090</v>
      </c>
      <c r="C1017" s="1">
        <v>45370</v>
      </c>
      <c r="D1017" t="s">
        <v>28</v>
      </c>
      <c r="E1017" t="s">
        <v>77</v>
      </c>
      <c r="F1017" t="s">
        <v>45</v>
      </c>
      <c r="G1017" t="s">
        <v>18</v>
      </c>
      <c r="H1017" t="s">
        <v>26</v>
      </c>
      <c r="I1017" t="s">
        <v>20</v>
      </c>
      <c r="J1017">
        <v>2</v>
      </c>
      <c r="K1017">
        <v>309</v>
      </c>
      <c r="L1017">
        <v>618</v>
      </c>
      <c r="M1017">
        <v>23</v>
      </c>
      <c r="N1017" t="s">
        <v>38</v>
      </c>
      <c r="O1017">
        <v>3.9</v>
      </c>
      <c r="P1017" s="2">
        <f>EOMONTH(Table1[[#This Row],[Order_Date]],0)</f>
        <v>45382</v>
      </c>
      <c r="Q1017" s="3">
        <f>WEEKNUM(Table1[[#This Row],[Order_Date]])</f>
        <v>12</v>
      </c>
      <c r="R1017">
        <f>YEAR(Table1[[#This Row],[Order_Date]])</f>
        <v>2024</v>
      </c>
      <c r="S1017" t="str">
        <f>IF(Table1[[#This Row],[Quantity]]&gt;=3,"Promo","Regular")</f>
        <v>Regular</v>
      </c>
    </row>
    <row r="1018" spans="1:19" x14ac:dyDescent="0.35">
      <c r="A1018" t="s">
        <v>2100</v>
      </c>
      <c r="B1018" t="s">
        <v>1091</v>
      </c>
      <c r="C1018" s="1">
        <v>45412</v>
      </c>
      <c r="D1018" t="s">
        <v>43</v>
      </c>
      <c r="E1018" t="s">
        <v>52</v>
      </c>
      <c r="F1018" t="s">
        <v>45</v>
      </c>
      <c r="G1018" t="s">
        <v>73</v>
      </c>
      <c r="H1018" t="s">
        <v>37</v>
      </c>
      <c r="I1018" t="s">
        <v>20</v>
      </c>
      <c r="J1018">
        <v>5</v>
      </c>
      <c r="K1018">
        <v>111</v>
      </c>
      <c r="L1018">
        <v>555</v>
      </c>
      <c r="M1018">
        <v>30</v>
      </c>
      <c r="N1018" t="s">
        <v>38</v>
      </c>
      <c r="O1018">
        <v>4.5</v>
      </c>
      <c r="P1018" s="2">
        <f>EOMONTH(Table1[[#This Row],[Order_Date]],0)</f>
        <v>45412</v>
      </c>
      <c r="Q1018" s="3">
        <f>WEEKNUM(Table1[[#This Row],[Order_Date]])</f>
        <v>18</v>
      </c>
      <c r="R1018">
        <f>YEAR(Table1[[#This Row],[Order_Date]])</f>
        <v>2024</v>
      </c>
      <c r="S1018" t="str">
        <f>IF(Table1[[#This Row],[Quantity]]&gt;=3,"Promo","Regular")</f>
        <v>Promo</v>
      </c>
    </row>
    <row r="1019" spans="1:19" x14ac:dyDescent="0.35">
      <c r="A1019" t="s">
        <v>2100</v>
      </c>
      <c r="B1019" t="s">
        <v>1092</v>
      </c>
      <c r="C1019" s="1">
        <v>45547</v>
      </c>
      <c r="D1019" t="s">
        <v>15</v>
      </c>
      <c r="E1019" t="s">
        <v>16</v>
      </c>
      <c r="F1019" t="s">
        <v>45</v>
      </c>
      <c r="G1019" t="s">
        <v>46</v>
      </c>
      <c r="H1019" t="s">
        <v>50</v>
      </c>
      <c r="I1019" t="s">
        <v>20</v>
      </c>
      <c r="J1019">
        <v>5</v>
      </c>
      <c r="K1019">
        <v>223</v>
      </c>
      <c r="L1019">
        <v>1115</v>
      </c>
      <c r="M1019">
        <v>23</v>
      </c>
      <c r="N1019" t="s">
        <v>33</v>
      </c>
      <c r="O1019">
        <v>3.6</v>
      </c>
      <c r="P1019" s="2">
        <f>EOMONTH(Table1[[#This Row],[Order_Date]],0)</f>
        <v>45565</v>
      </c>
      <c r="Q1019" s="3">
        <f>WEEKNUM(Table1[[#This Row],[Order_Date]])</f>
        <v>37</v>
      </c>
      <c r="R1019">
        <f>YEAR(Table1[[#This Row],[Order_Date]])</f>
        <v>2024</v>
      </c>
      <c r="S1019" t="str">
        <f>IF(Table1[[#This Row],[Quantity]]&gt;=3,"Promo","Regular")</f>
        <v>Promo</v>
      </c>
    </row>
    <row r="1020" spans="1:19" x14ac:dyDescent="0.35">
      <c r="A1020" t="s">
        <v>2100</v>
      </c>
      <c r="B1020" t="s">
        <v>1093</v>
      </c>
      <c r="C1020" s="1">
        <v>45505</v>
      </c>
      <c r="D1020" t="s">
        <v>28</v>
      </c>
      <c r="E1020" t="s">
        <v>77</v>
      </c>
      <c r="F1020" t="s">
        <v>17</v>
      </c>
      <c r="G1020" t="s">
        <v>46</v>
      </c>
      <c r="H1020" t="s">
        <v>55</v>
      </c>
      <c r="I1020" t="s">
        <v>20</v>
      </c>
      <c r="J1020">
        <v>2</v>
      </c>
      <c r="K1020">
        <v>153</v>
      </c>
      <c r="L1020">
        <v>306</v>
      </c>
      <c r="M1020">
        <v>24</v>
      </c>
      <c r="N1020" t="s">
        <v>21</v>
      </c>
      <c r="O1020">
        <v>5</v>
      </c>
      <c r="P1020" s="2">
        <f>EOMONTH(Table1[[#This Row],[Order_Date]],0)</f>
        <v>45535</v>
      </c>
      <c r="Q1020" s="3">
        <f>WEEKNUM(Table1[[#This Row],[Order_Date]])</f>
        <v>31</v>
      </c>
      <c r="R1020">
        <f>YEAR(Table1[[#This Row],[Order_Date]])</f>
        <v>2024</v>
      </c>
      <c r="S1020" t="str">
        <f>IF(Table1[[#This Row],[Quantity]]&gt;=3,"Promo","Regular")</f>
        <v>Regular</v>
      </c>
    </row>
    <row r="1021" spans="1:19" x14ac:dyDescent="0.35">
      <c r="A1021" t="s">
        <v>2101</v>
      </c>
      <c r="B1021" t="s">
        <v>1094</v>
      </c>
      <c r="C1021" s="1">
        <v>45334</v>
      </c>
      <c r="D1021" t="s">
        <v>43</v>
      </c>
      <c r="E1021" t="s">
        <v>82</v>
      </c>
      <c r="F1021" t="s">
        <v>30</v>
      </c>
      <c r="G1021" t="s">
        <v>25</v>
      </c>
      <c r="H1021" t="s">
        <v>50</v>
      </c>
      <c r="I1021" t="s">
        <v>20</v>
      </c>
      <c r="J1021">
        <v>2</v>
      </c>
      <c r="K1021">
        <v>291</v>
      </c>
      <c r="L1021">
        <v>582</v>
      </c>
      <c r="M1021">
        <v>40</v>
      </c>
      <c r="N1021" t="s">
        <v>38</v>
      </c>
      <c r="O1021">
        <v>3.7</v>
      </c>
      <c r="P1021" s="2">
        <f>EOMONTH(Table1[[#This Row],[Order_Date]],0)</f>
        <v>45351</v>
      </c>
      <c r="Q1021" s="3">
        <f>WEEKNUM(Table1[[#This Row],[Order_Date]])</f>
        <v>7</v>
      </c>
      <c r="R1021">
        <f>YEAR(Table1[[#This Row],[Order_Date]])</f>
        <v>2024</v>
      </c>
      <c r="S1021" t="str">
        <f>IF(Table1[[#This Row],[Quantity]]&gt;=3,"Promo","Regular")</f>
        <v>Regular</v>
      </c>
    </row>
    <row r="1022" spans="1:19" x14ac:dyDescent="0.35">
      <c r="A1022" t="s">
        <v>2101</v>
      </c>
      <c r="B1022" t="s">
        <v>1095</v>
      </c>
      <c r="C1022" s="1">
        <v>45313</v>
      </c>
      <c r="D1022" t="s">
        <v>43</v>
      </c>
      <c r="E1022" t="s">
        <v>52</v>
      </c>
      <c r="F1022" t="s">
        <v>72</v>
      </c>
      <c r="G1022" t="s">
        <v>18</v>
      </c>
      <c r="H1022" t="s">
        <v>32</v>
      </c>
      <c r="I1022" t="s">
        <v>20</v>
      </c>
      <c r="J1022">
        <v>1</v>
      </c>
      <c r="K1022">
        <v>276</v>
      </c>
      <c r="L1022">
        <v>276</v>
      </c>
      <c r="M1022">
        <v>51</v>
      </c>
      <c r="N1022" t="s">
        <v>38</v>
      </c>
      <c r="O1022">
        <v>3.4</v>
      </c>
      <c r="P1022" s="2">
        <f>EOMONTH(Table1[[#This Row],[Order_Date]],0)</f>
        <v>45322</v>
      </c>
      <c r="Q1022" s="3">
        <f>WEEKNUM(Table1[[#This Row],[Order_Date]])</f>
        <v>4</v>
      </c>
      <c r="R1022">
        <f>YEAR(Table1[[#This Row],[Order_Date]])</f>
        <v>2024</v>
      </c>
      <c r="S1022" t="str">
        <f>IF(Table1[[#This Row],[Quantity]]&gt;=3,"Promo","Regular")</f>
        <v>Regular</v>
      </c>
    </row>
    <row r="1023" spans="1:19" x14ac:dyDescent="0.35">
      <c r="A1023" t="s">
        <v>2101</v>
      </c>
      <c r="B1023" t="s">
        <v>1096</v>
      </c>
      <c r="C1023" s="1">
        <v>45332</v>
      </c>
      <c r="D1023" t="s">
        <v>57</v>
      </c>
      <c r="E1023" t="s">
        <v>75</v>
      </c>
      <c r="F1023" t="s">
        <v>85</v>
      </c>
      <c r="G1023" t="s">
        <v>36</v>
      </c>
      <c r="H1023" t="s">
        <v>50</v>
      </c>
      <c r="I1023" t="s">
        <v>20</v>
      </c>
      <c r="J1023">
        <v>3</v>
      </c>
      <c r="K1023">
        <v>389</v>
      </c>
      <c r="L1023">
        <v>1167</v>
      </c>
      <c r="M1023">
        <v>41</v>
      </c>
      <c r="N1023" t="s">
        <v>33</v>
      </c>
      <c r="O1023">
        <v>3</v>
      </c>
      <c r="P1023" s="2">
        <f>EOMONTH(Table1[[#This Row],[Order_Date]],0)</f>
        <v>45351</v>
      </c>
      <c r="Q1023" s="3">
        <f>WEEKNUM(Table1[[#This Row],[Order_Date]])</f>
        <v>6</v>
      </c>
      <c r="R1023">
        <f>YEAR(Table1[[#This Row],[Order_Date]])</f>
        <v>2024</v>
      </c>
      <c r="S1023" t="str">
        <f>IF(Table1[[#This Row],[Quantity]]&gt;=3,"Promo","Regular")</f>
        <v>Promo</v>
      </c>
    </row>
    <row r="1024" spans="1:19" x14ac:dyDescent="0.35">
      <c r="A1024" t="s">
        <v>2101</v>
      </c>
      <c r="B1024" t="s">
        <v>1097</v>
      </c>
      <c r="C1024" s="1">
        <v>45509</v>
      </c>
      <c r="D1024" t="s">
        <v>15</v>
      </c>
      <c r="E1024" t="s">
        <v>16</v>
      </c>
      <c r="F1024" t="s">
        <v>65</v>
      </c>
      <c r="G1024" t="s">
        <v>73</v>
      </c>
      <c r="H1024" t="s">
        <v>50</v>
      </c>
      <c r="I1024" t="s">
        <v>20</v>
      </c>
      <c r="J1024">
        <v>2</v>
      </c>
      <c r="K1024">
        <v>213</v>
      </c>
      <c r="L1024">
        <v>426</v>
      </c>
      <c r="M1024">
        <v>27</v>
      </c>
      <c r="N1024" t="s">
        <v>33</v>
      </c>
      <c r="O1024">
        <v>3.9</v>
      </c>
      <c r="P1024" s="2">
        <f>EOMONTH(Table1[[#This Row],[Order_Date]],0)</f>
        <v>45535</v>
      </c>
      <c r="Q1024" s="3">
        <f>WEEKNUM(Table1[[#This Row],[Order_Date]])</f>
        <v>32</v>
      </c>
      <c r="R1024">
        <f>YEAR(Table1[[#This Row],[Order_Date]])</f>
        <v>2024</v>
      </c>
      <c r="S1024" t="str">
        <f>IF(Table1[[#This Row],[Quantity]]&gt;=3,"Promo","Regular")</f>
        <v>Regular</v>
      </c>
    </row>
    <row r="1025" spans="1:19" x14ac:dyDescent="0.35">
      <c r="A1025" t="s">
        <v>2101</v>
      </c>
      <c r="B1025" t="s">
        <v>1098</v>
      </c>
      <c r="C1025" s="1">
        <v>45371</v>
      </c>
      <c r="D1025" t="s">
        <v>48</v>
      </c>
      <c r="E1025" t="s">
        <v>49</v>
      </c>
      <c r="F1025" t="s">
        <v>30</v>
      </c>
      <c r="G1025" t="s">
        <v>25</v>
      </c>
      <c r="H1025" t="s">
        <v>55</v>
      </c>
      <c r="I1025" t="s">
        <v>20</v>
      </c>
      <c r="J1025">
        <v>4</v>
      </c>
      <c r="K1025">
        <v>448</v>
      </c>
      <c r="L1025">
        <v>1792</v>
      </c>
      <c r="M1025">
        <v>40</v>
      </c>
      <c r="N1025" t="s">
        <v>21</v>
      </c>
      <c r="O1025">
        <v>3.1</v>
      </c>
      <c r="P1025" s="2">
        <f>EOMONTH(Table1[[#This Row],[Order_Date]],0)</f>
        <v>45382</v>
      </c>
      <c r="Q1025" s="3">
        <f>WEEKNUM(Table1[[#This Row],[Order_Date]])</f>
        <v>12</v>
      </c>
      <c r="R1025">
        <f>YEAR(Table1[[#This Row],[Order_Date]])</f>
        <v>2024</v>
      </c>
      <c r="S1025" t="str">
        <f>IF(Table1[[#This Row],[Quantity]]&gt;=3,"Promo","Regular")</f>
        <v>Promo</v>
      </c>
    </row>
    <row r="1026" spans="1:19" x14ac:dyDescent="0.35">
      <c r="A1026" t="s">
        <v>2102</v>
      </c>
      <c r="B1026" t="s">
        <v>1099</v>
      </c>
      <c r="C1026" s="1">
        <v>45338</v>
      </c>
      <c r="D1026" t="s">
        <v>43</v>
      </c>
      <c r="E1026" t="s">
        <v>82</v>
      </c>
      <c r="F1026" t="s">
        <v>24</v>
      </c>
      <c r="G1026" t="s">
        <v>18</v>
      </c>
      <c r="H1026" t="s">
        <v>19</v>
      </c>
      <c r="I1026" t="s">
        <v>20</v>
      </c>
      <c r="J1026">
        <v>5</v>
      </c>
      <c r="K1026">
        <v>148</v>
      </c>
      <c r="L1026">
        <v>740</v>
      </c>
      <c r="M1026">
        <v>43</v>
      </c>
      <c r="N1026" t="s">
        <v>33</v>
      </c>
      <c r="O1026">
        <v>5</v>
      </c>
      <c r="P1026" s="2">
        <f>EOMONTH(Table1[[#This Row],[Order_Date]],0)</f>
        <v>45351</v>
      </c>
      <c r="Q1026" s="3">
        <f>WEEKNUM(Table1[[#This Row],[Order_Date]])</f>
        <v>7</v>
      </c>
      <c r="R1026">
        <f>YEAR(Table1[[#This Row],[Order_Date]])</f>
        <v>2024</v>
      </c>
      <c r="S1026" t="str">
        <f>IF(Table1[[#This Row],[Quantity]]&gt;=3,"Promo","Regular")</f>
        <v>Promo</v>
      </c>
    </row>
    <row r="1027" spans="1:19" x14ac:dyDescent="0.35">
      <c r="A1027" t="s">
        <v>2102</v>
      </c>
      <c r="B1027" t="s">
        <v>1100</v>
      </c>
      <c r="C1027" s="1">
        <v>45520</v>
      </c>
      <c r="D1027" t="s">
        <v>28</v>
      </c>
      <c r="E1027" t="s">
        <v>71</v>
      </c>
      <c r="F1027" t="s">
        <v>17</v>
      </c>
      <c r="G1027" t="s">
        <v>25</v>
      </c>
      <c r="H1027" t="s">
        <v>53</v>
      </c>
      <c r="I1027" t="s">
        <v>20</v>
      </c>
      <c r="J1027">
        <v>5</v>
      </c>
      <c r="K1027">
        <v>269</v>
      </c>
      <c r="L1027">
        <v>1345</v>
      </c>
      <c r="M1027">
        <v>21</v>
      </c>
      <c r="N1027" t="s">
        <v>38</v>
      </c>
      <c r="O1027">
        <v>4.4000000000000004</v>
      </c>
      <c r="P1027" s="2">
        <f>EOMONTH(Table1[[#This Row],[Order_Date]],0)</f>
        <v>45535</v>
      </c>
      <c r="Q1027" s="3">
        <f>WEEKNUM(Table1[[#This Row],[Order_Date]])</f>
        <v>33</v>
      </c>
      <c r="R1027">
        <f>YEAR(Table1[[#This Row],[Order_Date]])</f>
        <v>2024</v>
      </c>
      <c r="S1027" t="str">
        <f>IF(Table1[[#This Row],[Quantity]]&gt;=3,"Promo","Regular")</f>
        <v>Promo</v>
      </c>
    </row>
    <row r="1028" spans="1:19" x14ac:dyDescent="0.35">
      <c r="A1028" t="s">
        <v>2102</v>
      </c>
      <c r="B1028" t="s">
        <v>1101</v>
      </c>
      <c r="C1028" s="1">
        <v>45477</v>
      </c>
      <c r="D1028" t="s">
        <v>57</v>
      </c>
      <c r="E1028" t="s">
        <v>75</v>
      </c>
      <c r="F1028" t="s">
        <v>45</v>
      </c>
      <c r="G1028" t="s">
        <v>46</v>
      </c>
      <c r="H1028" t="s">
        <v>32</v>
      </c>
      <c r="I1028" t="s">
        <v>20</v>
      </c>
      <c r="J1028">
        <v>1</v>
      </c>
      <c r="K1028">
        <v>471</v>
      </c>
      <c r="L1028">
        <v>471</v>
      </c>
      <c r="M1028">
        <v>38</v>
      </c>
      <c r="N1028" t="s">
        <v>38</v>
      </c>
      <c r="O1028">
        <v>4</v>
      </c>
      <c r="P1028" s="2">
        <f>EOMONTH(Table1[[#This Row],[Order_Date]],0)</f>
        <v>45504</v>
      </c>
      <c r="Q1028" s="3">
        <f>WEEKNUM(Table1[[#This Row],[Order_Date]])</f>
        <v>27</v>
      </c>
      <c r="R1028">
        <f>YEAR(Table1[[#This Row],[Order_Date]])</f>
        <v>2024</v>
      </c>
      <c r="S1028" t="str">
        <f>IF(Table1[[#This Row],[Quantity]]&gt;=3,"Promo","Regular")</f>
        <v>Regular</v>
      </c>
    </row>
    <row r="1029" spans="1:19" x14ac:dyDescent="0.35">
      <c r="A1029" t="s">
        <v>2102</v>
      </c>
      <c r="B1029" t="s">
        <v>1102</v>
      </c>
      <c r="C1029" s="1">
        <v>45415</v>
      </c>
      <c r="D1029" t="s">
        <v>48</v>
      </c>
      <c r="E1029" t="s">
        <v>49</v>
      </c>
      <c r="F1029" t="s">
        <v>24</v>
      </c>
      <c r="G1029" t="s">
        <v>46</v>
      </c>
      <c r="H1029" t="s">
        <v>50</v>
      </c>
      <c r="I1029" t="s">
        <v>20</v>
      </c>
      <c r="J1029">
        <v>4</v>
      </c>
      <c r="K1029">
        <v>105</v>
      </c>
      <c r="L1029">
        <v>420</v>
      </c>
      <c r="M1029">
        <v>28</v>
      </c>
      <c r="N1029" t="s">
        <v>38</v>
      </c>
      <c r="O1029">
        <v>3.5</v>
      </c>
      <c r="P1029" s="2">
        <f>EOMONTH(Table1[[#This Row],[Order_Date]],0)</f>
        <v>45443</v>
      </c>
      <c r="Q1029" s="3">
        <f>WEEKNUM(Table1[[#This Row],[Order_Date]])</f>
        <v>18</v>
      </c>
      <c r="R1029">
        <f>YEAR(Table1[[#This Row],[Order_Date]])</f>
        <v>2024</v>
      </c>
      <c r="S1029" t="str">
        <f>IF(Table1[[#This Row],[Quantity]]&gt;=3,"Promo","Regular")</f>
        <v>Promo</v>
      </c>
    </row>
    <row r="1030" spans="1:19" x14ac:dyDescent="0.35">
      <c r="A1030" t="s">
        <v>2103</v>
      </c>
      <c r="B1030" t="s">
        <v>1103</v>
      </c>
      <c r="C1030" s="1">
        <v>45517</v>
      </c>
      <c r="D1030" t="s">
        <v>43</v>
      </c>
      <c r="E1030" t="s">
        <v>93</v>
      </c>
      <c r="F1030" t="s">
        <v>45</v>
      </c>
      <c r="G1030" t="s">
        <v>73</v>
      </c>
      <c r="H1030" t="s">
        <v>53</v>
      </c>
      <c r="I1030" t="s">
        <v>20</v>
      </c>
      <c r="J1030">
        <v>3</v>
      </c>
      <c r="K1030">
        <v>334</v>
      </c>
      <c r="L1030">
        <v>1002</v>
      </c>
      <c r="M1030">
        <v>54</v>
      </c>
      <c r="N1030" t="s">
        <v>33</v>
      </c>
      <c r="O1030">
        <v>3.1</v>
      </c>
      <c r="P1030" s="2">
        <f>EOMONTH(Table1[[#This Row],[Order_Date]],0)</f>
        <v>45535</v>
      </c>
      <c r="Q1030" s="3">
        <f>WEEKNUM(Table1[[#This Row],[Order_Date]])</f>
        <v>33</v>
      </c>
      <c r="R1030">
        <f>YEAR(Table1[[#This Row],[Order_Date]])</f>
        <v>2024</v>
      </c>
      <c r="S1030" t="str">
        <f>IF(Table1[[#This Row],[Quantity]]&gt;=3,"Promo","Regular")</f>
        <v>Promo</v>
      </c>
    </row>
    <row r="1031" spans="1:19" x14ac:dyDescent="0.35">
      <c r="A1031" t="s">
        <v>2103</v>
      </c>
      <c r="B1031" t="s">
        <v>1104</v>
      </c>
      <c r="C1031" s="1">
        <v>45398</v>
      </c>
      <c r="D1031" t="s">
        <v>15</v>
      </c>
      <c r="E1031" t="s">
        <v>95</v>
      </c>
      <c r="F1031" t="s">
        <v>85</v>
      </c>
      <c r="G1031" t="s">
        <v>36</v>
      </c>
      <c r="H1031" t="s">
        <v>53</v>
      </c>
      <c r="I1031" t="s">
        <v>20</v>
      </c>
      <c r="J1031">
        <v>3</v>
      </c>
      <c r="K1031">
        <v>316</v>
      </c>
      <c r="L1031">
        <v>948</v>
      </c>
      <c r="M1031">
        <v>46</v>
      </c>
      <c r="N1031" t="s">
        <v>21</v>
      </c>
      <c r="O1031">
        <v>3.9</v>
      </c>
      <c r="P1031" s="2">
        <f>EOMONTH(Table1[[#This Row],[Order_Date]],0)</f>
        <v>45412</v>
      </c>
      <c r="Q1031" s="3">
        <f>WEEKNUM(Table1[[#This Row],[Order_Date]])</f>
        <v>16</v>
      </c>
      <c r="R1031">
        <f>YEAR(Table1[[#This Row],[Order_Date]])</f>
        <v>2024</v>
      </c>
      <c r="S1031" t="str">
        <f>IF(Table1[[#This Row],[Quantity]]&gt;=3,"Promo","Regular")</f>
        <v>Promo</v>
      </c>
    </row>
    <row r="1032" spans="1:19" x14ac:dyDescent="0.35">
      <c r="A1032" t="s">
        <v>2103</v>
      </c>
      <c r="B1032" t="s">
        <v>1105</v>
      </c>
      <c r="C1032" s="1">
        <v>45481</v>
      </c>
      <c r="D1032" t="s">
        <v>48</v>
      </c>
      <c r="E1032" t="s">
        <v>49</v>
      </c>
      <c r="F1032" t="s">
        <v>72</v>
      </c>
      <c r="G1032" t="s">
        <v>36</v>
      </c>
      <c r="H1032" t="s">
        <v>19</v>
      </c>
      <c r="I1032" t="s">
        <v>20</v>
      </c>
      <c r="J1032">
        <v>5</v>
      </c>
      <c r="K1032">
        <v>349</v>
      </c>
      <c r="L1032">
        <v>1745</v>
      </c>
      <c r="M1032">
        <v>38</v>
      </c>
      <c r="N1032" t="s">
        <v>33</v>
      </c>
      <c r="O1032">
        <v>3.9</v>
      </c>
      <c r="P1032" s="2">
        <f>EOMONTH(Table1[[#This Row],[Order_Date]],0)</f>
        <v>45504</v>
      </c>
      <c r="Q1032" s="3">
        <f>WEEKNUM(Table1[[#This Row],[Order_Date]])</f>
        <v>28</v>
      </c>
      <c r="R1032">
        <f>YEAR(Table1[[#This Row],[Order_Date]])</f>
        <v>2024</v>
      </c>
      <c r="S1032" t="str">
        <f>IF(Table1[[#This Row],[Quantity]]&gt;=3,"Promo","Regular")</f>
        <v>Promo</v>
      </c>
    </row>
    <row r="1033" spans="1:19" x14ac:dyDescent="0.35">
      <c r="A1033" t="s">
        <v>2103</v>
      </c>
      <c r="B1033" t="s">
        <v>1106</v>
      </c>
      <c r="C1033" s="1">
        <v>45523</v>
      </c>
      <c r="D1033" t="s">
        <v>28</v>
      </c>
      <c r="E1033" t="s">
        <v>98</v>
      </c>
      <c r="F1033" t="s">
        <v>17</v>
      </c>
      <c r="G1033" t="s">
        <v>18</v>
      </c>
      <c r="H1033" t="s">
        <v>55</v>
      </c>
      <c r="I1033" t="s">
        <v>20</v>
      </c>
      <c r="J1033">
        <v>5</v>
      </c>
      <c r="K1033">
        <v>139</v>
      </c>
      <c r="L1033">
        <v>695</v>
      </c>
      <c r="M1033">
        <v>28</v>
      </c>
      <c r="N1033" t="s">
        <v>21</v>
      </c>
      <c r="O1033">
        <v>3.2</v>
      </c>
      <c r="P1033" s="2">
        <f>EOMONTH(Table1[[#This Row],[Order_Date]],0)</f>
        <v>45535</v>
      </c>
      <c r="Q1033" s="3">
        <f>WEEKNUM(Table1[[#This Row],[Order_Date]])</f>
        <v>34</v>
      </c>
      <c r="R1033">
        <f>YEAR(Table1[[#This Row],[Order_Date]])</f>
        <v>2024</v>
      </c>
      <c r="S1033" t="str">
        <f>IF(Table1[[#This Row],[Quantity]]&gt;=3,"Promo","Regular")</f>
        <v>Promo</v>
      </c>
    </row>
    <row r="1034" spans="1:19" x14ac:dyDescent="0.35">
      <c r="A1034" t="s">
        <v>2104</v>
      </c>
      <c r="B1034" t="s">
        <v>1107</v>
      </c>
      <c r="C1034" s="1">
        <v>45417</v>
      </c>
      <c r="D1034" t="s">
        <v>28</v>
      </c>
      <c r="E1034" t="s">
        <v>40</v>
      </c>
      <c r="F1034" t="s">
        <v>30</v>
      </c>
      <c r="G1034" t="s">
        <v>36</v>
      </c>
      <c r="H1034" t="s">
        <v>66</v>
      </c>
      <c r="I1034" t="s">
        <v>20</v>
      </c>
      <c r="J1034">
        <v>1</v>
      </c>
      <c r="K1034">
        <v>491</v>
      </c>
      <c r="L1034">
        <v>491</v>
      </c>
      <c r="M1034">
        <v>57</v>
      </c>
      <c r="N1034" t="s">
        <v>21</v>
      </c>
      <c r="O1034">
        <v>3.4</v>
      </c>
      <c r="P1034" s="2">
        <f>EOMONTH(Table1[[#This Row],[Order_Date]],0)</f>
        <v>45443</v>
      </c>
      <c r="Q1034" s="3">
        <f>WEEKNUM(Table1[[#This Row],[Order_Date]])</f>
        <v>19</v>
      </c>
      <c r="R1034">
        <f>YEAR(Table1[[#This Row],[Order_Date]])</f>
        <v>2024</v>
      </c>
      <c r="S1034" t="str">
        <f>IF(Table1[[#This Row],[Quantity]]&gt;=3,"Promo","Regular")</f>
        <v>Regular</v>
      </c>
    </row>
    <row r="1035" spans="1:19" x14ac:dyDescent="0.35">
      <c r="A1035" t="s">
        <v>2104</v>
      </c>
      <c r="B1035" t="s">
        <v>1108</v>
      </c>
      <c r="C1035" s="1">
        <v>45335</v>
      </c>
      <c r="D1035" t="s">
        <v>57</v>
      </c>
      <c r="E1035" t="s">
        <v>62</v>
      </c>
      <c r="F1035" t="s">
        <v>72</v>
      </c>
      <c r="G1035" t="s">
        <v>31</v>
      </c>
      <c r="H1035" t="s">
        <v>53</v>
      </c>
      <c r="I1035" t="s">
        <v>20</v>
      </c>
      <c r="J1035">
        <v>4</v>
      </c>
      <c r="K1035">
        <v>481</v>
      </c>
      <c r="L1035">
        <v>1924</v>
      </c>
      <c r="M1035">
        <v>51</v>
      </c>
      <c r="N1035" t="s">
        <v>21</v>
      </c>
      <c r="O1035">
        <v>3.2</v>
      </c>
      <c r="P1035" s="2">
        <f>EOMONTH(Table1[[#This Row],[Order_Date]],0)</f>
        <v>45351</v>
      </c>
      <c r="Q1035" s="3">
        <f>WEEKNUM(Table1[[#This Row],[Order_Date]])</f>
        <v>7</v>
      </c>
      <c r="R1035">
        <f>YEAR(Table1[[#This Row],[Order_Date]])</f>
        <v>2024</v>
      </c>
      <c r="S1035" t="str">
        <f>IF(Table1[[#This Row],[Quantity]]&gt;=3,"Promo","Regular")</f>
        <v>Promo</v>
      </c>
    </row>
    <row r="1036" spans="1:19" x14ac:dyDescent="0.35">
      <c r="A1036" t="s">
        <v>2104</v>
      </c>
      <c r="B1036" t="s">
        <v>1109</v>
      </c>
      <c r="C1036" s="1">
        <v>45444</v>
      </c>
      <c r="D1036" t="s">
        <v>43</v>
      </c>
      <c r="E1036" t="s">
        <v>52</v>
      </c>
      <c r="F1036" t="s">
        <v>45</v>
      </c>
      <c r="G1036" t="s">
        <v>36</v>
      </c>
      <c r="H1036" t="s">
        <v>32</v>
      </c>
      <c r="I1036" t="s">
        <v>20</v>
      </c>
      <c r="J1036">
        <v>4</v>
      </c>
      <c r="K1036">
        <v>402</v>
      </c>
      <c r="L1036">
        <v>1608</v>
      </c>
      <c r="M1036">
        <v>41</v>
      </c>
      <c r="N1036" t="s">
        <v>21</v>
      </c>
      <c r="O1036">
        <v>3.8</v>
      </c>
      <c r="P1036" s="2">
        <f>EOMONTH(Table1[[#This Row],[Order_Date]],0)</f>
        <v>45473</v>
      </c>
      <c r="Q1036" s="3">
        <f>WEEKNUM(Table1[[#This Row],[Order_Date]])</f>
        <v>22</v>
      </c>
      <c r="R1036">
        <f>YEAR(Table1[[#This Row],[Order_Date]])</f>
        <v>2024</v>
      </c>
      <c r="S1036" t="str">
        <f>IF(Table1[[#This Row],[Quantity]]&gt;=3,"Promo","Regular")</f>
        <v>Promo</v>
      </c>
    </row>
    <row r="1037" spans="1:19" x14ac:dyDescent="0.35">
      <c r="A1037" t="s">
        <v>2104</v>
      </c>
      <c r="B1037" t="s">
        <v>1110</v>
      </c>
      <c r="C1037" s="1">
        <v>45497</v>
      </c>
      <c r="D1037" t="s">
        <v>15</v>
      </c>
      <c r="E1037" t="s">
        <v>103</v>
      </c>
      <c r="F1037" t="s">
        <v>17</v>
      </c>
      <c r="G1037" t="s">
        <v>36</v>
      </c>
      <c r="H1037" t="s">
        <v>37</v>
      </c>
      <c r="I1037" t="s">
        <v>20</v>
      </c>
      <c r="J1037">
        <v>4</v>
      </c>
      <c r="K1037">
        <v>133</v>
      </c>
      <c r="L1037">
        <v>532</v>
      </c>
      <c r="M1037">
        <v>21</v>
      </c>
      <c r="N1037" t="s">
        <v>33</v>
      </c>
      <c r="O1037">
        <v>4.5</v>
      </c>
      <c r="P1037" s="2">
        <f>EOMONTH(Table1[[#This Row],[Order_Date]],0)</f>
        <v>45504</v>
      </c>
      <c r="Q1037" s="3">
        <f>WEEKNUM(Table1[[#This Row],[Order_Date]])</f>
        <v>30</v>
      </c>
      <c r="R1037">
        <f>YEAR(Table1[[#This Row],[Order_Date]])</f>
        <v>2024</v>
      </c>
      <c r="S1037" t="str">
        <f>IF(Table1[[#This Row],[Quantity]]&gt;=3,"Promo","Regular")</f>
        <v>Promo</v>
      </c>
    </row>
    <row r="1038" spans="1:19" x14ac:dyDescent="0.35">
      <c r="A1038" t="s">
        <v>2104</v>
      </c>
      <c r="B1038" t="s">
        <v>1111</v>
      </c>
      <c r="C1038" s="1">
        <v>45582</v>
      </c>
      <c r="D1038" t="s">
        <v>57</v>
      </c>
      <c r="E1038" t="s">
        <v>105</v>
      </c>
      <c r="F1038" t="s">
        <v>30</v>
      </c>
      <c r="G1038" t="s">
        <v>25</v>
      </c>
      <c r="H1038" t="s">
        <v>53</v>
      </c>
      <c r="I1038" t="s">
        <v>20</v>
      </c>
      <c r="J1038">
        <v>3</v>
      </c>
      <c r="K1038">
        <v>185</v>
      </c>
      <c r="L1038">
        <v>555</v>
      </c>
      <c r="M1038">
        <v>46</v>
      </c>
      <c r="N1038" t="s">
        <v>38</v>
      </c>
      <c r="O1038">
        <v>4.0999999999999996</v>
      </c>
      <c r="P1038" s="2">
        <f>EOMONTH(Table1[[#This Row],[Order_Date]],0)</f>
        <v>45596</v>
      </c>
      <c r="Q1038" s="3">
        <f>WEEKNUM(Table1[[#This Row],[Order_Date]])</f>
        <v>42</v>
      </c>
      <c r="R1038">
        <f>YEAR(Table1[[#This Row],[Order_Date]])</f>
        <v>2024</v>
      </c>
      <c r="S1038" t="str">
        <f>IF(Table1[[#This Row],[Quantity]]&gt;=3,"Promo","Regular")</f>
        <v>Promo</v>
      </c>
    </row>
    <row r="1039" spans="1:19" x14ac:dyDescent="0.35">
      <c r="A1039" t="s">
        <v>2105</v>
      </c>
      <c r="B1039" t="s">
        <v>1112</v>
      </c>
      <c r="C1039" s="1">
        <v>45588</v>
      </c>
      <c r="D1039" t="s">
        <v>28</v>
      </c>
      <c r="E1039" t="s">
        <v>77</v>
      </c>
      <c r="F1039" t="s">
        <v>85</v>
      </c>
      <c r="G1039" t="s">
        <v>31</v>
      </c>
      <c r="H1039" t="s">
        <v>32</v>
      </c>
      <c r="I1039" t="s">
        <v>20</v>
      </c>
      <c r="J1039">
        <v>3</v>
      </c>
      <c r="K1039">
        <v>329</v>
      </c>
      <c r="L1039">
        <v>987</v>
      </c>
      <c r="M1039">
        <v>39</v>
      </c>
      <c r="N1039" t="s">
        <v>33</v>
      </c>
      <c r="O1039">
        <v>4.7</v>
      </c>
      <c r="P1039" s="2">
        <f>EOMONTH(Table1[[#This Row],[Order_Date]],0)</f>
        <v>45596</v>
      </c>
      <c r="Q1039" s="3">
        <f>WEEKNUM(Table1[[#This Row],[Order_Date]])</f>
        <v>43</v>
      </c>
      <c r="R1039">
        <f>YEAR(Table1[[#This Row],[Order_Date]])</f>
        <v>2024</v>
      </c>
      <c r="S1039" t="str">
        <f>IF(Table1[[#This Row],[Quantity]]&gt;=3,"Promo","Regular")</f>
        <v>Promo</v>
      </c>
    </row>
    <row r="1040" spans="1:19" x14ac:dyDescent="0.35">
      <c r="A1040" t="s">
        <v>2105</v>
      </c>
      <c r="B1040" t="s">
        <v>1113</v>
      </c>
      <c r="C1040" s="1">
        <v>45491</v>
      </c>
      <c r="D1040" t="s">
        <v>28</v>
      </c>
      <c r="E1040" t="s">
        <v>71</v>
      </c>
      <c r="F1040" t="s">
        <v>85</v>
      </c>
      <c r="G1040" t="s">
        <v>18</v>
      </c>
      <c r="H1040" t="s">
        <v>59</v>
      </c>
      <c r="I1040" t="s">
        <v>60</v>
      </c>
      <c r="J1040">
        <v>1</v>
      </c>
      <c r="K1040">
        <v>298</v>
      </c>
      <c r="L1040">
        <v>298</v>
      </c>
      <c r="M1040">
        <v>47</v>
      </c>
      <c r="N1040" t="s">
        <v>33</v>
      </c>
      <c r="O1040">
        <v>3.3</v>
      </c>
      <c r="P1040" s="2">
        <f>EOMONTH(Table1[[#This Row],[Order_Date]],0)</f>
        <v>45504</v>
      </c>
      <c r="Q1040" s="3">
        <f>WEEKNUM(Table1[[#This Row],[Order_Date]])</f>
        <v>29</v>
      </c>
      <c r="R1040">
        <f>YEAR(Table1[[#This Row],[Order_Date]])</f>
        <v>2024</v>
      </c>
      <c r="S1040" t="str">
        <f>IF(Table1[[#This Row],[Quantity]]&gt;=3,"Promo","Regular")</f>
        <v>Regular</v>
      </c>
    </row>
    <row r="1041" spans="1:19" x14ac:dyDescent="0.35">
      <c r="A1041" t="s">
        <v>2105</v>
      </c>
      <c r="B1041" t="s">
        <v>1114</v>
      </c>
      <c r="C1041" s="1">
        <v>45403</v>
      </c>
      <c r="D1041" t="s">
        <v>57</v>
      </c>
      <c r="E1041" t="s">
        <v>105</v>
      </c>
      <c r="F1041" t="s">
        <v>45</v>
      </c>
      <c r="G1041" t="s">
        <v>46</v>
      </c>
      <c r="H1041" t="s">
        <v>55</v>
      </c>
      <c r="I1041" t="s">
        <v>20</v>
      </c>
      <c r="J1041">
        <v>3</v>
      </c>
      <c r="K1041">
        <v>305</v>
      </c>
      <c r="L1041">
        <v>915</v>
      </c>
      <c r="M1041">
        <v>55</v>
      </c>
      <c r="N1041" t="s">
        <v>21</v>
      </c>
      <c r="O1041">
        <v>4.4000000000000004</v>
      </c>
      <c r="P1041" s="2">
        <f>EOMONTH(Table1[[#This Row],[Order_Date]],0)</f>
        <v>45412</v>
      </c>
      <c r="Q1041" s="3">
        <f>WEEKNUM(Table1[[#This Row],[Order_Date]])</f>
        <v>17</v>
      </c>
      <c r="R1041">
        <f>YEAR(Table1[[#This Row],[Order_Date]])</f>
        <v>2024</v>
      </c>
      <c r="S1041" t="str">
        <f>IF(Table1[[#This Row],[Quantity]]&gt;=3,"Promo","Regular")</f>
        <v>Promo</v>
      </c>
    </row>
    <row r="1042" spans="1:19" x14ac:dyDescent="0.35">
      <c r="A1042" t="s">
        <v>2105</v>
      </c>
      <c r="B1042" t="s">
        <v>1115</v>
      </c>
      <c r="C1042" s="1">
        <v>45390</v>
      </c>
      <c r="D1042" t="s">
        <v>43</v>
      </c>
      <c r="E1042" t="s">
        <v>110</v>
      </c>
      <c r="F1042" t="s">
        <v>72</v>
      </c>
      <c r="G1042" t="s">
        <v>31</v>
      </c>
      <c r="H1042" t="s">
        <v>50</v>
      </c>
      <c r="I1042" t="s">
        <v>20</v>
      </c>
      <c r="J1042">
        <v>5</v>
      </c>
      <c r="K1042">
        <v>227</v>
      </c>
      <c r="L1042">
        <v>1135</v>
      </c>
      <c r="M1042">
        <v>28</v>
      </c>
      <c r="N1042" t="s">
        <v>38</v>
      </c>
      <c r="O1042">
        <v>4.2</v>
      </c>
      <c r="P1042" s="2">
        <f>EOMONTH(Table1[[#This Row],[Order_Date]],0)</f>
        <v>45412</v>
      </c>
      <c r="Q1042" s="3">
        <f>WEEKNUM(Table1[[#This Row],[Order_Date]])</f>
        <v>15</v>
      </c>
      <c r="R1042">
        <f>YEAR(Table1[[#This Row],[Order_Date]])</f>
        <v>2024</v>
      </c>
      <c r="S1042" t="str">
        <f>IF(Table1[[#This Row],[Quantity]]&gt;=3,"Promo","Regular")</f>
        <v>Promo</v>
      </c>
    </row>
    <row r="1043" spans="1:19" x14ac:dyDescent="0.35">
      <c r="A1043" t="s">
        <v>2105</v>
      </c>
      <c r="B1043" t="s">
        <v>1116</v>
      </c>
      <c r="C1043" s="1">
        <v>45341</v>
      </c>
      <c r="D1043" t="s">
        <v>15</v>
      </c>
      <c r="E1043" t="s">
        <v>112</v>
      </c>
      <c r="F1043" t="s">
        <v>35</v>
      </c>
      <c r="G1043" t="s">
        <v>36</v>
      </c>
      <c r="H1043" t="s">
        <v>50</v>
      </c>
      <c r="I1043" t="s">
        <v>20</v>
      </c>
      <c r="J1043">
        <v>4</v>
      </c>
      <c r="K1043">
        <v>131</v>
      </c>
      <c r="L1043">
        <v>524</v>
      </c>
      <c r="M1043">
        <v>44</v>
      </c>
      <c r="N1043" t="s">
        <v>21</v>
      </c>
      <c r="O1043">
        <v>4.7</v>
      </c>
      <c r="P1043" s="2">
        <f>EOMONTH(Table1[[#This Row],[Order_Date]],0)</f>
        <v>45351</v>
      </c>
      <c r="Q1043" s="3">
        <f>WEEKNUM(Table1[[#This Row],[Order_Date]])</f>
        <v>8</v>
      </c>
      <c r="R1043">
        <f>YEAR(Table1[[#This Row],[Order_Date]])</f>
        <v>2024</v>
      </c>
      <c r="S1043" t="str">
        <f>IF(Table1[[#This Row],[Quantity]]&gt;=3,"Promo","Regular")</f>
        <v>Promo</v>
      </c>
    </row>
    <row r="1044" spans="1:19" x14ac:dyDescent="0.35">
      <c r="A1044" t="s">
        <v>2106</v>
      </c>
      <c r="B1044" t="s">
        <v>1117</v>
      </c>
      <c r="C1044" s="1">
        <v>45338</v>
      </c>
      <c r="D1044" t="s">
        <v>28</v>
      </c>
      <c r="E1044" t="s">
        <v>77</v>
      </c>
      <c r="F1044" t="s">
        <v>69</v>
      </c>
      <c r="G1044" t="s">
        <v>18</v>
      </c>
      <c r="H1044" t="s">
        <v>19</v>
      </c>
      <c r="I1044" t="s">
        <v>20</v>
      </c>
      <c r="J1044">
        <v>3</v>
      </c>
      <c r="K1044">
        <v>272</v>
      </c>
      <c r="L1044">
        <v>816</v>
      </c>
      <c r="M1044">
        <v>42</v>
      </c>
      <c r="N1044" t="s">
        <v>21</v>
      </c>
      <c r="O1044">
        <v>4.0999999999999996</v>
      </c>
      <c r="P1044" s="2">
        <f>EOMONTH(Table1[[#This Row],[Order_Date]],0)</f>
        <v>45351</v>
      </c>
      <c r="Q1044" s="3">
        <f>WEEKNUM(Table1[[#This Row],[Order_Date]])</f>
        <v>7</v>
      </c>
      <c r="R1044">
        <f>YEAR(Table1[[#This Row],[Order_Date]])</f>
        <v>2024</v>
      </c>
      <c r="S1044" t="str">
        <f>IF(Table1[[#This Row],[Quantity]]&gt;=3,"Promo","Regular")</f>
        <v>Promo</v>
      </c>
    </row>
    <row r="1045" spans="1:19" x14ac:dyDescent="0.35">
      <c r="A1045" t="s">
        <v>2106</v>
      </c>
      <c r="B1045" t="s">
        <v>1118</v>
      </c>
      <c r="C1045" s="1">
        <v>45547</v>
      </c>
      <c r="D1045" t="s">
        <v>15</v>
      </c>
      <c r="E1045" t="s">
        <v>95</v>
      </c>
      <c r="F1045" t="s">
        <v>69</v>
      </c>
      <c r="G1045" t="s">
        <v>36</v>
      </c>
      <c r="H1045" t="s">
        <v>26</v>
      </c>
      <c r="I1045" t="s">
        <v>20</v>
      </c>
      <c r="J1045">
        <v>4</v>
      </c>
      <c r="K1045">
        <v>273</v>
      </c>
      <c r="L1045">
        <v>1092</v>
      </c>
      <c r="M1045">
        <v>42</v>
      </c>
      <c r="N1045" t="s">
        <v>21</v>
      </c>
      <c r="O1045">
        <v>4.0999999999999996</v>
      </c>
      <c r="P1045" s="2">
        <f>EOMONTH(Table1[[#This Row],[Order_Date]],0)</f>
        <v>45565</v>
      </c>
      <c r="Q1045" s="3">
        <f>WEEKNUM(Table1[[#This Row],[Order_Date]])</f>
        <v>37</v>
      </c>
      <c r="R1045">
        <f>YEAR(Table1[[#This Row],[Order_Date]])</f>
        <v>2024</v>
      </c>
      <c r="S1045" t="str">
        <f>IF(Table1[[#This Row],[Quantity]]&gt;=3,"Promo","Regular")</f>
        <v>Promo</v>
      </c>
    </row>
    <row r="1046" spans="1:19" x14ac:dyDescent="0.35">
      <c r="A1046" t="s">
        <v>2107</v>
      </c>
      <c r="B1046" t="s">
        <v>1119</v>
      </c>
      <c r="C1046" s="1">
        <v>45591</v>
      </c>
      <c r="D1046" t="s">
        <v>43</v>
      </c>
      <c r="E1046" t="s">
        <v>93</v>
      </c>
      <c r="F1046" t="s">
        <v>85</v>
      </c>
      <c r="G1046" t="s">
        <v>25</v>
      </c>
      <c r="H1046" t="s">
        <v>59</v>
      </c>
      <c r="I1046" t="s">
        <v>60</v>
      </c>
      <c r="J1046">
        <v>2</v>
      </c>
      <c r="K1046">
        <v>433</v>
      </c>
      <c r="L1046">
        <v>866</v>
      </c>
      <c r="M1046">
        <v>59</v>
      </c>
      <c r="N1046" t="s">
        <v>33</v>
      </c>
      <c r="O1046">
        <v>4.5</v>
      </c>
      <c r="P1046" s="2">
        <f>EOMONTH(Table1[[#This Row],[Order_Date]],0)</f>
        <v>45596</v>
      </c>
      <c r="Q1046" s="3">
        <f>WEEKNUM(Table1[[#This Row],[Order_Date]])</f>
        <v>43</v>
      </c>
      <c r="R1046">
        <f>YEAR(Table1[[#This Row],[Order_Date]])</f>
        <v>2024</v>
      </c>
      <c r="S1046" t="str">
        <f>IF(Table1[[#This Row],[Quantity]]&gt;=3,"Promo","Regular")</f>
        <v>Regular</v>
      </c>
    </row>
    <row r="1047" spans="1:19" x14ac:dyDescent="0.35">
      <c r="A1047" t="s">
        <v>2107</v>
      </c>
      <c r="B1047" t="s">
        <v>1120</v>
      </c>
      <c r="C1047" s="1">
        <v>45504</v>
      </c>
      <c r="D1047" t="s">
        <v>57</v>
      </c>
      <c r="E1047" t="s">
        <v>105</v>
      </c>
      <c r="F1047" t="s">
        <v>30</v>
      </c>
      <c r="G1047" t="s">
        <v>73</v>
      </c>
      <c r="H1047" t="s">
        <v>32</v>
      </c>
      <c r="I1047" t="s">
        <v>20</v>
      </c>
      <c r="J1047">
        <v>5</v>
      </c>
      <c r="K1047">
        <v>445</v>
      </c>
      <c r="L1047">
        <v>2225</v>
      </c>
      <c r="M1047">
        <v>39</v>
      </c>
      <c r="N1047" t="s">
        <v>38</v>
      </c>
      <c r="O1047">
        <v>3.6</v>
      </c>
      <c r="P1047" s="2">
        <f>EOMONTH(Table1[[#This Row],[Order_Date]],0)</f>
        <v>45504</v>
      </c>
      <c r="Q1047" s="3">
        <f>WEEKNUM(Table1[[#This Row],[Order_Date]])</f>
        <v>31</v>
      </c>
      <c r="R1047">
        <f>YEAR(Table1[[#This Row],[Order_Date]])</f>
        <v>2024</v>
      </c>
      <c r="S1047" t="str">
        <f>IF(Table1[[#This Row],[Quantity]]&gt;=3,"Promo","Regular")</f>
        <v>Promo</v>
      </c>
    </row>
    <row r="1048" spans="1:19" x14ac:dyDescent="0.35">
      <c r="A1048" t="s">
        <v>2108</v>
      </c>
      <c r="B1048" t="s">
        <v>1121</v>
      </c>
      <c r="C1048" s="1">
        <v>45302</v>
      </c>
      <c r="D1048" t="s">
        <v>48</v>
      </c>
      <c r="E1048" t="s">
        <v>64</v>
      </c>
      <c r="F1048" t="s">
        <v>17</v>
      </c>
      <c r="G1048" t="s">
        <v>25</v>
      </c>
      <c r="H1048" t="s">
        <v>66</v>
      </c>
      <c r="I1048" t="s">
        <v>20</v>
      </c>
      <c r="J1048">
        <v>2</v>
      </c>
      <c r="K1048">
        <v>418</v>
      </c>
      <c r="L1048">
        <v>836</v>
      </c>
      <c r="M1048">
        <v>20</v>
      </c>
      <c r="N1048" t="s">
        <v>38</v>
      </c>
      <c r="O1048">
        <v>5</v>
      </c>
      <c r="P1048" s="2">
        <f>EOMONTH(Table1[[#This Row],[Order_Date]],0)</f>
        <v>45322</v>
      </c>
      <c r="Q1048" s="3">
        <f>WEEKNUM(Table1[[#This Row],[Order_Date]])</f>
        <v>2</v>
      </c>
      <c r="R1048">
        <f>YEAR(Table1[[#This Row],[Order_Date]])</f>
        <v>2024</v>
      </c>
      <c r="S1048" t="str">
        <f>IF(Table1[[#This Row],[Quantity]]&gt;=3,"Promo","Regular")</f>
        <v>Regular</v>
      </c>
    </row>
    <row r="1049" spans="1:19" x14ac:dyDescent="0.35">
      <c r="A1049" t="s">
        <v>2108</v>
      </c>
      <c r="B1049" t="s">
        <v>1122</v>
      </c>
      <c r="C1049" s="1">
        <v>45554</v>
      </c>
      <c r="D1049" t="s">
        <v>48</v>
      </c>
      <c r="E1049" t="s">
        <v>49</v>
      </c>
      <c r="F1049" t="s">
        <v>69</v>
      </c>
      <c r="G1049" t="s">
        <v>25</v>
      </c>
      <c r="H1049" t="s">
        <v>53</v>
      </c>
      <c r="I1049" t="s">
        <v>20</v>
      </c>
      <c r="J1049">
        <v>2</v>
      </c>
      <c r="K1049">
        <v>214</v>
      </c>
      <c r="L1049">
        <v>428</v>
      </c>
      <c r="M1049">
        <v>21</v>
      </c>
      <c r="N1049" t="s">
        <v>33</v>
      </c>
      <c r="O1049">
        <v>3.7</v>
      </c>
      <c r="P1049" s="2">
        <f>EOMONTH(Table1[[#This Row],[Order_Date]],0)</f>
        <v>45565</v>
      </c>
      <c r="Q1049" s="3">
        <f>WEEKNUM(Table1[[#This Row],[Order_Date]])</f>
        <v>38</v>
      </c>
      <c r="R1049">
        <f>YEAR(Table1[[#This Row],[Order_Date]])</f>
        <v>2024</v>
      </c>
      <c r="S1049" t="str">
        <f>IF(Table1[[#This Row],[Quantity]]&gt;=3,"Promo","Regular")</f>
        <v>Regular</v>
      </c>
    </row>
    <row r="1050" spans="1:19" x14ac:dyDescent="0.35">
      <c r="A1050" t="s">
        <v>2108</v>
      </c>
      <c r="B1050" t="s">
        <v>1123</v>
      </c>
      <c r="C1050" s="1">
        <v>45378</v>
      </c>
      <c r="D1050" t="s">
        <v>15</v>
      </c>
      <c r="E1050" t="s">
        <v>112</v>
      </c>
      <c r="F1050" t="s">
        <v>85</v>
      </c>
      <c r="G1050" t="s">
        <v>36</v>
      </c>
      <c r="H1050" t="s">
        <v>120</v>
      </c>
      <c r="I1050" t="s">
        <v>60</v>
      </c>
      <c r="J1050">
        <v>1</v>
      </c>
      <c r="K1050">
        <v>336</v>
      </c>
      <c r="L1050">
        <v>336</v>
      </c>
      <c r="M1050">
        <v>40</v>
      </c>
      <c r="N1050" t="s">
        <v>21</v>
      </c>
      <c r="O1050">
        <v>3.4</v>
      </c>
      <c r="P1050" s="2">
        <f>EOMONTH(Table1[[#This Row],[Order_Date]],0)</f>
        <v>45382</v>
      </c>
      <c r="Q1050" s="3">
        <f>WEEKNUM(Table1[[#This Row],[Order_Date]])</f>
        <v>13</v>
      </c>
      <c r="R1050">
        <f>YEAR(Table1[[#This Row],[Order_Date]])</f>
        <v>2024</v>
      </c>
      <c r="S1050" t="str">
        <f>IF(Table1[[#This Row],[Quantity]]&gt;=3,"Promo","Regular")</f>
        <v>Regular</v>
      </c>
    </row>
    <row r="1051" spans="1:19" x14ac:dyDescent="0.35">
      <c r="A1051" t="s">
        <v>2109</v>
      </c>
      <c r="B1051" t="s">
        <v>1124</v>
      </c>
      <c r="C1051" s="1">
        <v>45391</v>
      </c>
      <c r="D1051" t="s">
        <v>57</v>
      </c>
      <c r="E1051" t="s">
        <v>105</v>
      </c>
      <c r="F1051" t="s">
        <v>72</v>
      </c>
      <c r="G1051" t="s">
        <v>25</v>
      </c>
      <c r="H1051" t="s">
        <v>59</v>
      </c>
      <c r="I1051" t="s">
        <v>60</v>
      </c>
      <c r="J1051">
        <v>3</v>
      </c>
      <c r="K1051">
        <v>464</v>
      </c>
      <c r="L1051">
        <v>1392</v>
      </c>
      <c r="M1051">
        <v>56</v>
      </c>
      <c r="N1051" t="s">
        <v>38</v>
      </c>
      <c r="O1051">
        <v>3</v>
      </c>
      <c r="P1051" s="2">
        <f>EOMONTH(Table1[[#This Row],[Order_Date]],0)</f>
        <v>45412</v>
      </c>
      <c r="Q1051" s="3">
        <f>WEEKNUM(Table1[[#This Row],[Order_Date]])</f>
        <v>15</v>
      </c>
      <c r="R1051">
        <f>YEAR(Table1[[#This Row],[Order_Date]])</f>
        <v>2024</v>
      </c>
      <c r="S1051" t="str">
        <f>IF(Table1[[#This Row],[Quantity]]&gt;=3,"Promo","Regular")</f>
        <v>Promo</v>
      </c>
    </row>
    <row r="1052" spans="1:19" x14ac:dyDescent="0.35">
      <c r="A1052" t="s">
        <v>2109</v>
      </c>
      <c r="B1052" t="s">
        <v>1125</v>
      </c>
      <c r="C1052" s="1">
        <v>45311</v>
      </c>
      <c r="D1052" t="s">
        <v>15</v>
      </c>
      <c r="E1052" t="s">
        <v>23</v>
      </c>
      <c r="F1052" t="s">
        <v>72</v>
      </c>
      <c r="G1052" t="s">
        <v>25</v>
      </c>
      <c r="H1052" t="s">
        <v>32</v>
      </c>
      <c r="I1052" t="s">
        <v>20</v>
      </c>
      <c r="J1052">
        <v>1</v>
      </c>
      <c r="K1052">
        <v>395</v>
      </c>
      <c r="L1052">
        <v>395</v>
      </c>
      <c r="M1052">
        <v>41</v>
      </c>
      <c r="N1052" t="s">
        <v>21</v>
      </c>
      <c r="O1052">
        <v>3.9</v>
      </c>
      <c r="P1052" s="2">
        <f>EOMONTH(Table1[[#This Row],[Order_Date]],0)</f>
        <v>45322</v>
      </c>
      <c r="Q1052" s="3">
        <f>WEEKNUM(Table1[[#This Row],[Order_Date]])</f>
        <v>3</v>
      </c>
      <c r="R1052">
        <f>YEAR(Table1[[#This Row],[Order_Date]])</f>
        <v>2024</v>
      </c>
      <c r="S1052" t="str">
        <f>IF(Table1[[#This Row],[Quantity]]&gt;=3,"Promo","Regular")</f>
        <v>Regular</v>
      </c>
    </row>
    <row r="1053" spans="1:19" x14ac:dyDescent="0.35">
      <c r="A1053" t="s">
        <v>2109</v>
      </c>
      <c r="B1053" t="s">
        <v>1126</v>
      </c>
      <c r="C1053" s="1">
        <v>45470</v>
      </c>
      <c r="D1053" t="s">
        <v>57</v>
      </c>
      <c r="E1053" t="s">
        <v>75</v>
      </c>
      <c r="F1053" t="s">
        <v>41</v>
      </c>
      <c r="G1053" t="s">
        <v>18</v>
      </c>
      <c r="H1053" t="s">
        <v>37</v>
      </c>
      <c r="I1053" t="s">
        <v>20</v>
      </c>
      <c r="J1053">
        <v>5</v>
      </c>
      <c r="K1053">
        <v>432</v>
      </c>
      <c r="L1053">
        <v>2160</v>
      </c>
      <c r="M1053">
        <v>41</v>
      </c>
      <c r="N1053" t="s">
        <v>21</v>
      </c>
      <c r="O1053">
        <v>3.1</v>
      </c>
      <c r="P1053" s="2">
        <f>EOMONTH(Table1[[#This Row],[Order_Date]],0)</f>
        <v>45473</v>
      </c>
      <c r="Q1053" s="3">
        <f>WEEKNUM(Table1[[#This Row],[Order_Date]])</f>
        <v>26</v>
      </c>
      <c r="R1053">
        <f>YEAR(Table1[[#This Row],[Order_Date]])</f>
        <v>2024</v>
      </c>
      <c r="S1053" t="str">
        <f>IF(Table1[[#This Row],[Quantity]]&gt;=3,"Promo","Regular")</f>
        <v>Promo</v>
      </c>
    </row>
    <row r="1054" spans="1:19" x14ac:dyDescent="0.35">
      <c r="A1054" t="s">
        <v>2109</v>
      </c>
      <c r="B1054" t="s">
        <v>1127</v>
      </c>
      <c r="C1054" s="1">
        <v>45533</v>
      </c>
      <c r="D1054" t="s">
        <v>48</v>
      </c>
      <c r="E1054" t="s">
        <v>68</v>
      </c>
      <c r="F1054" t="s">
        <v>85</v>
      </c>
      <c r="G1054" t="s">
        <v>46</v>
      </c>
      <c r="H1054" t="s">
        <v>26</v>
      </c>
      <c r="I1054" t="s">
        <v>20</v>
      </c>
      <c r="J1054">
        <v>1</v>
      </c>
      <c r="K1054">
        <v>394</v>
      </c>
      <c r="L1054">
        <v>394</v>
      </c>
      <c r="M1054">
        <v>46</v>
      </c>
      <c r="N1054" t="s">
        <v>21</v>
      </c>
      <c r="O1054">
        <v>5</v>
      </c>
      <c r="P1054" s="2">
        <f>EOMONTH(Table1[[#This Row],[Order_Date]],0)</f>
        <v>45535</v>
      </c>
      <c r="Q1054" s="3">
        <f>WEEKNUM(Table1[[#This Row],[Order_Date]])</f>
        <v>35</v>
      </c>
      <c r="R1054">
        <f>YEAR(Table1[[#This Row],[Order_Date]])</f>
        <v>2024</v>
      </c>
      <c r="S1054" t="str">
        <f>IF(Table1[[#This Row],[Quantity]]&gt;=3,"Promo","Regular")</f>
        <v>Regular</v>
      </c>
    </row>
    <row r="1055" spans="1:19" x14ac:dyDescent="0.35">
      <c r="A1055" t="s">
        <v>2109</v>
      </c>
      <c r="B1055" t="s">
        <v>1128</v>
      </c>
      <c r="C1055" s="1">
        <v>45446</v>
      </c>
      <c r="D1055" t="s">
        <v>43</v>
      </c>
      <c r="E1055" t="s">
        <v>93</v>
      </c>
      <c r="F1055" t="s">
        <v>30</v>
      </c>
      <c r="G1055" t="s">
        <v>18</v>
      </c>
      <c r="H1055" t="s">
        <v>50</v>
      </c>
      <c r="I1055" t="s">
        <v>20</v>
      </c>
      <c r="J1055">
        <v>4</v>
      </c>
      <c r="K1055">
        <v>264</v>
      </c>
      <c r="L1055">
        <v>1056</v>
      </c>
      <c r="M1055">
        <v>55</v>
      </c>
      <c r="N1055" t="s">
        <v>33</v>
      </c>
      <c r="O1055">
        <v>4.4000000000000004</v>
      </c>
      <c r="P1055" s="2">
        <f>EOMONTH(Table1[[#This Row],[Order_Date]],0)</f>
        <v>45473</v>
      </c>
      <c r="Q1055" s="3">
        <f>WEEKNUM(Table1[[#This Row],[Order_Date]])</f>
        <v>23</v>
      </c>
      <c r="R1055">
        <f>YEAR(Table1[[#This Row],[Order_Date]])</f>
        <v>2024</v>
      </c>
      <c r="S1055" t="str">
        <f>IF(Table1[[#This Row],[Quantity]]&gt;=3,"Promo","Regular")</f>
        <v>Promo</v>
      </c>
    </row>
    <row r="1056" spans="1:19" x14ac:dyDescent="0.35">
      <c r="A1056" t="s">
        <v>2110</v>
      </c>
      <c r="B1056" t="s">
        <v>1129</v>
      </c>
      <c r="C1056" s="1">
        <v>45522</v>
      </c>
      <c r="D1056" t="s">
        <v>48</v>
      </c>
      <c r="E1056" t="s">
        <v>127</v>
      </c>
      <c r="F1056" t="s">
        <v>72</v>
      </c>
      <c r="G1056" t="s">
        <v>46</v>
      </c>
      <c r="H1056" t="s">
        <v>50</v>
      </c>
      <c r="I1056" t="s">
        <v>20</v>
      </c>
      <c r="J1056">
        <v>3</v>
      </c>
      <c r="K1056">
        <v>256</v>
      </c>
      <c r="L1056">
        <v>768</v>
      </c>
      <c r="M1056">
        <v>43</v>
      </c>
      <c r="N1056" t="s">
        <v>33</v>
      </c>
      <c r="O1056">
        <v>4</v>
      </c>
      <c r="P1056" s="2">
        <f>EOMONTH(Table1[[#This Row],[Order_Date]],0)</f>
        <v>45535</v>
      </c>
      <c r="Q1056" s="3">
        <f>WEEKNUM(Table1[[#This Row],[Order_Date]])</f>
        <v>34</v>
      </c>
      <c r="R1056">
        <f>YEAR(Table1[[#This Row],[Order_Date]])</f>
        <v>2024</v>
      </c>
      <c r="S1056" t="str">
        <f>IF(Table1[[#This Row],[Quantity]]&gt;=3,"Promo","Regular")</f>
        <v>Promo</v>
      </c>
    </row>
    <row r="1057" spans="1:19" x14ac:dyDescent="0.35">
      <c r="A1057" t="s">
        <v>2110</v>
      </c>
      <c r="B1057" t="s">
        <v>1130</v>
      </c>
      <c r="C1057" s="1">
        <v>45557</v>
      </c>
      <c r="D1057" t="s">
        <v>48</v>
      </c>
      <c r="E1057" t="s">
        <v>68</v>
      </c>
      <c r="F1057" t="s">
        <v>41</v>
      </c>
      <c r="G1057" t="s">
        <v>25</v>
      </c>
      <c r="H1057" t="s">
        <v>66</v>
      </c>
      <c r="I1057" t="s">
        <v>20</v>
      </c>
      <c r="J1057">
        <v>4</v>
      </c>
      <c r="K1057">
        <v>178</v>
      </c>
      <c r="L1057">
        <v>712</v>
      </c>
      <c r="M1057">
        <v>53</v>
      </c>
      <c r="N1057" t="s">
        <v>38</v>
      </c>
      <c r="O1057">
        <v>3.5</v>
      </c>
      <c r="P1057" s="2">
        <f>EOMONTH(Table1[[#This Row],[Order_Date]],0)</f>
        <v>45565</v>
      </c>
      <c r="Q1057" s="3">
        <f>WEEKNUM(Table1[[#This Row],[Order_Date]])</f>
        <v>39</v>
      </c>
      <c r="R1057">
        <f>YEAR(Table1[[#This Row],[Order_Date]])</f>
        <v>2024</v>
      </c>
      <c r="S1057" t="str">
        <f>IF(Table1[[#This Row],[Quantity]]&gt;=3,"Promo","Regular")</f>
        <v>Promo</v>
      </c>
    </row>
    <row r="1058" spans="1:19" x14ac:dyDescent="0.35">
      <c r="A1058" t="s">
        <v>2111</v>
      </c>
      <c r="B1058" t="s">
        <v>1131</v>
      </c>
      <c r="C1058" s="1">
        <v>45294</v>
      </c>
      <c r="D1058" t="s">
        <v>48</v>
      </c>
      <c r="E1058" t="s">
        <v>49</v>
      </c>
      <c r="F1058" t="s">
        <v>41</v>
      </c>
      <c r="G1058" t="s">
        <v>18</v>
      </c>
      <c r="H1058" t="s">
        <v>32</v>
      </c>
      <c r="I1058" t="s">
        <v>20</v>
      </c>
      <c r="J1058">
        <v>1</v>
      </c>
      <c r="K1058">
        <v>481</v>
      </c>
      <c r="L1058">
        <v>481</v>
      </c>
      <c r="M1058">
        <v>41</v>
      </c>
      <c r="N1058" t="s">
        <v>21</v>
      </c>
      <c r="O1058">
        <v>3.1</v>
      </c>
      <c r="P1058" s="2">
        <f>EOMONTH(Table1[[#This Row],[Order_Date]],0)</f>
        <v>45322</v>
      </c>
      <c r="Q1058" s="3">
        <f>WEEKNUM(Table1[[#This Row],[Order_Date]])</f>
        <v>1</v>
      </c>
      <c r="R1058">
        <f>YEAR(Table1[[#This Row],[Order_Date]])</f>
        <v>2024</v>
      </c>
      <c r="S1058" t="str">
        <f>IF(Table1[[#This Row],[Quantity]]&gt;=3,"Promo","Regular")</f>
        <v>Regular</v>
      </c>
    </row>
    <row r="1059" spans="1:19" x14ac:dyDescent="0.35">
      <c r="A1059" t="s">
        <v>2111</v>
      </c>
      <c r="B1059" t="s">
        <v>1132</v>
      </c>
      <c r="C1059" s="1">
        <v>45504</v>
      </c>
      <c r="D1059" t="s">
        <v>57</v>
      </c>
      <c r="E1059" t="s">
        <v>75</v>
      </c>
      <c r="F1059" t="s">
        <v>69</v>
      </c>
      <c r="G1059" t="s">
        <v>31</v>
      </c>
      <c r="H1059" t="s">
        <v>53</v>
      </c>
      <c r="I1059" t="s">
        <v>20</v>
      </c>
      <c r="J1059">
        <v>3</v>
      </c>
      <c r="K1059">
        <v>200</v>
      </c>
      <c r="L1059">
        <v>600</v>
      </c>
      <c r="M1059">
        <v>36</v>
      </c>
      <c r="N1059" t="s">
        <v>33</v>
      </c>
      <c r="O1059">
        <v>3.9</v>
      </c>
      <c r="P1059" s="2">
        <f>EOMONTH(Table1[[#This Row],[Order_Date]],0)</f>
        <v>45504</v>
      </c>
      <c r="Q1059" s="3">
        <f>WEEKNUM(Table1[[#This Row],[Order_Date]])</f>
        <v>31</v>
      </c>
      <c r="R1059">
        <f>YEAR(Table1[[#This Row],[Order_Date]])</f>
        <v>2024</v>
      </c>
      <c r="S1059" t="str">
        <f>IF(Table1[[#This Row],[Quantity]]&gt;=3,"Promo","Regular")</f>
        <v>Promo</v>
      </c>
    </row>
    <row r="1060" spans="1:19" x14ac:dyDescent="0.35">
      <c r="A1060" t="s">
        <v>2111</v>
      </c>
      <c r="B1060" t="s">
        <v>1133</v>
      </c>
      <c r="C1060" s="1">
        <v>45388</v>
      </c>
      <c r="D1060" t="s">
        <v>48</v>
      </c>
      <c r="E1060" t="s">
        <v>132</v>
      </c>
      <c r="F1060" t="s">
        <v>65</v>
      </c>
      <c r="G1060" t="s">
        <v>36</v>
      </c>
      <c r="H1060" t="s">
        <v>66</v>
      </c>
      <c r="I1060" t="s">
        <v>20</v>
      </c>
      <c r="J1060">
        <v>2</v>
      </c>
      <c r="K1060">
        <v>441</v>
      </c>
      <c r="L1060">
        <v>882</v>
      </c>
      <c r="M1060">
        <v>36</v>
      </c>
      <c r="N1060" t="s">
        <v>38</v>
      </c>
      <c r="O1060">
        <v>3.9</v>
      </c>
      <c r="P1060" s="2">
        <f>EOMONTH(Table1[[#This Row],[Order_Date]],0)</f>
        <v>45412</v>
      </c>
      <c r="Q1060" s="3">
        <f>WEEKNUM(Table1[[#This Row],[Order_Date]])</f>
        <v>14</v>
      </c>
      <c r="R1060">
        <f>YEAR(Table1[[#This Row],[Order_Date]])</f>
        <v>2024</v>
      </c>
      <c r="S1060" t="str">
        <f>IF(Table1[[#This Row],[Quantity]]&gt;=3,"Promo","Regular")</f>
        <v>Regular</v>
      </c>
    </row>
    <row r="1061" spans="1:19" x14ac:dyDescent="0.35">
      <c r="A1061" t="s">
        <v>2112</v>
      </c>
      <c r="B1061" t="s">
        <v>1134</v>
      </c>
      <c r="C1061" s="1">
        <v>45337</v>
      </c>
      <c r="D1061" t="s">
        <v>28</v>
      </c>
      <c r="E1061" t="s">
        <v>77</v>
      </c>
      <c r="F1061" t="s">
        <v>72</v>
      </c>
      <c r="G1061" t="s">
        <v>31</v>
      </c>
      <c r="H1061" t="s">
        <v>32</v>
      </c>
      <c r="I1061" t="s">
        <v>20</v>
      </c>
      <c r="J1061">
        <v>4</v>
      </c>
      <c r="K1061">
        <v>441</v>
      </c>
      <c r="L1061">
        <v>1764</v>
      </c>
      <c r="M1061">
        <v>28</v>
      </c>
      <c r="N1061" t="s">
        <v>33</v>
      </c>
      <c r="O1061">
        <v>3.1</v>
      </c>
      <c r="P1061" s="2">
        <f>EOMONTH(Table1[[#This Row],[Order_Date]],0)</f>
        <v>45351</v>
      </c>
      <c r="Q1061" s="3">
        <f>WEEKNUM(Table1[[#This Row],[Order_Date]])</f>
        <v>7</v>
      </c>
      <c r="R1061">
        <f>YEAR(Table1[[#This Row],[Order_Date]])</f>
        <v>2024</v>
      </c>
      <c r="S1061" t="str">
        <f>IF(Table1[[#This Row],[Quantity]]&gt;=3,"Promo","Regular")</f>
        <v>Promo</v>
      </c>
    </row>
    <row r="1062" spans="1:19" x14ac:dyDescent="0.35">
      <c r="A1062" t="s">
        <v>2112</v>
      </c>
      <c r="B1062" t="s">
        <v>1135</v>
      </c>
      <c r="C1062" s="1">
        <v>45494</v>
      </c>
      <c r="D1062" t="s">
        <v>28</v>
      </c>
      <c r="E1062" t="s">
        <v>98</v>
      </c>
      <c r="F1062" t="s">
        <v>24</v>
      </c>
      <c r="G1062" t="s">
        <v>25</v>
      </c>
      <c r="H1062" t="s">
        <v>37</v>
      </c>
      <c r="I1062" t="s">
        <v>20</v>
      </c>
      <c r="J1062">
        <v>3</v>
      </c>
      <c r="K1062">
        <v>251</v>
      </c>
      <c r="L1062">
        <v>753</v>
      </c>
      <c r="M1062">
        <v>33</v>
      </c>
      <c r="N1062" t="s">
        <v>21</v>
      </c>
      <c r="O1062">
        <v>4.5</v>
      </c>
      <c r="P1062" s="2">
        <f>EOMONTH(Table1[[#This Row],[Order_Date]],0)</f>
        <v>45504</v>
      </c>
      <c r="Q1062" s="3">
        <f>WEEKNUM(Table1[[#This Row],[Order_Date]])</f>
        <v>30</v>
      </c>
      <c r="R1062">
        <f>YEAR(Table1[[#This Row],[Order_Date]])</f>
        <v>2024</v>
      </c>
      <c r="S1062" t="str">
        <f>IF(Table1[[#This Row],[Quantity]]&gt;=3,"Promo","Regular")</f>
        <v>Promo</v>
      </c>
    </row>
    <row r="1063" spans="1:19" x14ac:dyDescent="0.35">
      <c r="A1063" t="s">
        <v>2112</v>
      </c>
      <c r="B1063" t="s">
        <v>1136</v>
      </c>
      <c r="C1063" s="1">
        <v>45454</v>
      </c>
      <c r="D1063" t="s">
        <v>57</v>
      </c>
      <c r="E1063" t="s">
        <v>136</v>
      </c>
      <c r="F1063" t="s">
        <v>69</v>
      </c>
      <c r="G1063" t="s">
        <v>46</v>
      </c>
      <c r="H1063" t="s">
        <v>120</v>
      </c>
      <c r="I1063" t="s">
        <v>60</v>
      </c>
      <c r="J1063">
        <v>2</v>
      </c>
      <c r="K1063">
        <v>180</v>
      </c>
      <c r="L1063">
        <v>360</v>
      </c>
      <c r="M1063">
        <v>30</v>
      </c>
      <c r="N1063" t="s">
        <v>38</v>
      </c>
      <c r="O1063">
        <v>3.6</v>
      </c>
      <c r="P1063" s="2">
        <f>EOMONTH(Table1[[#This Row],[Order_Date]],0)</f>
        <v>45473</v>
      </c>
      <c r="Q1063" s="3">
        <f>WEEKNUM(Table1[[#This Row],[Order_Date]])</f>
        <v>24</v>
      </c>
      <c r="R1063">
        <f>YEAR(Table1[[#This Row],[Order_Date]])</f>
        <v>2024</v>
      </c>
      <c r="S1063" t="str">
        <f>IF(Table1[[#This Row],[Quantity]]&gt;=3,"Promo","Regular")</f>
        <v>Regular</v>
      </c>
    </row>
    <row r="1064" spans="1:19" x14ac:dyDescent="0.35">
      <c r="A1064" t="s">
        <v>2112</v>
      </c>
      <c r="B1064" t="s">
        <v>1137</v>
      </c>
      <c r="C1064" s="1">
        <v>45577</v>
      </c>
      <c r="D1064" t="s">
        <v>28</v>
      </c>
      <c r="E1064" t="s">
        <v>71</v>
      </c>
      <c r="F1064" t="s">
        <v>41</v>
      </c>
      <c r="G1064" t="s">
        <v>46</v>
      </c>
      <c r="H1064" t="s">
        <v>26</v>
      </c>
      <c r="I1064" t="s">
        <v>20</v>
      </c>
      <c r="J1064">
        <v>2</v>
      </c>
      <c r="K1064">
        <v>421</v>
      </c>
      <c r="L1064">
        <v>842</v>
      </c>
      <c r="M1064">
        <v>34</v>
      </c>
      <c r="N1064" t="s">
        <v>38</v>
      </c>
      <c r="O1064">
        <v>5</v>
      </c>
      <c r="P1064" s="2">
        <f>EOMONTH(Table1[[#This Row],[Order_Date]],0)</f>
        <v>45596</v>
      </c>
      <c r="Q1064" s="3">
        <f>WEEKNUM(Table1[[#This Row],[Order_Date]])</f>
        <v>41</v>
      </c>
      <c r="R1064">
        <f>YEAR(Table1[[#This Row],[Order_Date]])</f>
        <v>2024</v>
      </c>
      <c r="S1064" t="str">
        <f>IF(Table1[[#This Row],[Quantity]]&gt;=3,"Promo","Regular")</f>
        <v>Regular</v>
      </c>
    </row>
    <row r="1065" spans="1:19" x14ac:dyDescent="0.35">
      <c r="A1065" t="s">
        <v>2113</v>
      </c>
      <c r="B1065" t="s">
        <v>1138</v>
      </c>
      <c r="C1065" s="1">
        <v>45448</v>
      </c>
      <c r="D1065" t="s">
        <v>43</v>
      </c>
      <c r="E1065" t="s">
        <v>93</v>
      </c>
      <c r="F1065" t="s">
        <v>30</v>
      </c>
      <c r="G1065" t="s">
        <v>46</v>
      </c>
      <c r="H1065" t="s">
        <v>53</v>
      </c>
      <c r="I1065" t="s">
        <v>20</v>
      </c>
      <c r="J1065">
        <v>4</v>
      </c>
      <c r="K1065">
        <v>213</v>
      </c>
      <c r="L1065">
        <v>852</v>
      </c>
      <c r="M1065">
        <v>40</v>
      </c>
      <c r="N1065" t="s">
        <v>33</v>
      </c>
      <c r="O1065">
        <v>3.7</v>
      </c>
      <c r="P1065" s="2">
        <f>EOMONTH(Table1[[#This Row],[Order_Date]],0)</f>
        <v>45473</v>
      </c>
      <c r="Q1065" s="3">
        <f>WEEKNUM(Table1[[#This Row],[Order_Date]])</f>
        <v>23</v>
      </c>
      <c r="R1065">
        <f>YEAR(Table1[[#This Row],[Order_Date]])</f>
        <v>2024</v>
      </c>
      <c r="S1065" t="str">
        <f>IF(Table1[[#This Row],[Quantity]]&gt;=3,"Promo","Regular")</f>
        <v>Promo</v>
      </c>
    </row>
    <row r="1066" spans="1:19" x14ac:dyDescent="0.35">
      <c r="A1066" t="s">
        <v>2113</v>
      </c>
      <c r="B1066" t="s">
        <v>1139</v>
      </c>
      <c r="C1066" s="1">
        <v>45456</v>
      </c>
      <c r="D1066" t="s">
        <v>57</v>
      </c>
      <c r="E1066" t="s">
        <v>136</v>
      </c>
      <c r="F1066" t="s">
        <v>45</v>
      </c>
      <c r="G1066" t="s">
        <v>25</v>
      </c>
      <c r="H1066" t="s">
        <v>120</v>
      </c>
      <c r="I1066" t="s">
        <v>60</v>
      </c>
      <c r="J1066">
        <v>1</v>
      </c>
      <c r="K1066">
        <v>322</v>
      </c>
      <c r="L1066">
        <v>322</v>
      </c>
      <c r="M1066">
        <v>24</v>
      </c>
      <c r="N1066" t="s">
        <v>38</v>
      </c>
      <c r="O1066">
        <v>3.4</v>
      </c>
      <c r="P1066" s="2">
        <f>EOMONTH(Table1[[#This Row],[Order_Date]],0)</f>
        <v>45473</v>
      </c>
      <c r="Q1066" s="3">
        <f>WEEKNUM(Table1[[#This Row],[Order_Date]])</f>
        <v>24</v>
      </c>
      <c r="R1066">
        <f>YEAR(Table1[[#This Row],[Order_Date]])</f>
        <v>2024</v>
      </c>
      <c r="S1066" t="str">
        <f>IF(Table1[[#This Row],[Quantity]]&gt;=3,"Promo","Regular")</f>
        <v>Regular</v>
      </c>
    </row>
    <row r="1067" spans="1:19" x14ac:dyDescent="0.35">
      <c r="A1067" t="s">
        <v>2113</v>
      </c>
      <c r="B1067" t="s">
        <v>1140</v>
      </c>
      <c r="C1067" s="1">
        <v>45569</v>
      </c>
      <c r="D1067" t="s">
        <v>43</v>
      </c>
      <c r="E1067" t="s">
        <v>52</v>
      </c>
      <c r="F1067" t="s">
        <v>41</v>
      </c>
      <c r="G1067" t="s">
        <v>73</v>
      </c>
      <c r="H1067" t="s">
        <v>19</v>
      </c>
      <c r="I1067" t="s">
        <v>20</v>
      </c>
      <c r="J1067">
        <v>2</v>
      </c>
      <c r="K1067">
        <v>166</v>
      </c>
      <c r="L1067">
        <v>332</v>
      </c>
      <c r="M1067">
        <v>33</v>
      </c>
      <c r="N1067" t="s">
        <v>33</v>
      </c>
      <c r="O1067">
        <v>3</v>
      </c>
      <c r="P1067" s="2">
        <f>EOMONTH(Table1[[#This Row],[Order_Date]],0)</f>
        <v>45596</v>
      </c>
      <c r="Q1067" s="3">
        <f>WEEKNUM(Table1[[#This Row],[Order_Date]])</f>
        <v>40</v>
      </c>
      <c r="R1067">
        <f>YEAR(Table1[[#This Row],[Order_Date]])</f>
        <v>2024</v>
      </c>
      <c r="S1067" t="str">
        <f>IF(Table1[[#This Row],[Quantity]]&gt;=3,"Promo","Regular")</f>
        <v>Regular</v>
      </c>
    </row>
    <row r="1068" spans="1:19" x14ac:dyDescent="0.35">
      <c r="A1068" t="s">
        <v>2114</v>
      </c>
      <c r="B1068" t="s">
        <v>1141</v>
      </c>
      <c r="C1068" s="1">
        <v>45357</v>
      </c>
      <c r="D1068" t="s">
        <v>43</v>
      </c>
      <c r="E1068" t="s">
        <v>110</v>
      </c>
      <c r="F1068" t="s">
        <v>30</v>
      </c>
      <c r="G1068" t="s">
        <v>31</v>
      </c>
      <c r="H1068" t="s">
        <v>53</v>
      </c>
      <c r="I1068" t="s">
        <v>20</v>
      </c>
      <c r="J1068">
        <v>2</v>
      </c>
      <c r="K1068">
        <v>305</v>
      </c>
      <c r="L1068">
        <v>610</v>
      </c>
      <c r="M1068">
        <v>37</v>
      </c>
      <c r="N1068" t="s">
        <v>33</v>
      </c>
      <c r="O1068">
        <v>3.9</v>
      </c>
      <c r="P1068" s="2">
        <f>EOMONTH(Table1[[#This Row],[Order_Date]],0)</f>
        <v>45382</v>
      </c>
      <c r="Q1068" s="3">
        <f>WEEKNUM(Table1[[#This Row],[Order_Date]])</f>
        <v>10</v>
      </c>
      <c r="R1068">
        <f>YEAR(Table1[[#This Row],[Order_Date]])</f>
        <v>2024</v>
      </c>
      <c r="S1068" t="str">
        <f>IF(Table1[[#This Row],[Quantity]]&gt;=3,"Promo","Regular")</f>
        <v>Regular</v>
      </c>
    </row>
    <row r="1069" spans="1:19" x14ac:dyDescent="0.35">
      <c r="A1069" t="s">
        <v>2114</v>
      </c>
      <c r="B1069" t="s">
        <v>1142</v>
      </c>
      <c r="C1069" s="1">
        <v>45349</v>
      </c>
      <c r="D1069" t="s">
        <v>28</v>
      </c>
      <c r="E1069" t="s">
        <v>71</v>
      </c>
      <c r="F1069" t="s">
        <v>85</v>
      </c>
      <c r="G1069" t="s">
        <v>25</v>
      </c>
      <c r="H1069" t="s">
        <v>55</v>
      </c>
      <c r="I1069" t="s">
        <v>20</v>
      </c>
      <c r="J1069">
        <v>2</v>
      </c>
      <c r="K1069">
        <v>280</v>
      </c>
      <c r="L1069">
        <v>560</v>
      </c>
      <c r="M1069">
        <v>32</v>
      </c>
      <c r="N1069" t="s">
        <v>33</v>
      </c>
      <c r="O1069">
        <v>3.1</v>
      </c>
      <c r="P1069" s="2">
        <f>EOMONTH(Table1[[#This Row],[Order_Date]],0)</f>
        <v>45351</v>
      </c>
      <c r="Q1069" s="3">
        <f>WEEKNUM(Table1[[#This Row],[Order_Date]])</f>
        <v>9</v>
      </c>
      <c r="R1069">
        <f>YEAR(Table1[[#This Row],[Order_Date]])</f>
        <v>2024</v>
      </c>
      <c r="S1069" t="str">
        <f>IF(Table1[[#This Row],[Quantity]]&gt;=3,"Promo","Regular")</f>
        <v>Regular</v>
      </c>
    </row>
    <row r="1070" spans="1:19" x14ac:dyDescent="0.35">
      <c r="A1070" t="s">
        <v>2115</v>
      </c>
      <c r="B1070" t="s">
        <v>1143</v>
      </c>
      <c r="C1070" s="1">
        <v>45324</v>
      </c>
      <c r="D1070" t="s">
        <v>28</v>
      </c>
      <c r="E1070" t="s">
        <v>71</v>
      </c>
      <c r="F1070" t="s">
        <v>85</v>
      </c>
      <c r="G1070" t="s">
        <v>31</v>
      </c>
      <c r="H1070" t="s">
        <v>32</v>
      </c>
      <c r="I1070" t="s">
        <v>20</v>
      </c>
      <c r="J1070">
        <v>1</v>
      </c>
      <c r="K1070">
        <v>408</v>
      </c>
      <c r="L1070">
        <v>408</v>
      </c>
      <c r="M1070">
        <v>51</v>
      </c>
      <c r="N1070" t="s">
        <v>21</v>
      </c>
      <c r="O1070">
        <v>5</v>
      </c>
      <c r="P1070" s="2">
        <f>EOMONTH(Table1[[#This Row],[Order_Date]],0)</f>
        <v>45351</v>
      </c>
      <c r="Q1070" s="3">
        <f>WEEKNUM(Table1[[#This Row],[Order_Date]])</f>
        <v>5</v>
      </c>
      <c r="R1070">
        <f>YEAR(Table1[[#This Row],[Order_Date]])</f>
        <v>2024</v>
      </c>
      <c r="S1070" t="str">
        <f>IF(Table1[[#This Row],[Quantity]]&gt;=3,"Promo","Regular")</f>
        <v>Regular</v>
      </c>
    </row>
    <row r="1071" spans="1:19" x14ac:dyDescent="0.35">
      <c r="A1071" t="s">
        <v>2115</v>
      </c>
      <c r="B1071" t="s">
        <v>1144</v>
      </c>
      <c r="C1071" s="1">
        <v>45426</v>
      </c>
      <c r="D1071" t="s">
        <v>28</v>
      </c>
      <c r="E1071" t="s">
        <v>98</v>
      </c>
      <c r="F1071" t="s">
        <v>30</v>
      </c>
      <c r="G1071" t="s">
        <v>73</v>
      </c>
      <c r="H1071" t="s">
        <v>26</v>
      </c>
      <c r="I1071" t="s">
        <v>20</v>
      </c>
      <c r="J1071">
        <v>4</v>
      </c>
      <c r="K1071">
        <v>203</v>
      </c>
      <c r="L1071">
        <v>812</v>
      </c>
      <c r="M1071">
        <v>58</v>
      </c>
      <c r="N1071" t="s">
        <v>38</v>
      </c>
      <c r="O1071">
        <v>4.4000000000000004</v>
      </c>
      <c r="P1071" s="2">
        <f>EOMONTH(Table1[[#This Row],[Order_Date]],0)</f>
        <v>45443</v>
      </c>
      <c r="Q1071" s="3">
        <f>WEEKNUM(Table1[[#This Row],[Order_Date]])</f>
        <v>20</v>
      </c>
      <c r="R1071">
        <f>YEAR(Table1[[#This Row],[Order_Date]])</f>
        <v>2024</v>
      </c>
      <c r="S1071" t="str">
        <f>IF(Table1[[#This Row],[Quantity]]&gt;=3,"Promo","Regular")</f>
        <v>Promo</v>
      </c>
    </row>
    <row r="1072" spans="1:19" x14ac:dyDescent="0.35">
      <c r="A1072" t="s">
        <v>2116</v>
      </c>
      <c r="B1072" t="s">
        <v>1145</v>
      </c>
      <c r="C1072" s="1">
        <v>45390</v>
      </c>
      <c r="D1072" t="s">
        <v>15</v>
      </c>
      <c r="E1072" t="s">
        <v>16</v>
      </c>
      <c r="F1072" t="s">
        <v>85</v>
      </c>
      <c r="G1072" t="s">
        <v>46</v>
      </c>
      <c r="H1072" t="s">
        <v>37</v>
      </c>
      <c r="I1072" t="s">
        <v>20</v>
      </c>
      <c r="J1072">
        <v>5</v>
      </c>
      <c r="K1072">
        <v>487</v>
      </c>
      <c r="L1072">
        <v>2435</v>
      </c>
      <c r="M1072">
        <v>48</v>
      </c>
      <c r="N1072" t="s">
        <v>33</v>
      </c>
      <c r="O1072">
        <v>4</v>
      </c>
      <c r="P1072" s="2">
        <f>EOMONTH(Table1[[#This Row],[Order_Date]],0)</f>
        <v>45412</v>
      </c>
      <c r="Q1072" s="3">
        <f>WEEKNUM(Table1[[#This Row],[Order_Date]])</f>
        <v>15</v>
      </c>
      <c r="R1072">
        <f>YEAR(Table1[[#This Row],[Order_Date]])</f>
        <v>2024</v>
      </c>
      <c r="S1072" t="str">
        <f>IF(Table1[[#This Row],[Quantity]]&gt;=3,"Promo","Regular")</f>
        <v>Promo</v>
      </c>
    </row>
    <row r="1073" spans="1:19" x14ac:dyDescent="0.35">
      <c r="A1073" t="s">
        <v>2116</v>
      </c>
      <c r="B1073" t="s">
        <v>1146</v>
      </c>
      <c r="C1073" s="1">
        <v>45568</v>
      </c>
      <c r="D1073" t="s">
        <v>57</v>
      </c>
      <c r="E1073" t="s">
        <v>75</v>
      </c>
      <c r="F1073" t="s">
        <v>72</v>
      </c>
      <c r="G1073" t="s">
        <v>36</v>
      </c>
      <c r="H1073" t="s">
        <v>66</v>
      </c>
      <c r="I1073" t="s">
        <v>20</v>
      </c>
      <c r="J1073">
        <v>1</v>
      </c>
      <c r="K1073">
        <v>292</v>
      </c>
      <c r="L1073">
        <v>292</v>
      </c>
      <c r="M1073">
        <v>21</v>
      </c>
      <c r="N1073" t="s">
        <v>21</v>
      </c>
      <c r="O1073">
        <v>3.5</v>
      </c>
      <c r="P1073" s="2">
        <f>EOMONTH(Table1[[#This Row],[Order_Date]],0)</f>
        <v>45596</v>
      </c>
      <c r="Q1073" s="3">
        <f>WEEKNUM(Table1[[#This Row],[Order_Date]])</f>
        <v>40</v>
      </c>
      <c r="R1073">
        <f>YEAR(Table1[[#This Row],[Order_Date]])</f>
        <v>2024</v>
      </c>
      <c r="S1073" t="str">
        <f>IF(Table1[[#This Row],[Quantity]]&gt;=3,"Promo","Regular")</f>
        <v>Regular</v>
      </c>
    </row>
    <row r="1074" spans="1:19" x14ac:dyDescent="0.35">
      <c r="A1074" t="s">
        <v>2116</v>
      </c>
      <c r="B1074" t="s">
        <v>1147</v>
      </c>
      <c r="C1074" s="1">
        <v>45354</v>
      </c>
      <c r="D1074" t="s">
        <v>43</v>
      </c>
      <c r="E1074" t="s">
        <v>52</v>
      </c>
      <c r="F1074" t="s">
        <v>69</v>
      </c>
      <c r="G1074" t="s">
        <v>18</v>
      </c>
      <c r="H1074" t="s">
        <v>19</v>
      </c>
      <c r="I1074" t="s">
        <v>20</v>
      </c>
      <c r="J1074">
        <v>3</v>
      </c>
      <c r="K1074">
        <v>401</v>
      </c>
      <c r="L1074">
        <v>1203</v>
      </c>
      <c r="M1074">
        <v>40</v>
      </c>
      <c r="N1074" t="s">
        <v>21</v>
      </c>
      <c r="O1074">
        <v>3.1</v>
      </c>
      <c r="P1074" s="2">
        <f>EOMONTH(Table1[[#This Row],[Order_Date]],0)</f>
        <v>45382</v>
      </c>
      <c r="Q1074" s="3">
        <f>WEEKNUM(Table1[[#This Row],[Order_Date]])</f>
        <v>10</v>
      </c>
      <c r="R1074">
        <f>YEAR(Table1[[#This Row],[Order_Date]])</f>
        <v>2024</v>
      </c>
      <c r="S1074" t="str">
        <f>IF(Table1[[#This Row],[Quantity]]&gt;=3,"Promo","Regular")</f>
        <v>Promo</v>
      </c>
    </row>
    <row r="1075" spans="1:19" x14ac:dyDescent="0.35">
      <c r="A1075" t="s">
        <v>2116</v>
      </c>
      <c r="B1075" t="s">
        <v>1148</v>
      </c>
      <c r="C1075" s="1">
        <v>45327</v>
      </c>
      <c r="D1075" t="s">
        <v>57</v>
      </c>
      <c r="E1075" t="s">
        <v>105</v>
      </c>
      <c r="F1075" t="s">
        <v>30</v>
      </c>
      <c r="G1075" t="s">
        <v>18</v>
      </c>
      <c r="H1075" t="s">
        <v>32</v>
      </c>
      <c r="I1075" t="s">
        <v>20</v>
      </c>
      <c r="J1075">
        <v>4</v>
      </c>
      <c r="K1075">
        <v>392</v>
      </c>
      <c r="L1075">
        <v>1568</v>
      </c>
      <c r="M1075">
        <v>20</v>
      </c>
      <c r="N1075" t="s">
        <v>33</v>
      </c>
      <c r="O1075">
        <v>3.9</v>
      </c>
      <c r="P1075" s="2">
        <f>EOMONTH(Table1[[#This Row],[Order_Date]],0)</f>
        <v>45351</v>
      </c>
      <c r="Q1075" s="3">
        <f>WEEKNUM(Table1[[#This Row],[Order_Date]])</f>
        <v>6</v>
      </c>
      <c r="R1075">
        <f>YEAR(Table1[[#This Row],[Order_Date]])</f>
        <v>2024</v>
      </c>
      <c r="S1075" t="str">
        <f>IF(Table1[[#This Row],[Quantity]]&gt;=3,"Promo","Regular")</f>
        <v>Promo</v>
      </c>
    </row>
    <row r="1076" spans="1:19" x14ac:dyDescent="0.35">
      <c r="A1076" t="s">
        <v>2117</v>
      </c>
      <c r="B1076" t="s">
        <v>1149</v>
      </c>
      <c r="C1076" s="1">
        <v>45560</v>
      </c>
      <c r="D1076" t="s">
        <v>57</v>
      </c>
      <c r="E1076" t="s">
        <v>105</v>
      </c>
      <c r="F1076" t="s">
        <v>41</v>
      </c>
      <c r="G1076" t="s">
        <v>18</v>
      </c>
      <c r="H1076" t="s">
        <v>66</v>
      </c>
      <c r="I1076" t="s">
        <v>20</v>
      </c>
      <c r="J1076">
        <v>5</v>
      </c>
      <c r="K1076">
        <v>146</v>
      </c>
      <c r="L1076">
        <v>730</v>
      </c>
      <c r="M1076">
        <v>53</v>
      </c>
      <c r="N1076" t="s">
        <v>33</v>
      </c>
      <c r="O1076">
        <v>3.9</v>
      </c>
      <c r="P1076" s="2">
        <f>EOMONTH(Table1[[#This Row],[Order_Date]],0)</f>
        <v>45565</v>
      </c>
      <c r="Q1076" s="3">
        <f>WEEKNUM(Table1[[#This Row],[Order_Date]])</f>
        <v>39</v>
      </c>
      <c r="R1076">
        <f>YEAR(Table1[[#This Row],[Order_Date]])</f>
        <v>2024</v>
      </c>
      <c r="S1076" t="str">
        <f>IF(Table1[[#This Row],[Quantity]]&gt;=3,"Promo","Regular")</f>
        <v>Promo</v>
      </c>
    </row>
    <row r="1077" spans="1:19" x14ac:dyDescent="0.35">
      <c r="A1077" t="s">
        <v>2117</v>
      </c>
      <c r="B1077" t="s">
        <v>1150</v>
      </c>
      <c r="C1077" s="1">
        <v>45422</v>
      </c>
      <c r="D1077" t="s">
        <v>57</v>
      </c>
      <c r="E1077" t="s">
        <v>136</v>
      </c>
      <c r="F1077" t="s">
        <v>17</v>
      </c>
      <c r="G1077" t="s">
        <v>46</v>
      </c>
      <c r="H1077" t="s">
        <v>55</v>
      </c>
      <c r="I1077" t="s">
        <v>20</v>
      </c>
      <c r="J1077">
        <v>4</v>
      </c>
      <c r="K1077">
        <v>199</v>
      </c>
      <c r="L1077">
        <v>796</v>
      </c>
      <c r="M1077">
        <v>27</v>
      </c>
      <c r="N1077" t="s">
        <v>38</v>
      </c>
      <c r="O1077">
        <v>3.9</v>
      </c>
      <c r="P1077" s="2">
        <f>EOMONTH(Table1[[#This Row],[Order_Date]],0)</f>
        <v>45443</v>
      </c>
      <c r="Q1077" s="3">
        <f>WEEKNUM(Table1[[#This Row],[Order_Date]])</f>
        <v>19</v>
      </c>
      <c r="R1077">
        <f>YEAR(Table1[[#This Row],[Order_Date]])</f>
        <v>2024</v>
      </c>
      <c r="S1077" t="str">
        <f>IF(Table1[[#This Row],[Quantity]]&gt;=3,"Promo","Regular")</f>
        <v>Promo</v>
      </c>
    </row>
    <row r="1078" spans="1:19" x14ac:dyDescent="0.35">
      <c r="A1078" t="s">
        <v>2117</v>
      </c>
      <c r="B1078" t="s">
        <v>1151</v>
      </c>
      <c r="C1078" s="1">
        <v>45576</v>
      </c>
      <c r="D1078" t="s">
        <v>43</v>
      </c>
      <c r="E1078" t="s">
        <v>82</v>
      </c>
      <c r="F1078" t="s">
        <v>85</v>
      </c>
      <c r="G1078" t="s">
        <v>46</v>
      </c>
      <c r="H1078" t="s">
        <v>59</v>
      </c>
      <c r="I1078" t="s">
        <v>60</v>
      </c>
      <c r="J1078">
        <v>1</v>
      </c>
      <c r="K1078">
        <v>137</v>
      </c>
      <c r="L1078">
        <v>137</v>
      </c>
      <c r="M1078">
        <v>20</v>
      </c>
      <c r="N1078" t="s">
        <v>33</v>
      </c>
      <c r="O1078">
        <v>4.5</v>
      </c>
      <c r="P1078" s="2">
        <f>EOMONTH(Table1[[#This Row],[Order_Date]],0)</f>
        <v>45596</v>
      </c>
      <c r="Q1078" s="3">
        <f>WEEKNUM(Table1[[#This Row],[Order_Date]])</f>
        <v>41</v>
      </c>
      <c r="R1078">
        <f>YEAR(Table1[[#This Row],[Order_Date]])</f>
        <v>2024</v>
      </c>
      <c r="S1078" t="str">
        <f>IF(Table1[[#This Row],[Quantity]]&gt;=3,"Promo","Regular")</f>
        <v>Regular</v>
      </c>
    </row>
    <row r="1079" spans="1:19" x14ac:dyDescent="0.35">
      <c r="A1079" t="s">
        <v>2117</v>
      </c>
      <c r="B1079" t="s">
        <v>1152</v>
      </c>
      <c r="C1079" s="1">
        <v>45538</v>
      </c>
      <c r="D1079" t="s">
        <v>43</v>
      </c>
      <c r="E1079" t="s">
        <v>52</v>
      </c>
      <c r="F1079" t="s">
        <v>65</v>
      </c>
      <c r="G1079" t="s">
        <v>18</v>
      </c>
      <c r="H1079" t="s">
        <v>53</v>
      </c>
      <c r="I1079" t="s">
        <v>20</v>
      </c>
      <c r="J1079">
        <v>3</v>
      </c>
      <c r="K1079">
        <v>139</v>
      </c>
      <c r="L1079">
        <v>417</v>
      </c>
      <c r="M1079">
        <v>51</v>
      </c>
      <c r="N1079" t="s">
        <v>21</v>
      </c>
      <c r="O1079">
        <v>3.6</v>
      </c>
      <c r="P1079" s="2">
        <f>EOMONTH(Table1[[#This Row],[Order_Date]],0)</f>
        <v>45565</v>
      </c>
      <c r="Q1079" s="3">
        <f>WEEKNUM(Table1[[#This Row],[Order_Date]])</f>
        <v>36</v>
      </c>
      <c r="R1079">
        <f>YEAR(Table1[[#This Row],[Order_Date]])</f>
        <v>2024</v>
      </c>
      <c r="S1079" t="str">
        <f>IF(Table1[[#This Row],[Quantity]]&gt;=3,"Promo","Regular")</f>
        <v>Promo</v>
      </c>
    </row>
    <row r="1080" spans="1:19" x14ac:dyDescent="0.35">
      <c r="A1080" t="s">
        <v>2117</v>
      </c>
      <c r="B1080" t="s">
        <v>1153</v>
      </c>
      <c r="C1080" s="1">
        <v>45314</v>
      </c>
      <c r="D1080" t="s">
        <v>43</v>
      </c>
      <c r="E1080" t="s">
        <v>52</v>
      </c>
      <c r="F1080" t="s">
        <v>30</v>
      </c>
      <c r="G1080" t="s">
        <v>18</v>
      </c>
      <c r="H1080" t="s">
        <v>66</v>
      </c>
      <c r="I1080" t="s">
        <v>20</v>
      </c>
      <c r="J1080">
        <v>4</v>
      </c>
      <c r="K1080">
        <v>108</v>
      </c>
      <c r="L1080">
        <v>432</v>
      </c>
      <c r="M1080">
        <v>29</v>
      </c>
      <c r="N1080" t="s">
        <v>33</v>
      </c>
      <c r="O1080">
        <v>5</v>
      </c>
      <c r="P1080" s="2">
        <f>EOMONTH(Table1[[#This Row],[Order_Date]],0)</f>
        <v>45322</v>
      </c>
      <c r="Q1080" s="3">
        <f>WEEKNUM(Table1[[#This Row],[Order_Date]])</f>
        <v>4</v>
      </c>
      <c r="R1080">
        <f>YEAR(Table1[[#This Row],[Order_Date]])</f>
        <v>2024</v>
      </c>
      <c r="S1080" t="str">
        <f>IF(Table1[[#This Row],[Quantity]]&gt;=3,"Promo","Regular")</f>
        <v>Promo</v>
      </c>
    </row>
    <row r="1081" spans="1:19" x14ac:dyDescent="0.35">
      <c r="A1081" t="s">
        <v>2118</v>
      </c>
      <c r="B1081" t="s">
        <v>1154</v>
      </c>
      <c r="C1081" s="1">
        <v>45303</v>
      </c>
      <c r="D1081" t="s">
        <v>15</v>
      </c>
      <c r="E1081" t="s">
        <v>23</v>
      </c>
      <c r="F1081" t="s">
        <v>72</v>
      </c>
      <c r="G1081" t="s">
        <v>73</v>
      </c>
      <c r="H1081" t="s">
        <v>66</v>
      </c>
      <c r="I1081" t="s">
        <v>20</v>
      </c>
      <c r="J1081">
        <v>4</v>
      </c>
      <c r="K1081">
        <v>332</v>
      </c>
      <c r="L1081">
        <v>1328</v>
      </c>
      <c r="M1081">
        <v>30</v>
      </c>
      <c r="N1081" t="s">
        <v>21</v>
      </c>
      <c r="O1081">
        <v>3.7</v>
      </c>
      <c r="P1081" s="2">
        <f>EOMONTH(Table1[[#This Row],[Order_Date]],0)</f>
        <v>45322</v>
      </c>
      <c r="Q1081" s="3">
        <f>WEEKNUM(Table1[[#This Row],[Order_Date]])</f>
        <v>2</v>
      </c>
      <c r="R1081">
        <f>YEAR(Table1[[#This Row],[Order_Date]])</f>
        <v>2024</v>
      </c>
      <c r="S1081" t="str">
        <f>IF(Table1[[#This Row],[Quantity]]&gt;=3,"Promo","Regular")</f>
        <v>Promo</v>
      </c>
    </row>
    <row r="1082" spans="1:19" x14ac:dyDescent="0.35">
      <c r="A1082" t="s">
        <v>2118</v>
      </c>
      <c r="B1082" t="s">
        <v>1155</v>
      </c>
      <c r="C1082" s="1">
        <v>45398</v>
      </c>
      <c r="D1082" t="s">
        <v>48</v>
      </c>
      <c r="E1082" t="s">
        <v>64</v>
      </c>
      <c r="F1082" t="s">
        <v>65</v>
      </c>
      <c r="G1082" t="s">
        <v>31</v>
      </c>
      <c r="H1082" t="s">
        <v>19</v>
      </c>
      <c r="I1082" t="s">
        <v>20</v>
      </c>
      <c r="J1082">
        <v>2</v>
      </c>
      <c r="K1082">
        <v>146</v>
      </c>
      <c r="L1082">
        <v>292</v>
      </c>
      <c r="M1082">
        <v>50</v>
      </c>
      <c r="N1082" t="s">
        <v>33</v>
      </c>
      <c r="O1082">
        <v>3.4</v>
      </c>
      <c r="P1082" s="2">
        <f>EOMONTH(Table1[[#This Row],[Order_Date]],0)</f>
        <v>45412</v>
      </c>
      <c r="Q1082" s="3">
        <f>WEEKNUM(Table1[[#This Row],[Order_Date]])</f>
        <v>16</v>
      </c>
      <c r="R1082">
        <f>YEAR(Table1[[#This Row],[Order_Date]])</f>
        <v>2024</v>
      </c>
      <c r="S1082" t="str">
        <f>IF(Table1[[#This Row],[Quantity]]&gt;=3,"Promo","Regular")</f>
        <v>Regular</v>
      </c>
    </row>
    <row r="1083" spans="1:19" x14ac:dyDescent="0.35">
      <c r="A1083" t="s">
        <v>2118</v>
      </c>
      <c r="B1083" t="s">
        <v>1156</v>
      </c>
      <c r="C1083" s="1">
        <v>45342</v>
      </c>
      <c r="D1083" t="s">
        <v>43</v>
      </c>
      <c r="E1083" t="s">
        <v>110</v>
      </c>
      <c r="F1083" t="s">
        <v>35</v>
      </c>
      <c r="G1083" t="s">
        <v>18</v>
      </c>
      <c r="H1083" t="s">
        <v>26</v>
      </c>
      <c r="I1083" t="s">
        <v>20</v>
      </c>
      <c r="J1083">
        <v>4</v>
      </c>
      <c r="K1083">
        <v>126</v>
      </c>
      <c r="L1083">
        <v>504</v>
      </c>
      <c r="M1083">
        <v>21</v>
      </c>
      <c r="N1083" t="s">
        <v>33</v>
      </c>
      <c r="O1083">
        <v>3</v>
      </c>
      <c r="P1083" s="2">
        <f>EOMONTH(Table1[[#This Row],[Order_Date]],0)</f>
        <v>45351</v>
      </c>
      <c r="Q1083" s="3">
        <f>WEEKNUM(Table1[[#This Row],[Order_Date]])</f>
        <v>8</v>
      </c>
      <c r="R1083">
        <f>YEAR(Table1[[#This Row],[Order_Date]])</f>
        <v>2024</v>
      </c>
      <c r="S1083" t="str">
        <f>IF(Table1[[#This Row],[Quantity]]&gt;=3,"Promo","Regular")</f>
        <v>Promo</v>
      </c>
    </row>
    <row r="1084" spans="1:19" x14ac:dyDescent="0.35">
      <c r="A1084" t="s">
        <v>2118</v>
      </c>
      <c r="B1084" t="s">
        <v>1157</v>
      </c>
      <c r="C1084" s="1">
        <v>45317</v>
      </c>
      <c r="D1084" t="s">
        <v>28</v>
      </c>
      <c r="E1084" t="s">
        <v>77</v>
      </c>
      <c r="F1084" t="s">
        <v>35</v>
      </c>
      <c r="G1084" t="s">
        <v>73</v>
      </c>
      <c r="H1084" t="s">
        <v>66</v>
      </c>
      <c r="I1084" t="s">
        <v>20</v>
      </c>
      <c r="J1084">
        <v>5</v>
      </c>
      <c r="K1084">
        <v>203</v>
      </c>
      <c r="L1084">
        <v>1015</v>
      </c>
      <c r="M1084">
        <v>29</v>
      </c>
      <c r="N1084" t="s">
        <v>38</v>
      </c>
      <c r="O1084">
        <v>3.9</v>
      </c>
      <c r="P1084" s="2">
        <f>EOMONTH(Table1[[#This Row],[Order_Date]],0)</f>
        <v>45322</v>
      </c>
      <c r="Q1084" s="3">
        <f>WEEKNUM(Table1[[#This Row],[Order_Date]])</f>
        <v>4</v>
      </c>
      <c r="R1084">
        <f>YEAR(Table1[[#This Row],[Order_Date]])</f>
        <v>2024</v>
      </c>
      <c r="S1084" t="str">
        <f>IF(Table1[[#This Row],[Quantity]]&gt;=3,"Promo","Regular")</f>
        <v>Promo</v>
      </c>
    </row>
    <row r="1085" spans="1:19" x14ac:dyDescent="0.35">
      <c r="A1085" t="s">
        <v>2119</v>
      </c>
      <c r="B1085" t="s">
        <v>1158</v>
      </c>
      <c r="C1085" s="1">
        <v>45495</v>
      </c>
      <c r="D1085" t="s">
        <v>57</v>
      </c>
      <c r="E1085" t="s">
        <v>62</v>
      </c>
      <c r="F1085" t="s">
        <v>41</v>
      </c>
      <c r="G1085" t="s">
        <v>18</v>
      </c>
      <c r="H1085" t="s">
        <v>53</v>
      </c>
      <c r="I1085" t="s">
        <v>20</v>
      </c>
      <c r="J1085">
        <v>4</v>
      </c>
      <c r="K1085">
        <v>119</v>
      </c>
      <c r="L1085">
        <v>476</v>
      </c>
      <c r="M1085">
        <v>30</v>
      </c>
      <c r="N1085" t="s">
        <v>33</v>
      </c>
      <c r="O1085">
        <v>3.1</v>
      </c>
      <c r="P1085" s="2">
        <f>EOMONTH(Table1[[#This Row],[Order_Date]],0)</f>
        <v>45504</v>
      </c>
      <c r="Q1085" s="3">
        <f>WEEKNUM(Table1[[#This Row],[Order_Date]])</f>
        <v>30</v>
      </c>
      <c r="R1085">
        <f>YEAR(Table1[[#This Row],[Order_Date]])</f>
        <v>2024</v>
      </c>
      <c r="S1085" t="str">
        <f>IF(Table1[[#This Row],[Quantity]]&gt;=3,"Promo","Regular")</f>
        <v>Promo</v>
      </c>
    </row>
    <row r="1086" spans="1:19" x14ac:dyDescent="0.35">
      <c r="A1086" t="s">
        <v>2119</v>
      </c>
      <c r="B1086" t="s">
        <v>1159</v>
      </c>
      <c r="C1086" s="1">
        <v>45481</v>
      </c>
      <c r="D1086" t="s">
        <v>57</v>
      </c>
      <c r="E1086" t="s">
        <v>105</v>
      </c>
      <c r="F1086" t="s">
        <v>35</v>
      </c>
      <c r="G1086" t="s">
        <v>73</v>
      </c>
      <c r="H1086" t="s">
        <v>19</v>
      </c>
      <c r="I1086" t="s">
        <v>20</v>
      </c>
      <c r="J1086">
        <v>2</v>
      </c>
      <c r="K1086">
        <v>349</v>
      </c>
      <c r="L1086">
        <v>698</v>
      </c>
      <c r="M1086">
        <v>31</v>
      </c>
      <c r="N1086" t="s">
        <v>33</v>
      </c>
      <c r="O1086">
        <v>5</v>
      </c>
      <c r="P1086" s="2">
        <f>EOMONTH(Table1[[#This Row],[Order_Date]],0)</f>
        <v>45504</v>
      </c>
      <c r="Q1086" s="3">
        <f>WEEKNUM(Table1[[#This Row],[Order_Date]])</f>
        <v>28</v>
      </c>
      <c r="R1086">
        <f>YEAR(Table1[[#This Row],[Order_Date]])</f>
        <v>2024</v>
      </c>
      <c r="S1086" t="str">
        <f>IF(Table1[[#This Row],[Quantity]]&gt;=3,"Promo","Regular")</f>
        <v>Regular</v>
      </c>
    </row>
    <row r="1087" spans="1:19" x14ac:dyDescent="0.35">
      <c r="A1087" t="s">
        <v>2119</v>
      </c>
      <c r="B1087" t="s">
        <v>1160</v>
      </c>
      <c r="C1087" s="1">
        <v>45445</v>
      </c>
      <c r="D1087" t="s">
        <v>28</v>
      </c>
      <c r="E1087" t="s">
        <v>40</v>
      </c>
      <c r="F1087" t="s">
        <v>30</v>
      </c>
      <c r="G1087" t="s">
        <v>46</v>
      </c>
      <c r="H1087" t="s">
        <v>26</v>
      </c>
      <c r="I1087" t="s">
        <v>20</v>
      </c>
      <c r="J1087">
        <v>2</v>
      </c>
      <c r="K1087">
        <v>481</v>
      </c>
      <c r="L1087">
        <v>962</v>
      </c>
      <c r="M1087">
        <v>58</v>
      </c>
      <c r="N1087" t="s">
        <v>21</v>
      </c>
      <c r="O1087">
        <v>4.4000000000000004</v>
      </c>
      <c r="P1087" s="2">
        <f>EOMONTH(Table1[[#This Row],[Order_Date]],0)</f>
        <v>45473</v>
      </c>
      <c r="Q1087" s="3">
        <f>WEEKNUM(Table1[[#This Row],[Order_Date]])</f>
        <v>23</v>
      </c>
      <c r="R1087">
        <f>YEAR(Table1[[#This Row],[Order_Date]])</f>
        <v>2024</v>
      </c>
      <c r="S1087" t="str">
        <f>IF(Table1[[#This Row],[Quantity]]&gt;=3,"Promo","Regular")</f>
        <v>Regular</v>
      </c>
    </row>
    <row r="1088" spans="1:19" x14ac:dyDescent="0.35">
      <c r="A1088" t="s">
        <v>2119</v>
      </c>
      <c r="B1088" t="s">
        <v>1161</v>
      </c>
      <c r="C1088" s="1">
        <v>45431</v>
      </c>
      <c r="D1088" t="s">
        <v>48</v>
      </c>
      <c r="E1088" t="s">
        <v>132</v>
      </c>
      <c r="F1088" t="s">
        <v>17</v>
      </c>
      <c r="G1088" t="s">
        <v>73</v>
      </c>
      <c r="H1088" t="s">
        <v>32</v>
      </c>
      <c r="I1088" t="s">
        <v>20</v>
      </c>
      <c r="J1088">
        <v>3</v>
      </c>
      <c r="K1088">
        <v>389</v>
      </c>
      <c r="L1088">
        <v>1167</v>
      </c>
      <c r="M1088">
        <v>48</v>
      </c>
      <c r="N1088" t="s">
        <v>38</v>
      </c>
      <c r="O1088">
        <v>4</v>
      </c>
      <c r="P1088" s="2">
        <f>EOMONTH(Table1[[#This Row],[Order_Date]],0)</f>
        <v>45443</v>
      </c>
      <c r="Q1088" s="3">
        <f>WEEKNUM(Table1[[#This Row],[Order_Date]])</f>
        <v>21</v>
      </c>
      <c r="R1088">
        <f>YEAR(Table1[[#This Row],[Order_Date]])</f>
        <v>2024</v>
      </c>
      <c r="S1088" t="str">
        <f>IF(Table1[[#This Row],[Quantity]]&gt;=3,"Promo","Regular")</f>
        <v>Promo</v>
      </c>
    </row>
    <row r="1089" spans="1:19" x14ac:dyDescent="0.35">
      <c r="A1089" t="s">
        <v>2120</v>
      </c>
      <c r="B1089" t="s">
        <v>1162</v>
      </c>
      <c r="C1089" s="1">
        <v>45495</v>
      </c>
      <c r="D1089" t="s">
        <v>15</v>
      </c>
      <c r="E1089" t="s">
        <v>112</v>
      </c>
      <c r="F1089" t="s">
        <v>85</v>
      </c>
      <c r="G1089" t="s">
        <v>31</v>
      </c>
      <c r="H1089" t="s">
        <v>19</v>
      </c>
      <c r="I1089" t="s">
        <v>20</v>
      </c>
      <c r="J1089">
        <v>1</v>
      </c>
      <c r="K1089">
        <v>259</v>
      </c>
      <c r="L1089">
        <v>259</v>
      </c>
      <c r="M1089">
        <v>44</v>
      </c>
      <c r="N1089" t="s">
        <v>21</v>
      </c>
      <c r="O1089">
        <v>3.5</v>
      </c>
      <c r="P1089" s="2">
        <f>EOMONTH(Table1[[#This Row],[Order_Date]],0)</f>
        <v>45504</v>
      </c>
      <c r="Q1089" s="3">
        <f>WEEKNUM(Table1[[#This Row],[Order_Date]])</f>
        <v>30</v>
      </c>
      <c r="R1089">
        <f>YEAR(Table1[[#This Row],[Order_Date]])</f>
        <v>2024</v>
      </c>
      <c r="S1089" t="str">
        <f>IF(Table1[[#This Row],[Quantity]]&gt;=3,"Promo","Regular")</f>
        <v>Regular</v>
      </c>
    </row>
    <row r="1090" spans="1:19" x14ac:dyDescent="0.35">
      <c r="A1090" t="s">
        <v>2120</v>
      </c>
      <c r="B1090" t="s">
        <v>1163</v>
      </c>
      <c r="C1090" s="1">
        <v>45324</v>
      </c>
      <c r="D1090" t="s">
        <v>28</v>
      </c>
      <c r="E1090" t="s">
        <v>77</v>
      </c>
      <c r="F1090" t="s">
        <v>30</v>
      </c>
      <c r="G1090" t="s">
        <v>46</v>
      </c>
      <c r="H1090" t="s">
        <v>19</v>
      </c>
      <c r="I1090" t="s">
        <v>20</v>
      </c>
      <c r="J1090">
        <v>2</v>
      </c>
      <c r="K1090">
        <v>151</v>
      </c>
      <c r="L1090">
        <v>302</v>
      </c>
      <c r="M1090">
        <v>55</v>
      </c>
      <c r="N1090" t="s">
        <v>33</v>
      </c>
      <c r="O1090">
        <v>3.1</v>
      </c>
      <c r="P1090" s="2">
        <f>EOMONTH(Table1[[#This Row],[Order_Date]],0)</f>
        <v>45351</v>
      </c>
      <c r="Q1090" s="3">
        <f>WEEKNUM(Table1[[#This Row],[Order_Date]])</f>
        <v>5</v>
      </c>
      <c r="R1090">
        <f>YEAR(Table1[[#This Row],[Order_Date]])</f>
        <v>2024</v>
      </c>
      <c r="S1090" t="str">
        <f>IF(Table1[[#This Row],[Quantity]]&gt;=3,"Promo","Regular")</f>
        <v>Regular</v>
      </c>
    </row>
    <row r="1091" spans="1:19" x14ac:dyDescent="0.35">
      <c r="A1091" t="s">
        <v>2120</v>
      </c>
      <c r="B1091" t="s">
        <v>1164</v>
      </c>
      <c r="C1091" s="1">
        <v>45446</v>
      </c>
      <c r="D1091" t="s">
        <v>15</v>
      </c>
      <c r="E1091" t="s">
        <v>95</v>
      </c>
      <c r="F1091" t="s">
        <v>35</v>
      </c>
      <c r="G1091" t="s">
        <v>25</v>
      </c>
      <c r="H1091" t="s">
        <v>37</v>
      </c>
      <c r="I1091" t="s">
        <v>20</v>
      </c>
      <c r="J1091">
        <v>3</v>
      </c>
      <c r="K1091">
        <v>407</v>
      </c>
      <c r="L1091">
        <v>1221</v>
      </c>
      <c r="M1091">
        <v>55</v>
      </c>
      <c r="N1091" t="s">
        <v>21</v>
      </c>
      <c r="O1091">
        <v>3.9</v>
      </c>
      <c r="P1091" s="2">
        <f>EOMONTH(Table1[[#This Row],[Order_Date]],0)</f>
        <v>45473</v>
      </c>
      <c r="Q1091" s="3">
        <f>WEEKNUM(Table1[[#This Row],[Order_Date]])</f>
        <v>23</v>
      </c>
      <c r="R1091">
        <f>YEAR(Table1[[#This Row],[Order_Date]])</f>
        <v>2024</v>
      </c>
      <c r="S1091" t="str">
        <f>IF(Table1[[#This Row],[Quantity]]&gt;=3,"Promo","Regular")</f>
        <v>Promo</v>
      </c>
    </row>
    <row r="1092" spans="1:19" x14ac:dyDescent="0.35">
      <c r="A1092" t="s">
        <v>2121</v>
      </c>
      <c r="B1092" t="s">
        <v>1165</v>
      </c>
      <c r="C1092" s="1">
        <v>45310</v>
      </c>
      <c r="D1092" t="s">
        <v>43</v>
      </c>
      <c r="E1092" t="s">
        <v>110</v>
      </c>
      <c r="F1092" t="s">
        <v>72</v>
      </c>
      <c r="G1092" t="s">
        <v>46</v>
      </c>
      <c r="H1092" t="s">
        <v>50</v>
      </c>
      <c r="I1092" t="s">
        <v>20</v>
      </c>
      <c r="J1092">
        <v>3</v>
      </c>
      <c r="K1092">
        <v>221</v>
      </c>
      <c r="L1092">
        <v>663</v>
      </c>
      <c r="M1092">
        <v>38</v>
      </c>
      <c r="N1092" t="s">
        <v>33</v>
      </c>
      <c r="O1092">
        <v>3.9</v>
      </c>
      <c r="P1092" s="2">
        <f>EOMONTH(Table1[[#This Row],[Order_Date]],0)</f>
        <v>45322</v>
      </c>
      <c r="Q1092" s="3">
        <f>WEEKNUM(Table1[[#This Row],[Order_Date]])</f>
        <v>3</v>
      </c>
      <c r="R1092">
        <f>YEAR(Table1[[#This Row],[Order_Date]])</f>
        <v>2024</v>
      </c>
      <c r="S1092" t="str">
        <f>IF(Table1[[#This Row],[Quantity]]&gt;=3,"Promo","Regular")</f>
        <v>Promo</v>
      </c>
    </row>
    <row r="1093" spans="1:19" x14ac:dyDescent="0.35">
      <c r="A1093" t="s">
        <v>2121</v>
      </c>
      <c r="B1093" t="s">
        <v>1166</v>
      </c>
      <c r="C1093" s="1">
        <v>45356</v>
      </c>
      <c r="D1093" t="s">
        <v>28</v>
      </c>
      <c r="E1093" t="s">
        <v>71</v>
      </c>
      <c r="F1093" t="s">
        <v>30</v>
      </c>
      <c r="G1093" t="s">
        <v>73</v>
      </c>
      <c r="H1093" t="s">
        <v>32</v>
      </c>
      <c r="I1093" t="s">
        <v>20</v>
      </c>
      <c r="J1093">
        <v>3</v>
      </c>
      <c r="K1093">
        <v>443</v>
      </c>
      <c r="L1093">
        <v>1329</v>
      </c>
      <c r="M1093">
        <v>44</v>
      </c>
      <c r="N1093" t="s">
        <v>21</v>
      </c>
      <c r="O1093">
        <v>3.2</v>
      </c>
      <c r="P1093" s="2">
        <f>EOMONTH(Table1[[#This Row],[Order_Date]],0)</f>
        <v>45382</v>
      </c>
      <c r="Q1093" s="3">
        <f>WEEKNUM(Table1[[#This Row],[Order_Date]])</f>
        <v>10</v>
      </c>
      <c r="R1093">
        <f>YEAR(Table1[[#This Row],[Order_Date]])</f>
        <v>2024</v>
      </c>
      <c r="S1093" t="str">
        <f>IF(Table1[[#This Row],[Quantity]]&gt;=3,"Promo","Regular")</f>
        <v>Promo</v>
      </c>
    </row>
    <row r="1094" spans="1:19" x14ac:dyDescent="0.35">
      <c r="A1094" t="s">
        <v>2121</v>
      </c>
      <c r="B1094" t="s">
        <v>1167</v>
      </c>
      <c r="C1094" s="1">
        <v>45417</v>
      </c>
      <c r="D1094" t="s">
        <v>15</v>
      </c>
      <c r="E1094" t="s">
        <v>95</v>
      </c>
      <c r="F1094" t="s">
        <v>69</v>
      </c>
      <c r="G1094" t="s">
        <v>18</v>
      </c>
      <c r="H1094" t="s">
        <v>32</v>
      </c>
      <c r="I1094" t="s">
        <v>20</v>
      </c>
      <c r="J1094">
        <v>3</v>
      </c>
      <c r="K1094">
        <v>133</v>
      </c>
      <c r="L1094">
        <v>399</v>
      </c>
      <c r="M1094">
        <v>43</v>
      </c>
      <c r="N1094" t="s">
        <v>21</v>
      </c>
      <c r="O1094">
        <v>3.4</v>
      </c>
      <c r="P1094" s="2">
        <f>EOMONTH(Table1[[#This Row],[Order_Date]],0)</f>
        <v>45443</v>
      </c>
      <c r="Q1094" s="3">
        <f>WEEKNUM(Table1[[#This Row],[Order_Date]])</f>
        <v>19</v>
      </c>
      <c r="R1094">
        <f>YEAR(Table1[[#This Row],[Order_Date]])</f>
        <v>2024</v>
      </c>
      <c r="S1094" t="str">
        <f>IF(Table1[[#This Row],[Quantity]]&gt;=3,"Promo","Regular")</f>
        <v>Promo</v>
      </c>
    </row>
    <row r="1095" spans="1:19" x14ac:dyDescent="0.35">
      <c r="A1095" t="s">
        <v>2121</v>
      </c>
      <c r="B1095" t="s">
        <v>1168</v>
      </c>
      <c r="C1095" s="1">
        <v>45466</v>
      </c>
      <c r="D1095" t="s">
        <v>48</v>
      </c>
      <c r="E1095" t="s">
        <v>68</v>
      </c>
      <c r="F1095" t="s">
        <v>24</v>
      </c>
      <c r="G1095" t="s">
        <v>46</v>
      </c>
      <c r="H1095" t="s">
        <v>53</v>
      </c>
      <c r="I1095" t="s">
        <v>20</v>
      </c>
      <c r="J1095">
        <v>1</v>
      </c>
      <c r="K1095">
        <v>451</v>
      </c>
      <c r="L1095">
        <v>451</v>
      </c>
      <c r="M1095">
        <v>39</v>
      </c>
      <c r="N1095" t="s">
        <v>33</v>
      </c>
      <c r="O1095">
        <v>3.2</v>
      </c>
      <c r="P1095" s="2">
        <f>EOMONTH(Table1[[#This Row],[Order_Date]],0)</f>
        <v>45473</v>
      </c>
      <c r="Q1095" s="3">
        <f>WEEKNUM(Table1[[#This Row],[Order_Date]])</f>
        <v>26</v>
      </c>
      <c r="R1095">
        <f>YEAR(Table1[[#This Row],[Order_Date]])</f>
        <v>2024</v>
      </c>
      <c r="S1095" t="str">
        <f>IF(Table1[[#This Row],[Quantity]]&gt;=3,"Promo","Regular")</f>
        <v>Regular</v>
      </c>
    </row>
    <row r="1096" spans="1:19" x14ac:dyDescent="0.35">
      <c r="A1096" t="s">
        <v>2121</v>
      </c>
      <c r="B1096" t="s">
        <v>1169</v>
      </c>
      <c r="C1096" s="1">
        <v>45367</v>
      </c>
      <c r="D1096" t="s">
        <v>43</v>
      </c>
      <c r="E1096" t="s">
        <v>110</v>
      </c>
      <c r="F1096" t="s">
        <v>24</v>
      </c>
      <c r="G1096" t="s">
        <v>36</v>
      </c>
      <c r="H1096" t="s">
        <v>37</v>
      </c>
      <c r="I1096" t="s">
        <v>20</v>
      </c>
      <c r="J1096">
        <v>2</v>
      </c>
      <c r="K1096">
        <v>327</v>
      </c>
      <c r="L1096">
        <v>654</v>
      </c>
      <c r="M1096">
        <v>58</v>
      </c>
      <c r="N1096" t="s">
        <v>33</v>
      </c>
      <c r="O1096">
        <v>3.8</v>
      </c>
      <c r="P1096" s="2">
        <f>EOMONTH(Table1[[#This Row],[Order_Date]],0)</f>
        <v>45382</v>
      </c>
      <c r="Q1096" s="3">
        <f>WEEKNUM(Table1[[#This Row],[Order_Date]])</f>
        <v>11</v>
      </c>
      <c r="R1096">
        <f>YEAR(Table1[[#This Row],[Order_Date]])</f>
        <v>2024</v>
      </c>
      <c r="S1096" t="str">
        <f>IF(Table1[[#This Row],[Quantity]]&gt;=3,"Promo","Regular")</f>
        <v>Regular</v>
      </c>
    </row>
    <row r="1097" spans="1:19" x14ac:dyDescent="0.35">
      <c r="A1097" t="s">
        <v>2122</v>
      </c>
      <c r="B1097" t="s">
        <v>1170</v>
      </c>
      <c r="C1097" s="1">
        <v>45523</v>
      </c>
      <c r="D1097" t="s">
        <v>28</v>
      </c>
      <c r="E1097" t="s">
        <v>77</v>
      </c>
      <c r="F1097" t="s">
        <v>69</v>
      </c>
      <c r="G1097" t="s">
        <v>36</v>
      </c>
      <c r="H1097" t="s">
        <v>50</v>
      </c>
      <c r="I1097" t="s">
        <v>20</v>
      </c>
      <c r="J1097">
        <v>5</v>
      </c>
      <c r="K1097">
        <v>133</v>
      </c>
      <c r="L1097">
        <v>665</v>
      </c>
      <c r="M1097">
        <v>39</v>
      </c>
      <c r="N1097" t="s">
        <v>21</v>
      </c>
      <c r="O1097">
        <v>4.5</v>
      </c>
      <c r="P1097" s="2">
        <f>EOMONTH(Table1[[#This Row],[Order_Date]],0)</f>
        <v>45535</v>
      </c>
      <c r="Q1097" s="3">
        <f>WEEKNUM(Table1[[#This Row],[Order_Date]])</f>
        <v>34</v>
      </c>
      <c r="R1097">
        <f>YEAR(Table1[[#This Row],[Order_Date]])</f>
        <v>2024</v>
      </c>
      <c r="S1097" t="str">
        <f>IF(Table1[[#This Row],[Quantity]]&gt;=3,"Promo","Regular")</f>
        <v>Promo</v>
      </c>
    </row>
    <row r="1098" spans="1:19" x14ac:dyDescent="0.35">
      <c r="A1098" t="s">
        <v>2122</v>
      </c>
      <c r="B1098" t="s">
        <v>1171</v>
      </c>
      <c r="C1098" s="1">
        <v>45338</v>
      </c>
      <c r="D1098" t="s">
        <v>28</v>
      </c>
      <c r="E1098" t="s">
        <v>71</v>
      </c>
      <c r="F1098" t="s">
        <v>41</v>
      </c>
      <c r="G1098" t="s">
        <v>73</v>
      </c>
      <c r="H1098" t="s">
        <v>59</v>
      </c>
      <c r="I1098" t="s">
        <v>60</v>
      </c>
      <c r="J1098">
        <v>3</v>
      </c>
      <c r="K1098">
        <v>457</v>
      </c>
      <c r="L1098">
        <v>1371</v>
      </c>
      <c r="M1098">
        <v>35</v>
      </c>
      <c r="N1098" t="s">
        <v>21</v>
      </c>
      <c r="O1098">
        <v>4.0999999999999996</v>
      </c>
      <c r="P1098" s="2">
        <f>EOMONTH(Table1[[#This Row],[Order_Date]],0)</f>
        <v>45351</v>
      </c>
      <c r="Q1098" s="3">
        <f>WEEKNUM(Table1[[#This Row],[Order_Date]])</f>
        <v>7</v>
      </c>
      <c r="R1098">
        <f>YEAR(Table1[[#This Row],[Order_Date]])</f>
        <v>2024</v>
      </c>
      <c r="S1098" t="str">
        <f>IF(Table1[[#This Row],[Quantity]]&gt;=3,"Promo","Regular")</f>
        <v>Promo</v>
      </c>
    </row>
    <row r="1099" spans="1:19" x14ac:dyDescent="0.35">
      <c r="A1099" t="s">
        <v>2122</v>
      </c>
      <c r="B1099" t="s">
        <v>1172</v>
      </c>
      <c r="C1099" s="1">
        <v>45399</v>
      </c>
      <c r="D1099" t="s">
        <v>43</v>
      </c>
      <c r="E1099" t="s">
        <v>52</v>
      </c>
      <c r="F1099" t="s">
        <v>30</v>
      </c>
      <c r="G1099" t="s">
        <v>46</v>
      </c>
      <c r="H1099" t="s">
        <v>66</v>
      </c>
      <c r="I1099" t="s">
        <v>20</v>
      </c>
      <c r="J1099">
        <v>3</v>
      </c>
      <c r="K1099">
        <v>199</v>
      </c>
      <c r="L1099">
        <v>597</v>
      </c>
      <c r="M1099">
        <v>22</v>
      </c>
      <c r="N1099" t="s">
        <v>38</v>
      </c>
      <c r="O1099">
        <v>4.7</v>
      </c>
      <c r="P1099" s="2">
        <f>EOMONTH(Table1[[#This Row],[Order_Date]],0)</f>
        <v>45412</v>
      </c>
      <c r="Q1099" s="3">
        <f>WEEKNUM(Table1[[#This Row],[Order_Date]])</f>
        <v>16</v>
      </c>
      <c r="R1099">
        <f>YEAR(Table1[[#This Row],[Order_Date]])</f>
        <v>2024</v>
      </c>
      <c r="S1099" t="str">
        <f>IF(Table1[[#This Row],[Quantity]]&gt;=3,"Promo","Regular")</f>
        <v>Promo</v>
      </c>
    </row>
    <row r="1100" spans="1:19" x14ac:dyDescent="0.35">
      <c r="A1100" t="s">
        <v>2122</v>
      </c>
      <c r="B1100" t="s">
        <v>1173</v>
      </c>
      <c r="C1100" s="1">
        <v>45558</v>
      </c>
      <c r="D1100" t="s">
        <v>43</v>
      </c>
      <c r="E1100" t="s">
        <v>52</v>
      </c>
      <c r="F1100" t="s">
        <v>45</v>
      </c>
      <c r="G1100" t="s">
        <v>46</v>
      </c>
      <c r="H1100" t="s">
        <v>59</v>
      </c>
      <c r="I1100" t="s">
        <v>60</v>
      </c>
      <c r="J1100">
        <v>3</v>
      </c>
      <c r="K1100">
        <v>322</v>
      </c>
      <c r="L1100">
        <v>966</v>
      </c>
      <c r="M1100">
        <v>33</v>
      </c>
      <c r="N1100" t="s">
        <v>21</v>
      </c>
      <c r="O1100">
        <v>3.3</v>
      </c>
      <c r="P1100" s="2">
        <f>EOMONTH(Table1[[#This Row],[Order_Date]],0)</f>
        <v>45565</v>
      </c>
      <c r="Q1100" s="3">
        <f>WEEKNUM(Table1[[#This Row],[Order_Date]])</f>
        <v>39</v>
      </c>
      <c r="R1100">
        <f>YEAR(Table1[[#This Row],[Order_Date]])</f>
        <v>2024</v>
      </c>
      <c r="S1100" t="str">
        <f>IF(Table1[[#This Row],[Quantity]]&gt;=3,"Promo","Regular")</f>
        <v>Promo</v>
      </c>
    </row>
    <row r="1101" spans="1:19" x14ac:dyDescent="0.35">
      <c r="A1101" t="s">
        <v>2123</v>
      </c>
      <c r="B1101" t="s">
        <v>1174</v>
      </c>
      <c r="C1101" s="1">
        <v>45308</v>
      </c>
      <c r="D1101" t="s">
        <v>48</v>
      </c>
      <c r="E1101" t="s">
        <v>127</v>
      </c>
      <c r="F1101" t="s">
        <v>24</v>
      </c>
      <c r="G1101" t="s">
        <v>18</v>
      </c>
      <c r="H1101" t="s">
        <v>66</v>
      </c>
      <c r="I1101" t="s">
        <v>20</v>
      </c>
      <c r="J1101">
        <v>4</v>
      </c>
      <c r="K1101">
        <v>348</v>
      </c>
      <c r="L1101">
        <v>1392</v>
      </c>
      <c r="M1101">
        <v>32</v>
      </c>
      <c r="N1101" t="s">
        <v>21</v>
      </c>
      <c r="O1101">
        <v>4.4000000000000004</v>
      </c>
      <c r="P1101" s="2">
        <f>EOMONTH(Table1[[#This Row],[Order_Date]],0)</f>
        <v>45322</v>
      </c>
      <c r="Q1101" s="3">
        <f>WEEKNUM(Table1[[#This Row],[Order_Date]])</f>
        <v>3</v>
      </c>
      <c r="R1101">
        <f>YEAR(Table1[[#This Row],[Order_Date]])</f>
        <v>2024</v>
      </c>
      <c r="S1101" t="str">
        <f>IF(Table1[[#This Row],[Quantity]]&gt;=3,"Promo","Regular")</f>
        <v>Promo</v>
      </c>
    </row>
    <row r="1102" spans="1:19" x14ac:dyDescent="0.35">
      <c r="A1102" t="s">
        <v>2123</v>
      </c>
      <c r="B1102" t="s">
        <v>1175</v>
      </c>
      <c r="C1102" s="1">
        <v>45299</v>
      </c>
      <c r="D1102" t="s">
        <v>15</v>
      </c>
      <c r="E1102" t="s">
        <v>16</v>
      </c>
      <c r="F1102" t="s">
        <v>69</v>
      </c>
      <c r="G1102" t="s">
        <v>18</v>
      </c>
      <c r="H1102" t="s">
        <v>26</v>
      </c>
      <c r="I1102" t="s">
        <v>20</v>
      </c>
      <c r="J1102">
        <v>3</v>
      </c>
      <c r="K1102">
        <v>109</v>
      </c>
      <c r="L1102">
        <v>327</v>
      </c>
      <c r="M1102">
        <v>37</v>
      </c>
      <c r="N1102" t="s">
        <v>21</v>
      </c>
      <c r="O1102">
        <v>4.2</v>
      </c>
      <c r="P1102" s="2">
        <f>EOMONTH(Table1[[#This Row],[Order_Date]],0)</f>
        <v>45322</v>
      </c>
      <c r="Q1102" s="3">
        <f>WEEKNUM(Table1[[#This Row],[Order_Date]])</f>
        <v>2</v>
      </c>
      <c r="R1102">
        <f>YEAR(Table1[[#This Row],[Order_Date]])</f>
        <v>2024</v>
      </c>
      <c r="S1102" t="str">
        <f>IF(Table1[[#This Row],[Quantity]]&gt;=3,"Promo","Regular")</f>
        <v>Promo</v>
      </c>
    </row>
    <row r="1103" spans="1:19" x14ac:dyDescent="0.35">
      <c r="A1103" t="s">
        <v>2123</v>
      </c>
      <c r="B1103" t="s">
        <v>1176</v>
      </c>
      <c r="C1103" s="1">
        <v>45414</v>
      </c>
      <c r="D1103" t="s">
        <v>15</v>
      </c>
      <c r="E1103" t="s">
        <v>112</v>
      </c>
      <c r="F1103" t="s">
        <v>30</v>
      </c>
      <c r="G1103" t="s">
        <v>25</v>
      </c>
      <c r="H1103" t="s">
        <v>26</v>
      </c>
      <c r="I1103" t="s">
        <v>20</v>
      </c>
      <c r="J1103">
        <v>1</v>
      </c>
      <c r="K1103">
        <v>108</v>
      </c>
      <c r="L1103">
        <v>108</v>
      </c>
      <c r="M1103">
        <v>27</v>
      </c>
      <c r="N1103" t="s">
        <v>38</v>
      </c>
      <c r="O1103">
        <v>4.7</v>
      </c>
      <c r="P1103" s="2">
        <f>EOMONTH(Table1[[#This Row],[Order_Date]],0)</f>
        <v>45443</v>
      </c>
      <c r="Q1103" s="3">
        <f>WEEKNUM(Table1[[#This Row],[Order_Date]])</f>
        <v>18</v>
      </c>
      <c r="R1103">
        <f>YEAR(Table1[[#This Row],[Order_Date]])</f>
        <v>2024</v>
      </c>
      <c r="S1103" t="str">
        <f>IF(Table1[[#This Row],[Quantity]]&gt;=3,"Promo","Regular")</f>
        <v>Regular</v>
      </c>
    </row>
    <row r="1104" spans="1:19" x14ac:dyDescent="0.35">
      <c r="A1104" t="s">
        <v>2123</v>
      </c>
      <c r="B1104" t="s">
        <v>1177</v>
      </c>
      <c r="C1104" s="1">
        <v>45579</v>
      </c>
      <c r="D1104" t="s">
        <v>57</v>
      </c>
      <c r="E1104" t="s">
        <v>105</v>
      </c>
      <c r="F1104" t="s">
        <v>72</v>
      </c>
      <c r="G1104" t="s">
        <v>31</v>
      </c>
      <c r="H1104" t="s">
        <v>26</v>
      </c>
      <c r="I1104" t="s">
        <v>20</v>
      </c>
      <c r="J1104">
        <v>3</v>
      </c>
      <c r="K1104">
        <v>310</v>
      </c>
      <c r="L1104">
        <v>930</v>
      </c>
      <c r="M1104">
        <v>54</v>
      </c>
      <c r="N1104" t="s">
        <v>38</v>
      </c>
      <c r="O1104">
        <v>4.0999999999999996</v>
      </c>
      <c r="P1104" s="2">
        <f>EOMONTH(Table1[[#This Row],[Order_Date]],0)</f>
        <v>45596</v>
      </c>
      <c r="Q1104" s="3">
        <f>WEEKNUM(Table1[[#This Row],[Order_Date]])</f>
        <v>42</v>
      </c>
      <c r="R1104">
        <f>YEAR(Table1[[#This Row],[Order_Date]])</f>
        <v>2024</v>
      </c>
      <c r="S1104" t="str">
        <f>IF(Table1[[#This Row],[Quantity]]&gt;=3,"Promo","Regular")</f>
        <v>Promo</v>
      </c>
    </row>
    <row r="1105" spans="1:19" x14ac:dyDescent="0.35">
      <c r="A1105" t="s">
        <v>2123</v>
      </c>
      <c r="B1105" t="s">
        <v>1178</v>
      </c>
      <c r="C1105" s="1">
        <v>45488</v>
      </c>
      <c r="D1105" t="s">
        <v>43</v>
      </c>
      <c r="E1105" t="s">
        <v>82</v>
      </c>
      <c r="F1105" t="s">
        <v>17</v>
      </c>
      <c r="G1105" t="s">
        <v>46</v>
      </c>
      <c r="H1105" t="s">
        <v>26</v>
      </c>
      <c r="I1105" t="s">
        <v>20</v>
      </c>
      <c r="J1105">
        <v>5</v>
      </c>
      <c r="K1105">
        <v>228</v>
      </c>
      <c r="L1105">
        <v>1140</v>
      </c>
      <c r="M1105">
        <v>52</v>
      </c>
      <c r="N1105" t="s">
        <v>38</v>
      </c>
      <c r="O1105">
        <v>4.0999999999999996</v>
      </c>
      <c r="P1105" s="2">
        <f>EOMONTH(Table1[[#This Row],[Order_Date]],0)</f>
        <v>45504</v>
      </c>
      <c r="Q1105" s="3">
        <f>WEEKNUM(Table1[[#This Row],[Order_Date]])</f>
        <v>29</v>
      </c>
      <c r="R1105">
        <f>YEAR(Table1[[#This Row],[Order_Date]])</f>
        <v>2024</v>
      </c>
      <c r="S1105" t="str">
        <f>IF(Table1[[#This Row],[Quantity]]&gt;=3,"Promo","Regular")</f>
        <v>Promo</v>
      </c>
    </row>
    <row r="1106" spans="1:19" x14ac:dyDescent="0.35">
      <c r="A1106" t="s">
        <v>2124</v>
      </c>
      <c r="B1106" t="s">
        <v>1179</v>
      </c>
      <c r="C1106" s="1">
        <v>45412</v>
      </c>
      <c r="D1106" t="s">
        <v>28</v>
      </c>
      <c r="E1106" t="s">
        <v>29</v>
      </c>
      <c r="F1106" t="s">
        <v>65</v>
      </c>
      <c r="G1106" t="s">
        <v>31</v>
      </c>
      <c r="H1106" t="s">
        <v>59</v>
      </c>
      <c r="I1106" t="s">
        <v>60</v>
      </c>
      <c r="J1106">
        <v>4</v>
      </c>
      <c r="K1106">
        <v>213</v>
      </c>
      <c r="L1106">
        <v>852</v>
      </c>
      <c r="M1106">
        <v>21</v>
      </c>
      <c r="N1106" t="s">
        <v>33</v>
      </c>
      <c r="O1106">
        <v>4.5</v>
      </c>
      <c r="P1106" s="2">
        <f>EOMONTH(Table1[[#This Row],[Order_Date]],0)</f>
        <v>45412</v>
      </c>
      <c r="Q1106" s="3">
        <f>WEEKNUM(Table1[[#This Row],[Order_Date]])</f>
        <v>18</v>
      </c>
      <c r="R1106">
        <f>YEAR(Table1[[#This Row],[Order_Date]])</f>
        <v>2024</v>
      </c>
      <c r="S1106" t="str">
        <f>IF(Table1[[#This Row],[Quantity]]&gt;=3,"Promo","Regular")</f>
        <v>Promo</v>
      </c>
    </row>
    <row r="1107" spans="1:19" x14ac:dyDescent="0.35">
      <c r="A1107" t="s">
        <v>2124</v>
      </c>
      <c r="B1107" t="s">
        <v>1180</v>
      </c>
      <c r="C1107" s="1">
        <v>45555</v>
      </c>
      <c r="D1107" t="s">
        <v>48</v>
      </c>
      <c r="E1107" t="s">
        <v>132</v>
      </c>
      <c r="F1107" t="s">
        <v>41</v>
      </c>
      <c r="G1107" t="s">
        <v>36</v>
      </c>
      <c r="H1107" t="s">
        <v>26</v>
      </c>
      <c r="I1107" t="s">
        <v>20</v>
      </c>
      <c r="J1107">
        <v>2</v>
      </c>
      <c r="K1107">
        <v>240</v>
      </c>
      <c r="L1107">
        <v>480</v>
      </c>
      <c r="M1107">
        <v>55</v>
      </c>
      <c r="N1107" t="s">
        <v>33</v>
      </c>
      <c r="O1107">
        <v>3.6</v>
      </c>
      <c r="P1107" s="2">
        <f>EOMONTH(Table1[[#This Row],[Order_Date]],0)</f>
        <v>45565</v>
      </c>
      <c r="Q1107" s="3">
        <f>WEEKNUM(Table1[[#This Row],[Order_Date]])</f>
        <v>38</v>
      </c>
      <c r="R1107">
        <f>YEAR(Table1[[#This Row],[Order_Date]])</f>
        <v>2024</v>
      </c>
      <c r="S1107" t="str">
        <f>IF(Table1[[#This Row],[Quantity]]&gt;=3,"Promo","Regular")</f>
        <v>Regular</v>
      </c>
    </row>
    <row r="1108" spans="1:19" x14ac:dyDescent="0.35">
      <c r="A1108" t="s">
        <v>2124</v>
      </c>
      <c r="B1108" t="s">
        <v>1181</v>
      </c>
      <c r="C1108" s="1">
        <v>45359</v>
      </c>
      <c r="D1108" t="s">
        <v>48</v>
      </c>
      <c r="E1108" t="s">
        <v>68</v>
      </c>
      <c r="F1108" t="s">
        <v>17</v>
      </c>
      <c r="G1108" t="s">
        <v>46</v>
      </c>
      <c r="H1108" t="s">
        <v>66</v>
      </c>
      <c r="I1108" t="s">
        <v>20</v>
      </c>
      <c r="J1108">
        <v>3</v>
      </c>
      <c r="K1108">
        <v>444</v>
      </c>
      <c r="L1108">
        <v>1332</v>
      </c>
      <c r="M1108">
        <v>31</v>
      </c>
      <c r="N1108" t="s">
        <v>33</v>
      </c>
      <c r="O1108">
        <v>5</v>
      </c>
      <c r="P1108" s="2">
        <f>EOMONTH(Table1[[#This Row],[Order_Date]],0)</f>
        <v>45382</v>
      </c>
      <c r="Q1108" s="3">
        <f>WEEKNUM(Table1[[#This Row],[Order_Date]])</f>
        <v>10</v>
      </c>
      <c r="R1108">
        <f>YEAR(Table1[[#This Row],[Order_Date]])</f>
        <v>2024</v>
      </c>
      <c r="S1108" t="str">
        <f>IF(Table1[[#This Row],[Quantity]]&gt;=3,"Promo","Regular")</f>
        <v>Promo</v>
      </c>
    </row>
    <row r="1109" spans="1:19" x14ac:dyDescent="0.35">
      <c r="A1109" t="s">
        <v>2125</v>
      </c>
      <c r="B1109" t="s">
        <v>1182</v>
      </c>
      <c r="C1109" s="1">
        <v>45538</v>
      </c>
      <c r="D1109" t="s">
        <v>28</v>
      </c>
      <c r="E1109" t="s">
        <v>98</v>
      </c>
      <c r="F1109" t="s">
        <v>45</v>
      </c>
      <c r="G1109" t="s">
        <v>73</v>
      </c>
      <c r="H1109" t="s">
        <v>120</v>
      </c>
      <c r="I1109" t="s">
        <v>60</v>
      </c>
      <c r="J1109">
        <v>4</v>
      </c>
      <c r="K1109">
        <v>361</v>
      </c>
      <c r="L1109">
        <v>1444</v>
      </c>
      <c r="M1109">
        <v>50</v>
      </c>
      <c r="N1109" t="s">
        <v>38</v>
      </c>
      <c r="O1109">
        <v>3.7</v>
      </c>
      <c r="P1109" s="2">
        <f>EOMONTH(Table1[[#This Row],[Order_Date]],0)</f>
        <v>45565</v>
      </c>
      <c r="Q1109" s="3">
        <f>WEEKNUM(Table1[[#This Row],[Order_Date]])</f>
        <v>36</v>
      </c>
      <c r="R1109">
        <f>YEAR(Table1[[#This Row],[Order_Date]])</f>
        <v>2024</v>
      </c>
      <c r="S1109" t="str">
        <f>IF(Table1[[#This Row],[Quantity]]&gt;=3,"Promo","Regular")</f>
        <v>Promo</v>
      </c>
    </row>
    <row r="1110" spans="1:19" x14ac:dyDescent="0.35">
      <c r="A1110" t="s">
        <v>2125</v>
      </c>
      <c r="B1110" t="s">
        <v>1183</v>
      </c>
      <c r="C1110" s="1">
        <v>45432</v>
      </c>
      <c r="D1110" t="s">
        <v>43</v>
      </c>
      <c r="E1110" t="s">
        <v>52</v>
      </c>
      <c r="F1110" t="s">
        <v>45</v>
      </c>
      <c r="G1110" t="s">
        <v>46</v>
      </c>
      <c r="H1110" t="s">
        <v>120</v>
      </c>
      <c r="I1110" t="s">
        <v>60</v>
      </c>
      <c r="J1110">
        <v>1</v>
      </c>
      <c r="K1110">
        <v>158</v>
      </c>
      <c r="L1110">
        <v>158</v>
      </c>
      <c r="M1110">
        <v>30</v>
      </c>
      <c r="N1110" t="s">
        <v>33</v>
      </c>
      <c r="O1110">
        <v>3.4</v>
      </c>
      <c r="P1110" s="2">
        <f>EOMONTH(Table1[[#This Row],[Order_Date]],0)</f>
        <v>45443</v>
      </c>
      <c r="Q1110" s="3">
        <f>WEEKNUM(Table1[[#This Row],[Order_Date]])</f>
        <v>21</v>
      </c>
      <c r="R1110">
        <f>YEAR(Table1[[#This Row],[Order_Date]])</f>
        <v>2024</v>
      </c>
      <c r="S1110" t="str">
        <f>IF(Table1[[#This Row],[Quantity]]&gt;=3,"Promo","Regular")</f>
        <v>Regular</v>
      </c>
    </row>
    <row r="1111" spans="1:19" x14ac:dyDescent="0.35">
      <c r="A1111" t="s">
        <v>2125</v>
      </c>
      <c r="B1111" t="s">
        <v>1184</v>
      </c>
      <c r="C1111" s="1">
        <v>45375</v>
      </c>
      <c r="D1111" t="s">
        <v>15</v>
      </c>
      <c r="E1111" t="s">
        <v>16</v>
      </c>
      <c r="F1111" t="s">
        <v>24</v>
      </c>
      <c r="G1111" t="s">
        <v>31</v>
      </c>
      <c r="H1111" t="s">
        <v>53</v>
      </c>
      <c r="I1111" t="s">
        <v>20</v>
      </c>
      <c r="J1111">
        <v>1</v>
      </c>
      <c r="K1111">
        <v>232</v>
      </c>
      <c r="L1111">
        <v>232</v>
      </c>
      <c r="M1111">
        <v>49</v>
      </c>
      <c r="N1111" t="s">
        <v>33</v>
      </c>
      <c r="O1111">
        <v>3</v>
      </c>
      <c r="P1111" s="2">
        <f>EOMONTH(Table1[[#This Row],[Order_Date]],0)</f>
        <v>45382</v>
      </c>
      <c r="Q1111" s="3">
        <f>WEEKNUM(Table1[[#This Row],[Order_Date]])</f>
        <v>13</v>
      </c>
      <c r="R1111">
        <f>YEAR(Table1[[#This Row],[Order_Date]])</f>
        <v>2024</v>
      </c>
      <c r="S1111" t="str">
        <f>IF(Table1[[#This Row],[Quantity]]&gt;=3,"Promo","Regular")</f>
        <v>Regular</v>
      </c>
    </row>
    <row r="1112" spans="1:19" x14ac:dyDescent="0.35">
      <c r="A1112" t="s">
        <v>2125</v>
      </c>
      <c r="B1112" t="s">
        <v>1185</v>
      </c>
      <c r="C1112" s="1">
        <v>45310</v>
      </c>
      <c r="D1112" t="s">
        <v>28</v>
      </c>
      <c r="E1112" t="s">
        <v>71</v>
      </c>
      <c r="F1112" t="s">
        <v>85</v>
      </c>
      <c r="G1112" t="s">
        <v>25</v>
      </c>
      <c r="H1112" t="s">
        <v>26</v>
      </c>
      <c r="I1112" t="s">
        <v>20</v>
      </c>
      <c r="J1112">
        <v>5</v>
      </c>
      <c r="K1112">
        <v>198</v>
      </c>
      <c r="L1112">
        <v>990</v>
      </c>
      <c r="M1112">
        <v>59</v>
      </c>
      <c r="N1112" t="s">
        <v>21</v>
      </c>
      <c r="O1112">
        <v>3.9</v>
      </c>
      <c r="P1112" s="2">
        <f>EOMONTH(Table1[[#This Row],[Order_Date]],0)</f>
        <v>45322</v>
      </c>
      <c r="Q1112" s="3">
        <f>WEEKNUM(Table1[[#This Row],[Order_Date]])</f>
        <v>3</v>
      </c>
      <c r="R1112">
        <f>YEAR(Table1[[#This Row],[Order_Date]])</f>
        <v>2024</v>
      </c>
      <c r="S1112" t="str">
        <f>IF(Table1[[#This Row],[Quantity]]&gt;=3,"Promo","Regular")</f>
        <v>Promo</v>
      </c>
    </row>
    <row r="1113" spans="1:19" x14ac:dyDescent="0.35">
      <c r="A1113" t="s">
        <v>2125</v>
      </c>
      <c r="B1113" t="s">
        <v>1186</v>
      </c>
      <c r="C1113" s="1">
        <v>45383</v>
      </c>
      <c r="D1113" t="s">
        <v>28</v>
      </c>
      <c r="E1113" t="s">
        <v>98</v>
      </c>
      <c r="F1113" t="s">
        <v>17</v>
      </c>
      <c r="G1113" t="s">
        <v>31</v>
      </c>
      <c r="H1113" t="s">
        <v>66</v>
      </c>
      <c r="I1113" t="s">
        <v>20</v>
      </c>
      <c r="J1113">
        <v>3</v>
      </c>
      <c r="K1113">
        <v>165</v>
      </c>
      <c r="L1113">
        <v>495</v>
      </c>
      <c r="M1113">
        <v>36</v>
      </c>
      <c r="N1113" t="s">
        <v>33</v>
      </c>
      <c r="O1113">
        <v>3.1</v>
      </c>
      <c r="P1113" s="2">
        <f>EOMONTH(Table1[[#This Row],[Order_Date]],0)</f>
        <v>45412</v>
      </c>
      <c r="Q1113" s="3">
        <f>WEEKNUM(Table1[[#This Row],[Order_Date]])</f>
        <v>14</v>
      </c>
      <c r="R1113">
        <f>YEAR(Table1[[#This Row],[Order_Date]])</f>
        <v>2024</v>
      </c>
      <c r="S1113" t="str">
        <f>IF(Table1[[#This Row],[Quantity]]&gt;=3,"Promo","Regular")</f>
        <v>Promo</v>
      </c>
    </row>
    <row r="1114" spans="1:19" x14ac:dyDescent="0.35">
      <c r="A1114" t="s">
        <v>2126</v>
      </c>
      <c r="B1114" t="s">
        <v>1187</v>
      </c>
      <c r="C1114" s="1">
        <v>45580</v>
      </c>
      <c r="D1114" t="s">
        <v>15</v>
      </c>
      <c r="E1114" t="s">
        <v>95</v>
      </c>
      <c r="F1114" t="s">
        <v>85</v>
      </c>
      <c r="G1114" t="s">
        <v>73</v>
      </c>
      <c r="H1114" t="s">
        <v>37</v>
      </c>
      <c r="I1114" t="s">
        <v>20</v>
      </c>
      <c r="J1114">
        <v>5</v>
      </c>
      <c r="K1114">
        <v>369</v>
      </c>
      <c r="L1114">
        <v>1845</v>
      </c>
      <c r="M1114">
        <v>20</v>
      </c>
      <c r="N1114" t="s">
        <v>38</v>
      </c>
      <c r="O1114">
        <v>5</v>
      </c>
      <c r="P1114" s="2">
        <f>EOMONTH(Table1[[#This Row],[Order_Date]],0)</f>
        <v>45596</v>
      </c>
      <c r="Q1114" s="3">
        <f>WEEKNUM(Table1[[#This Row],[Order_Date]])</f>
        <v>42</v>
      </c>
      <c r="R1114">
        <f>YEAR(Table1[[#This Row],[Order_Date]])</f>
        <v>2024</v>
      </c>
      <c r="S1114" t="str">
        <f>IF(Table1[[#This Row],[Quantity]]&gt;=3,"Promo","Regular")</f>
        <v>Promo</v>
      </c>
    </row>
    <row r="1115" spans="1:19" x14ac:dyDescent="0.35">
      <c r="A1115" t="s">
        <v>2126</v>
      </c>
      <c r="B1115" t="s">
        <v>1188</v>
      </c>
      <c r="C1115" s="1">
        <v>45441</v>
      </c>
      <c r="D1115" t="s">
        <v>57</v>
      </c>
      <c r="E1115" t="s">
        <v>62</v>
      </c>
      <c r="F1115" t="s">
        <v>41</v>
      </c>
      <c r="G1115" t="s">
        <v>25</v>
      </c>
      <c r="H1115" t="s">
        <v>53</v>
      </c>
      <c r="I1115" t="s">
        <v>20</v>
      </c>
      <c r="J1115">
        <v>4</v>
      </c>
      <c r="K1115">
        <v>178</v>
      </c>
      <c r="L1115">
        <v>712</v>
      </c>
      <c r="M1115">
        <v>45</v>
      </c>
      <c r="N1115" t="s">
        <v>33</v>
      </c>
      <c r="O1115">
        <v>4.4000000000000004</v>
      </c>
      <c r="P1115" s="2">
        <f>EOMONTH(Table1[[#This Row],[Order_Date]],0)</f>
        <v>45443</v>
      </c>
      <c r="Q1115" s="3">
        <f>WEEKNUM(Table1[[#This Row],[Order_Date]])</f>
        <v>22</v>
      </c>
      <c r="R1115">
        <f>YEAR(Table1[[#This Row],[Order_Date]])</f>
        <v>2024</v>
      </c>
      <c r="S1115" t="str">
        <f>IF(Table1[[#This Row],[Quantity]]&gt;=3,"Promo","Regular")</f>
        <v>Promo</v>
      </c>
    </row>
    <row r="1116" spans="1:19" x14ac:dyDescent="0.35">
      <c r="A1116" t="s">
        <v>2127</v>
      </c>
      <c r="B1116" t="s">
        <v>1189</v>
      </c>
      <c r="C1116" s="1">
        <v>45412</v>
      </c>
      <c r="D1116" t="s">
        <v>43</v>
      </c>
      <c r="E1116" t="s">
        <v>44</v>
      </c>
      <c r="F1116" t="s">
        <v>72</v>
      </c>
      <c r="G1116" t="s">
        <v>18</v>
      </c>
      <c r="H1116" t="s">
        <v>55</v>
      </c>
      <c r="I1116" t="s">
        <v>20</v>
      </c>
      <c r="J1116">
        <v>3</v>
      </c>
      <c r="K1116">
        <v>262</v>
      </c>
      <c r="L1116">
        <v>786</v>
      </c>
      <c r="M1116">
        <v>20</v>
      </c>
      <c r="N1116" t="s">
        <v>38</v>
      </c>
      <c r="O1116">
        <v>4</v>
      </c>
      <c r="P1116" s="2">
        <f>EOMONTH(Table1[[#This Row],[Order_Date]],0)</f>
        <v>45412</v>
      </c>
      <c r="Q1116" s="3">
        <f>WEEKNUM(Table1[[#This Row],[Order_Date]])</f>
        <v>18</v>
      </c>
      <c r="R1116">
        <f>YEAR(Table1[[#This Row],[Order_Date]])</f>
        <v>2024</v>
      </c>
      <c r="S1116" t="str">
        <f>IF(Table1[[#This Row],[Quantity]]&gt;=3,"Promo","Regular")</f>
        <v>Promo</v>
      </c>
    </row>
    <row r="1117" spans="1:19" x14ac:dyDescent="0.35">
      <c r="A1117" t="s">
        <v>2127</v>
      </c>
      <c r="B1117" t="s">
        <v>1190</v>
      </c>
      <c r="C1117" s="1">
        <v>45462</v>
      </c>
      <c r="D1117" t="s">
        <v>28</v>
      </c>
      <c r="E1117" t="s">
        <v>40</v>
      </c>
      <c r="F1117" t="s">
        <v>41</v>
      </c>
      <c r="G1117" t="s">
        <v>18</v>
      </c>
      <c r="H1117" t="s">
        <v>37</v>
      </c>
      <c r="I1117" t="s">
        <v>20</v>
      </c>
      <c r="J1117">
        <v>5</v>
      </c>
      <c r="K1117">
        <v>386</v>
      </c>
      <c r="L1117">
        <v>1930</v>
      </c>
      <c r="M1117">
        <v>32</v>
      </c>
      <c r="N1117" t="s">
        <v>33</v>
      </c>
      <c r="O1117">
        <v>3.5</v>
      </c>
      <c r="P1117" s="2">
        <f>EOMONTH(Table1[[#This Row],[Order_Date]],0)</f>
        <v>45473</v>
      </c>
      <c r="Q1117" s="3">
        <f>WEEKNUM(Table1[[#This Row],[Order_Date]])</f>
        <v>25</v>
      </c>
      <c r="R1117">
        <f>YEAR(Table1[[#This Row],[Order_Date]])</f>
        <v>2024</v>
      </c>
      <c r="S1117" t="str">
        <f>IF(Table1[[#This Row],[Quantity]]&gt;=3,"Promo","Regular")</f>
        <v>Promo</v>
      </c>
    </row>
    <row r="1118" spans="1:19" x14ac:dyDescent="0.35">
      <c r="A1118" t="s">
        <v>2127</v>
      </c>
      <c r="B1118" t="s">
        <v>1191</v>
      </c>
      <c r="C1118" s="1">
        <v>45345</v>
      </c>
      <c r="D1118" t="s">
        <v>57</v>
      </c>
      <c r="E1118" t="s">
        <v>105</v>
      </c>
      <c r="F1118" t="s">
        <v>24</v>
      </c>
      <c r="G1118" t="s">
        <v>36</v>
      </c>
      <c r="H1118" t="s">
        <v>37</v>
      </c>
      <c r="I1118" t="s">
        <v>20</v>
      </c>
      <c r="J1118">
        <v>5</v>
      </c>
      <c r="K1118">
        <v>319</v>
      </c>
      <c r="L1118">
        <v>1595</v>
      </c>
      <c r="M1118">
        <v>30</v>
      </c>
      <c r="N1118" t="s">
        <v>38</v>
      </c>
      <c r="O1118">
        <v>3.1</v>
      </c>
      <c r="P1118" s="2">
        <f>EOMONTH(Table1[[#This Row],[Order_Date]],0)</f>
        <v>45351</v>
      </c>
      <c r="Q1118" s="3">
        <f>WEEKNUM(Table1[[#This Row],[Order_Date]])</f>
        <v>8</v>
      </c>
      <c r="R1118">
        <f>YEAR(Table1[[#This Row],[Order_Date]])</f>
        <v>2024</v>
      </c>
      <c r="S1118" t="str">
        <f>IF(Table1[[#This Row],[Quantity]]&gt;=3,"Promo","Regular")</f>
        <v>Promo</v>
      </c>
    </row>
    <row r="1119" spans="1:19" x14ac:dyDescent="0.35">
      <c r="A1119" t="s">
        <v>2127</v>
      </c>
      <c r="B1119" t="s">
        <v>1192</v>
      </c>
      <c r="C1119" s="1">
        <v>45313</v>
      </c>
      <c r="D1119" t="s">
        <v>48</v>
      </c>
      <c r="E1119" t="s">
        <v>49</v>
      </c>
      <c r="F1119" t="s">
        <v>69</v>
      </c>
      <c r="G1119" t="s">
        <v>36</v>
      </c>
      <c r="H1119" t="s">
        <v>50</v>
      </c>
      <c r="I1119" t="s">
        <v>20</v>
      </c>
      <c r="J1119">
        <v>2</v>
      </c>
      <c r="K1119">
        <v>413</v>
      </c>
      <c r="L1119">
        <v>826</v>
      </c>
      <c r="M1119">
        <v>27</v>
      </c>
      <c r="N1119" t="s">
        <v>38</v>
      </c>
      <c r="O1119">
        <v>3.9</v>
      </c>
      <c r="P1119" s="2">
        <f>EOMONTH(Table1[[#This Row],[Order_Date]],0)</f>
        <v>45322</v>
      </c>
      <c r="Q1119" s="3">
        <f>WEEKNUM(Table1[[#This Row],[Order_Date]])</f>
        <v>4</v>
      </c>
      <c r="R1119">
        <f>YEAR(Table1[[#This Row],[Order_Date]])</f>
        <v>2024</v>
      </c>
      <c r="S1119" t="str">
        <f>IF(Table1[[#This Row],[Quantity]]&gt;=3,"Promo","Regular")</f>
        <v>Regular</v>
      </c>
    </row>
    <row r="1120" spans="1:19" x14ac:dyDescent="0.35">
      <c r="A1120" t="s">
        <v>2128</v>
      </c>
      <c r="B1120" t="s">
        <v>1193</v>
      </c>
      <c r="C1120" s="1">
        <v>45428</v>
      </c>
      <c r="D1120" t="s">
        <v>48</v>
      </c>
      <c r="E1120" t="s">
        <v>127</v>
      </c>
      <c r="F1120" t="s">
        <v>85</v>
      </c>
      <c r="G1120" t="s">
        <v>73</v>
      </c>
      <c r="H1120" t="s">
        <v>66</v>
      </c>
      <c r="I1120" t="s">
        <v>20</v>
      </c>
      <c r="J1120">
        <v>3</v>
      </c>
      <c r="K1120">
        <v>222</v>
      </c>
      <c r="L1120">
        <v>666</v>
      </c>
      <c r="M1120">
        <v>37</v>
      </c>
      <c r="N1120" t="s">
        <v>38</v>
      </c>
      <c r="O1120">
        <v>3.9</v>
      </c>
      <c r="P1120" s="2">
        <f>EOMONTH(Table1[[#This Row],[Order_Date]],0)</f>
        <v>45443</v>
      </c>
      <c r="Q1120" s="3">
        <f>WEEKNUM(Table1[[#This Row],[Order_Date]])</f>
        <v>20</v>
      </c>
      <c r="R1120">
        <f>YEAR(Table1[[#This Row],[Order_Date]])</f>
        <v>2024</v>
      </c>
      <c r="S1120" t="str">
        <f>IF(Table1[[#This Row],[Quantity]]&gt;=3,"Promo","Regular")</f>
        <v>Promo</v>
      </c>
    </row>
    <row r="1121" spans="1:19" x14ac:dyDescent="0.35">
      <c r="A1121" t="s">
        <v>2128</v>
      </c>
      <c r="B1121" t="s">
        <v>1194</v>
      </c>
      <c r="C1121" s="1">
        <v>45533</v>
      </c>
      <c r="D1121" t="s">
        <v>57</v>
      </c>
      <c r="E1121" t="s">
        <v>75</v>
      </c>
      <c r="F1121" t="s">
        <v>72</v>
      </c>
      <c r="G1121" t="s">
        <v>18</v>
      </c>
      <c r="H1121" t="s">
        <v>120</v>
      </c>
      <c r="I1121" t="s">
        <v>60</v>
      </c>
      <c r="J1121">
        <v>3</v>
      </c>
      <c r="K1121">
        <v>491</v>
      </c>
      <c r="L1121">
        <v>1473</v>
      </c>
      <c r="M1121">
        <v>40</v>
      </c>
      <c r="N1121" t="s">
        <v>33</v>
      </c>
      <c r="O1121">
        <v>3.1</v>
      </c>
      <c r="P1121" s="2">
        <f>EOMONTH(Table1[[#This Row],[Order_Date]],0)</f>
        <v>45535</v>
      </c>
      <c r="Q1121" s="3">
        <f>WEEKNUM(Table1[[#This Row],[Order_Date]])</f>
        <v>35</v>
      </c>
      <c r="R1121">
        <f>YEAR(Table1[[#This Row],[Order_Date]])</f>
        <v>2024</v>
      </c>
      <c r="S1121" t="str">
        <f>IF(Table1[[#This Row],[Quantity]]&gt;=3,"Promo","Regular")</f>
        <v>Promo</v>
      </c>
    </row>
    <row r="1122" spans="1:19" x14ac:dyDescent="0.35">
      <c r="A1122" t="s">
        <v>2128</v>
      </c>
      <c r="B1122" t="s">
        <v>1195</v>
      </c>
      <c r="C1122" s="1">
        <v>45357</v>
      </c>
      <c r="D1122" t="s">
        <v>57</v>
      </c>
      <c r="E1122" t="s">
        <v>58</v>
      </c>
      <c r="F1122" t="s">
        <v>41</v>
      </c>
      <c r="G1122" t="s">
        <v>73</v>
      </c>
      <c r="H1122" t="s">
        <v>55</v>
      </c>
      <c r="I1122" t="s">
        <v>20</v>
      </c>
      <c r="J1122">
        <v>1</v>
      </c>
      <c r="K1122">
        <v>322</v>
      </c>
      <c r="L1122">
        <v>322</v>
      </c>
      <c r="M1122">
        <v>44</v>
      </c>
      <c r="N1122" t="s">
        <v>38</v>
      </c>
      <c r="O1122">
        <v>4.5</v>
      </c>
      <c r="P1122" s="2">
        <f>EOMONTH(Table1[[#This Row],[Order_Date]],0)</f>
        <v>45382</v>
      </c>
      <c r="Q1122" s="3">
        <f>WEEKNUM(Table1[[#This Row],[Order_Date]])</f>
        <v>10</v>
      </c>
      <c r="R1122">
        <f>YEAR(Table1[[#This Row],[Order_Date]])</f>
        <v>2024</v>
      </c>
      <c r="S1122" t="str">
        <f>IF(Table1[[#This Row],[Quantity]]&gt;=3,"Promo","Regular")</f>
        <v>Regular</v>
      </c>
    </row>
    <row r="1123" spans="1:19" x14ac:dyDescent="0.35">
      <c r="A1123" t="s">
        <v>2129</v>
      </c>
      <c r="B1123" t="s">
        <v>1196</v>
      </c>
      <c r="C1123" s="1">
        <v>45559</v>
      </c>
      <c r="D1123" t="s">
        <v>28</v>
      </c>
      <c r="E1123" t="s">
        <v>77</v>
      </c>
      <c r="F1123" t="s">
        <v>45</v>
      </c>
      <c r="G1123" t="s">
        <v>31</v>
      </c>
      <c r="H1123" t="s">
        <v>53</v>
      </c>
      <c r="I1123" t="s">
        <v>20</v>
      </c>
      <c r="J1123">
        <v>2</v>
      </c>
      <c r="K1123">
        <v>350</v>
      </c>
      <c r="L1123">
        <v>700</v>
      </c>
      <c r="M1123">
        <v>31</v>
      </c>
      <c r="N1123" t="s">
        <v>38</v>
      </c>
      <c r="O1123">
        <v>3.6</v>
      </c>
      <c r="P1123" s="2">
        <f>EOMONTH(Table1[[#This Row],[Order_Date]],0)</f>
        <v>45565</v>
      </c>
      <c r="Q1123" s="3">
        <f>WEEKNUM(Table1[[#This Row],[Order_Date]])</f>
        <v>39</v>
      </c>
      <c r="R1123">
        <f>YEAR(Table1[[#This Row],[Order_Date]])</f>
        <v>2024</v>
      </c>
      <c r="S1123" t="str">
        <f>IF(Table1[[#This Row],[Quantity]]&gt;=3,"Promo","Regular")</f>
        <v>Regular</v>
      </c>
    </row>
    <row r="1124" spans="1:19" x14ac:dyDescent="0.35">
      <c r="A1124" t="s">
        <v>2129</v>
      </c>
      <c r="B1124" t="s">
        <v>1197</v>
      </c>
      <c r="C1124" s="1">
        <v>45480</v>
      </c>
      <c r="D1124" t="s">
        <v>43</v>
      </c>
      <c r="E1124" t="s">
        <v>44</v>
      </c>
      <c r="F1124" t="s">
        <v>24</v>
      </c>
      <c r="G1124" t="s">
        <v>31</v>
      </c>
      <c r="H1124" t="s">
        <v>66</v>
      </c>
      <c r="I1124" t="s">
        <v>20</v>
      </c>
      <c r="J1124">
        <v>4</v>
      </c>
      <c r="K1124">
        <v>348</v>
      </c>
      <c r="L1124">
        <v>1392</v>
      </c>
      <c r="M1124">
        <v>31</v>
      </c>
      <c r="N1124" t="s">
        <v>21</v>
      </c>
      <c r="O1124">
        <v>5</v>
      </c>
      <c r="P1124" s="2">
        <f>EOMONTH(Table1[[#This Row],[Order_Date]],0)</f>
        <v>45504</v>
      </c>
      <c r="Q1124" s="3">
        <f>WEEKNUM(Table1[[#This Row],[Order_Date]])</f>
        <v>28</v>
      </c>
      <c r="R1124">
        <f>YEAR(Table1[[#This Row],[Order_Date]])</f>
        <v>2024</v>
      </c>
      <c r="S1124" t="str">
        <f>IF(Table1[[#This Row],[Quantity]]&gt;=3,"Promo","Regular")</f>
        <v>Promo</v>
      </c>
    </row>
    <row r="1125" spans="1:19" x14ac:dyDescent="0.35">
      <c r="A1125" t="s">
        <v>2129</v>
      </c>
      <c r="B1125" t="s">
        <v>1198</v>
      </c>
      <c r="C1125" s="1">
        <v>45565</v>
      </c>
      <c r="D1125" t="s">
        <v>57</v>
      </c>
      <c r="E1125" t="s">
        <v>58</v>
      </c>
      <c r="F1125" t="s">
        <v>41</v>
      </c>
      <c r="G1125" t="s">
        <v>18</v>
      </c>
      <c r="H1125" t="s">
        <v>120</v>
      </c>
      <c r="I1125" t="s">
        <v>60</v>
      </c>
      <c r="J1125">
        <v>4</v>
      </c>
      <c r="K1125">
        <v>485</v>
      </c>
      <c r="L1125">
        <v>1940</v>
      </c>
      <c r="M1125">
        <v>42</v>
      </c>
      <c r="N1125" t="s">
        <v>33</v>
      </c>
      <c r="O1125">
        <v>3.7</v>
      </c>
      <c r="P1125" s="2">
        <f>EOMONTH(Table1[[#This Row],[Order_Date]],0)</f>
        <v>45565</v>
      </c>
      <c r="Q1125" s="3">
        <f>WEEKNUM(Table1[[#This Row],[Order_Date]])</f>
        <v>40</v>
      </c>
      <c r="R1125">
        <f>YEAR(Table1[[#This Row],[Order_Date]])</f>
        <v>2024</v>
      </c>
      <c r="S1125" t="str">
        <f>IF(Table1[[#This Row],[Quantity]]&gt;=3,"Promo","Regular")</f>
        <v>Promo</v>
      </c>
    </row>
    <row r="1126" spans="1:19" x14ac:dyDescent="0.35">
      <c r="A1126" t="s">
        <v>2129</v>
      </c>
      <c r="B1126" t="s">
        <v>1199</v>
      </c>
      <c r="C1126" s="1">
        <v>45412</v>
      </c>
      <c r="D1126" t="s">
        <v>15</v>
      </c>
      <c r="E1126" t="s">
        <v>23</v>
      </c>
      <c r="F1126" t="s">
        <v>85</v>
      </c>
      <c r="G1126" t="s">
        <v>31</v>
      </c>
      <c r="H1126" t="s">
        <v>120</v>
      </c>
      <c r="I1126" t="s">
        <v>60</v>
      </c>
      <c r="J1126">
        <v>3</v>
      </c>
      <c r="K1126">
        <v>133</v>
      </c>
      <c r="L1126">
        <v>399</v>
      </c>
      <c r="M1126">
        <v>24</v>
      </c>
      <c r="N1126" t="s">
        <v>38</v>
      </c>
      <c r="O1126">
        <v>3.4</v>
      </c>
      <c r="P1126" s="2">
        <f>EOMONTH(Table1[[#This Row],[Order_Date]],0)</f>
        <v>45412</v>
      </c>
      <c r="Q1126" s="3">
        <f>WEEKNUM(Table1[[#This Row],[Order_Date]])</f>
        <v>18</v>
      </c>
      <c r="R1126">
        <f>YEAR(Table1[[#This Row],[Order_Date]])</f>
        <v>2024</v>
      </c>
      <c r="S1126" t="str">
        <f>IF(Table1[[#This Row],[Quantity]]&gt;=3,"Promo","Regular")</f>
        <v>Promo</v>
      </c>
    </row>
    <row r="1127" spans="1:19" x14ac:dyDescent="0.35">
      <c r="A1127" t="s">
        <v>2130</v>
      </c>
      <c r="B1127" t="s">
        <v>1200</v>
      </c>
      <c r="C1127" s="1">
        <v>45409</v>
      </c>
      <c r="D1127" t="s">
        <v>15</v>
      </c>
      <c r="E1127" t="s">
        <v>16</v>
      </c>
      <c r="F1127" t="s">
        <v>41</v>
      </c>
      <c r="G1127" t="s">
        <v>25</v>
      </c>
      <c r="H1127" t="s">
        <v>19</v>
      </c>
      <c r="I1127" t="s">
        <v>20</v>
      </c>
      <c r="J1127">
        <v>3</v>
      </c>
      <c r="K1127">
        <v>486</v>
      </c>
      <c r="L1127">
        <v>1458</v>
      </c>
      <c r="M1127">
        <v>33</v>
      </c>
      <c r="N1127" t="s">
        <v>33</v>
      </c>
      <c r="O1127">
        <v>3</v>
      </c>
      <c r="P1127" s="2">
        <f>EOMONTH(Table1[[#This Row],[Order_Date]],0)</f>
        <v>45412</v>
      </c>
      <c r="Q1127" s="3">
        <f>WEEKNUM(Table1[[#This Row],[Order_Date]])</f>
        <v>17</v>
      </c>
      <c r="R1127">
        <f>YEAR(Table1[[#This Row],[Order_Date]])</f>
        <v>2024</v>
      </c>
      <c r="S1127" t="str">
        <f>IF(Table1[[#This Row],[Quantity]]&gt;=3,"Promo","Regular")</f>
        <v>Promo</v>
      </c>
    </row>
    <row r="1128" spans="1:19" x14ac:dyDescent="0.35">
      <c r="A1128" t="s">
        <v>2130</v>
      </c>
      <c r="B1128" t="s">
        <v>1201</v>
      </c>
      <c r="C1128" s="1">
        <v>45451</v>
      </c>
      <c r="D1128" t="s">
        <v>43</v>
      </c>
      <c r="E1128" t="s">
        <v>52</v>
      </c>
      <c r="F1128" t="s">
        <v>72</v>
      </c>
      <c r="G1128" t="s">
        <v>18</v>
      </c>
      <c r="H1128" t="s">
        <v>37</v>
      </c>
      <c r="I1128" t="s">
        <v>20</v>
      </c>
      <c r="J1128">
        <v>3</v>
      </c>
      <c r="K1128">
        <v>220</v>
      </c>
      <c r="L1128">
        <v>660</v>
      </c>
      <c r="M1128">
        <v>47</v>
      </c>
      <c r="N1128" t="s">
        <v>38</v>
      </c>
      <c r="O1128">
        <v>3.9</v>
      </c>
      <c r="P1128" s="2">
        <f>EOMONTH(Table1[[#This Row],[Order_Date]],0)</f>
        <v>45473</v>
      </c>
      <c r="Q1128" s="3">
        <f>WEEKNUM(Table1[[#This Row],[Order_Date]])</f>
        <v>23</v>
      </c>
      <c r="R1128">
        <f>YEAR(Table1[[#This Row],[Order_Date]])</f>
        <v>2024</v>
      </c>
      <c r="S1128" t="str">
        <f>IF(Table1[[#This Row],[Quantity]]&gt;=3,"Promo","Regular")</f>
        <v>Promo</v>
      </c>
    </row>
    <row r="1129" spans="1:19" x14ac:dyDescent="0.35">
      <c r="A1129" t="s">
        <v>2130</v>
      </c>
      <c r="B1129" t="s">
        <v>1202</v>
      </c>
      <c r="C1129" s="1">
        <v>45464</v>
      </c>
      <c r="D1129" t="s">
        <v>57</v>
      </c>
      <c r="E1129" t="s">
        <v>105</v>
      </c>
      <c r="F1129" t="s">
        <v>45</v>
      </c>
      <c r="G1129" t="s">
        <v>18</v>
      </c>
      <c r="H1129" t="s">
        <v>19</v>
      </c>
      <c r="I1129" t="s">
        <v>20</v>
      </c>
      <c r="J1129">
        <v>4</v>
      </c>
      <c r="K1129">
        <v>454</v>
      </c>
      <c r="L1129">
        <v>1816</v>
      </c>
      <c r="M1129">
        <v>33</v>
      </c>
      <c r="N1129" t="s">
        <v>38</v>
      </c>
      <c r="O1129">
        <v>3.1</v>
      </c>
      <c r="P1129" s="2">
        <f>EOMONTH(Table1[[#This Row],[Order_Date]],0)</f>
        <v>45473</v>
      </c>
      <c r="Q1129" s="3">
        <f>WEEKNUM(Table1[[#This Row],[Order_Date]])</f>
        <v>25</v>
      </c>
      <c r="R1129">
        <f>YEAR(Table1[[#This Row],[Order_Date]])</f>
        <v>2024</v>
      </c>
      <c r="S1129" t="str">
        <f>IF(Table1[[#This Row],[Quantity]]&gt;=3,"Promo","Regular")</f>
        <v>Promo</v>
      </c>
    </row>
    <row r="1130" spans="1:19" x14ac:dyDescent="0.35">
      <c r="A1130" t="s">
        <v>2131</v>
      </c>
      <c r="B1130" t="s">
        <v>1203</v>
      </c>
      <c r="C1130" s="1">
        <v>45319</v>
      </c>
      <c r="D1130" t="s">
        <v>57</v>
      </c>
      <c r="E1130" t="s">
        <v>62</v>
      </c>
      <c r="F1130" t="s">
        <v>41</v>
      </c>
      <c r="G1130" t="s">
        <v>46</v>
      </c>
      <c r="H1130" t="s">
        <v>32</v>
      </c>
      <c r="I1130" t="s">
        <v>20</v>
      </c>
      <c r="J1130">
        <v>2</v>
      </c>
      <c r="K1130">
        <v>261</v>
      </c>
      <c r="L1130">
        <v>522</v>
      </c>
      <c r="M1130">
        <v>23</v>
      </c>
      <c r="N1130" t="s">
        <v>38</v>
      </c>
      <c r="O1130">
        <v>5</v>
      </c>
      <c r="P1130" s="2">
        <f>EOMONTH(Table1[[#This Row],[Order_Date]],0)</f>
        <v>45322</v>
      </c>
      <c r="Q1130" s="3">
        <f>WEEKNUM(Table1[[#This Row],[Order_Date]])</f>
        <v>5</v>
      </c>
      <c r="R1130">
        <f>YEAR(Table1[[#This Row],[Order_Date]])</f>
        <v>2024</v>
      </c>
      <c r="S1130" t="str">
        <f>IF(Table1[[#This Row],[Quantity]]&gt;=3,"Promo","Regular")</f>
        <v>Regular</v>
      </c>
    </row>
    <row r="1131" spans="1:19" x14ac:dyDescent="0.35">
      <c r="A1131" t="s">
        <v>2131</v>
      </c>
      <c r="B1131" t="s">
        <v>1204</v>
      </c>
      <c r="C1131" s="1">
        <v>45553</v>
      </c>
      <c r="D1131" t="s">
        <v>48</v>
      </c>
      <c r="E1131" t="s">
        <v>64</v>
      </c>
      <c r="F1131" t="s">
        <v>30</v>
      </c>
      <c r="G1131" t="s">
        <v>31</v>
      </c>
      <c r="H1131" t="s">
        <v>50</v>
      </c>
      <c r="I1131" t="s">
        <v>20</v>
      </c>
      <c r="J1131">
        <v>4</v>
      </c>
      <c r="K1131">
        <v>268</v>
      </c>
      <c r="L1131">
        <v>1072</v>
      </c>
      <c r="M1131">
        <v>38</v>
      </c>
      <c r="N1131" t="s">
        <v>21</v>
      </c>
      <c r="O1131">
        <v>4.4000000000000004</v>
      </c>
      <c r="P1131" s="2">
        <f>EOMONTH(Table1[[#This Row],[Order_Date]],0)</f>
        <v>45565</v>
      </c>
      <c r="Q1131" s="3">
        <f>WEEKNUM(Table1[[#This Row],[Order_Date]])</f>
        <v>38</v>
      </c>
      <c r="R1131">
        <f>YEAR(Table1[[#This Row],[Order_Date]])</f>
        <v>2024</v>
      </c>
      <c r="S1131" t="str">
        <f>IF(Table1[[#This Row],[Quantity]]&gt;=3,"Promo","Regular")</f>
        <v>Promo</v>
      </c>
    </row>
    <row r="1132" spans="1:19" x14ac:dyDescent="0.35">
      <c r="A1132" t="s">
        <v>2132</v>
      </c>
      <c r="B1132" t="s">
        <v>1205</v>
      </c>
      <c r="C1132" s="1">
        <v>45367</v>
      </c>
      <c r="D1132" t="s">
        <v>48</v>
      </c>
      <c r="E1132" t="s">
        <v>49</v>
      </c>
      <c r="F1132" t="s">
        <v>30</v>
      </c>
      <c r="G1132" t="s">
        <v>18</v>
      </c>
      <c r="H1132" t="s">
        <v>37</v>
      </c>
      <c r="I1132" t="s">
        <v>20</v>
      </c>
      <c r="J1132">
        <v>5</v>
      </c>
      <c r="K1132">
        <v>400</v>
      </c>
      <c r="L1132">
        <v>2000</v>
      </c>
      <c r="M1132">
        <v>55</v>
      </c>
      <c r="N1132" t="s">
        <v>38</v>
      </c>
      <c r="O1132">
        <v>4</v>
      </c>
      <c r="P1132" s="2">
        <f>EOMONTH(Table1[[#This Row],[Order_Date]],0)</f>
        <v>45382</v>
      </c>
      <c r="Q1132" s="3">
        <f>WEEKNUM(Table1[[#This Row],[Order_Date]])</f>
        <v>11</v>
      </c>
      <c r="R1132">
        <f>YEAR(Table1[[#This Row],[Order_Date]])</f>
        <v>2024</v>
      </c>
      <c r="S1132" t="str">
        <f>IF(Table1[[#This Row],[Quantity]]&gt;=3,"Promo","Regular")</f>
        <v>Promo</v>
      </c>
    </row>
    <row r="1133" spans="1:19" x14ac:dyDescent="0.35">
      <c r="A1133" t="s">
        <v>2132</v>
      </c>
      <c r="B1133" t="s">
        <v>1206</v>
      </c>
      <c r="C1133" s="1">
        <v>45512</v>
      </c>
      <c r="D1133" t="s">
        <v>15</v>
      </c>
      <c r="E1133" t="s">
        <v>23</v>
      </c>
      <c r="F1133" t="s">
        <v>69</v>
      </c>
      <c r="G1133" t="s">
        <v>18</v>
      </c>
      <c r="H1133" t="s">
        <v>37</v>
      </c>
      <c r="I1133" t="s">
        <v>20</v>
      </c>
      <c r="J1133">
        <v>1</v>
      </c>
      <c r="K1133">
        <v>185</v>
      </c>
      <c r="L1133">
        <v>185</v>
      </c>
      <c r="M1133">
        <v>32</v>
      </c>
      <c r="N1133" t="s">
        <v>38</v>
      </c>
      <c r="O1133">
        <v>3.5</v>
      </c>
      <c r="P1133" s="2">
        <f>EOMONTH(Table1[[#This Row],[Order_Date]],0)</f>
        <v>45535</v>
      </c>
      <c r="Q1133" s="3">
        <f>WEEKNUM(Table1[[#This Row],[Order_Date]])</f>
        <v>32</v>
      </c>
      <c r="R1133">
        <f>YEAR(Table1[[#This Row],[Order_Date]])</f>
        <v>2024</v>
      </c>
      <c r="S1133" t="str">
        <f>IF(Table1[[#This Row],[Quantity]]&gt;=3,"Promo","Regular")</f>
        <v>Regular</v>
      </c>
    </row>
    <row r="1134" spans="1:19" x14ac:dyDescent="0.35">
      <c r="A1134" t="s">
        <v>2132</v>
      </c>
      <c r="B1134" t="s">
        <v>1207</v>
      </c>
      <c r="C1134" s="1">
        <v>45390</v>
      </c>
      <c r="D1134" t="s">
        <v>15</v>
      </c>
      <c r="E1134" t="s">
        <v>23</v>
      </c>
      <c r="F1134" t="s">
        <v>85</v>
      </c>
      <c r="G1134" t="s">
        <v>73</v>
      </c>
      <c r="H1134" t="s">
        <v>120</v>
      </c>
      <c r="I1134" t="s">
        <v>60</v>
      </c>
      <c r="J1134">
        <v>5</v>
      </c>
      <c r="K1134">
        <v>320</v>
      </c>
      <c r="L1134">
        <v>1600</v>
      </c>
      <c r="M1134">
        <v>54</v>
      </c>
      <c r="N1134" t="s">
        <v>38</v>
      </c>
      <c r="O1134">
        <v>3.1</v>
      </c>
      <c r="P1134" s="2">
        <f>EOMONTH(Table1[[#This Row],[Order_Date]],0)</f>
        <v>45412</v>
      </c>
      <c r="Q1134" s="3">
        <f>WEEKNUM(Table1[[#This Row],[Order_Date]])</f>
        <v>15</v>
      </c>
      <c r="R1134">
        <f>YEAR(Table1[[#This Row],[Order_Date]])</f>
        <v>2024</v>
      </c>
      <c r="S1134" t="str">
        <f>IF(Table1[[#This Row],[Quantity]]&gt;=3,"Promo","Regular")</f>
        <v>Promo</v>
      </c>
    </row>
    <row r="1135" spans="1:19" x14ac:dyDescent="0.35">
      <c r="A1135" t="s">
        <v>2132</v>
      </c>
      <c r="B1135" t="s">
        <v>1208</v>
      </c>
      <c r="C1135" s="1">
        <v>45558</v>
      </c>
      <c r="D1135" t="s">
        <v>43</v>
      </c>
      <c r="E1135" t="s">
        <v>44</v>
      </c>
      <c r="F1135" t="s">
        <v>72</v>
      </c>
      <c r="G1135" t="s">
        <v>31</v>
      </c>
      <c r="H1135" t="s">
        <v>19</v>
      </c>
      <c r="I1135" t="s">
        <v>20</v>
      </c>
      <c r="J1135">
        <v>2</v>
      </c>
      <c r="K1135">
        <v>233</v>
      </c>
      <c r="L1135">
        <v>466</v>
      </c>
      <c r="M1135">
        <v>48</v>
      </c>
      <c r="N1135" t="s">
        <v>21</v>
      </c>
      <c r="O1135">
        <v>3.9</v>
      </c>
      <c r="P1135" s="2">
        <f>EOMONTH(Table1[[#This Row],[Order_Date]],0)</f>
        <v>45565</v>
      </c>
      <c r="Q1135" s="3">
        <f>WEEKNUM(Table1[[#This Row],[Order_Date]])</f>
        <v>39</v>
      </c>
      <c r="R1135">
        <f>YEAR(Table1[[#This Row],[Order_Date]])</f>
        <v>2024</v>
      </c>
      <c r="S1135" t="str">
        <f>IF(Table1[[#This Row],[Quantity]]&gt;=3,"Promo","Regular")</f>
        <v>Regular</v>
      </c>
    </row>
    <row r="1136" spans="1:19" x14ac:dyDescent="0.35">
      <c r="A1136" t="s">
        <v>2133</v>
      </c>
      <c r="B1136" t="s">
        <v>1209</v>
      </c>
      <c r="C1136" s="1">
        <v>45577</v>
      </c>
      <c r="D1136" t="s">
        <v>15</v>
      </c>
      <c r="E1136" t="s">
        <v>112</v>
      </c>
      <c r="F1136" t="s">
        <v>30</v>
      </c>
      <c r="G1136" t="s">
        <v>18</v>
      </c>
      <c r="H1136" t="s">
        <v>66</v>
      </c>
      <c r="I1136" t="s">
        <v>20</v>
      </c>
      <c r="J1136">
        <v>3</v>
      </c>
      <c r="K1136">
        <v>149</v>
      </c>
      <c r="L1136">
        <v>447</v>
      </c>
      <c r="M1136">
        <v>21</v>
      </c>
      <c r="N1136" t="s">
        <v>21</v>
      </c>
      <c r="O1136">
        <v>3.9</v>
      </c>
      <c r="P1136" s="2">
        <f>EOMONTH(Table1[[#This Row],[Order_Date]],0)</f>
        <v>45596</v>
      </c>
      <c r="Q1136" s="3">
        <f>WEEKNUM(Table1[[#This Row],[Order_Date]])</f>
        <v>41</v>
      </c>
      <c r="R1136">
        <f>YEAR(Table1[[#This Row],[Order_Date]])</f>
        <v>2024</v>
      </c>
      <c r="S1136" t="str">
        <f>IF(Table1[[#This Row],[Quantity]]&gt;=3,"Promo","Regular")</f>
        <v>Promo</v>
      </c>
    </row>
    <row r="1137" spans="1:19" x14ac:dyDescent="0.35">
      <c r="A1137" t="s">
        <v>2133</v>
      </c>
      <c r="B1137" t="s">
        <v>1210</v>
      </c>
      <c r="C1137" s="1">
        <v>45477</v>
      </c>
      <c r="D1137" t="s">
        <v>48</v>
      </c>
      <c r="E1137" t="s">
        <v>64</v>
      </c>
      <c r="F1137" t="s">
        <v>24</v>
      </c>
      <c r="G1137" t="s">
        <v>18</v>
      </c>
      <c r="H1137" t="s">
        <v>66</v>
      </c>
      <c r="I1137" t="s">
        <v>20</v>
      </c>
      <c r="J1137">
        <v>4</v>
      </c>
      <c r="K1137">
        <v>234</v>
      </c>
      <c r="L1137">
        <v>936</v>
      </c>
      <c r="M1137">
        <v>41</v>
      </c>
      <c r="N1137" t="s">
        <v>21</v>
      </c>
      <c r="O1137">
        <v>3.9</v>
      </c>
      <c r="P1137" s="2">
        <f>EOMONTH(Table1[[#This Row],[Order_Date]],0)</f>
        <v>45504</v>
      </c>
      <c r="Q1137" s="3">
        <f>WEEKNUM(Table1[[#This Row],[Order_Date]])</f>
        <v>27</v>
      </c>
      <c r="R1137">
        <f>YEAR(Table1[[#This Row],[Order_Date]])</f>
        <v>2024</v>
      </c>
      <c r="S1137" t="str">
        <f>IF(Table1[[#This Row],[Quantity]]&gt;=3,"Promo","Regular")</f>
        <v>Promo</v>
      </c>
    </row>
    <row r="1138" spans="1:19" x14ac:dyDescent="0.35">
      <c r="A1138" t="s">
        <v>2133</v>
      </c>
      <c r="B1138" t="s">
        <v>1211</v>
      </c>
      <c r="C1138" s="1">
        <v>45399</v>
      </c>
      <c r="D1138" t="s">
        <v>28</v>
      </c>
      <c r="E1138" t="s">
        <v>98</v>
      </c>
      <c r="F1138" t="s">
        <v>85</v>
      </c>
      <c r="G1138" t="s">
        <v>73</v>
      </c>
      <c r="H1138" t="s">
        <v>120</v>
      </c>
      <c r="I1138" t="s">
        <v>60</v>
      </c>
      <c r="J1138">
        <v>2</v>
      </c>
      <c r="K1138">
        <v>319</v>
      </c>
      <c r="L1138">
        <v>638</v>
      </c>
      <c r="M1138">
        <v>32</v>
      </c>
      <c r="N1138" t="s">
        <v>21</v>
      </c>
      <c r="O1138">
        <v>4.5</v>
      </c>
      <c r="P1138" s="2">
        <f>EOMONTH(Table1[[#This Row],[Order_Date]],0)</f>
        <v>45412</v>
      </c>
      <c r="Q1138" s="3">
        <f>WEEKNUM(Table1[[#This Row],[Order_Date]])</f>
        <v>16</v>
      </c>
      <c r="R1138">
        <f>YEAR(Table1[[#This Row],[Order_Date]])</f>
        <v>2024</v>
      </c>
      <c r="S1138" t="str">
        <f>IF(Table1[[#This Row],[Quantity]]&gt;=3,"Promo","Regular")</f>
        <v>Regular</v>
      </c>
    </row>
    <row r="1139" spans="1:19" x14ac:dyDescent="0.35">
      <c r="A1139" t="s">
        <v>2134</v>
      </c>
      <c r="B1139" t="s">
        <v>1212</v>
      </c>
      <c r="C1139" s="1">
        <v>45468</v>
      </c>
      <c r="D1139" t="s">
        <v>28</v>
      </c>
      <c r="E1139" t="s">
        <v>98</v>
      </c>
      <c r="F1139" t="s">
        <v>72</v>
      </c>
      <c r="G1139" t="s">
        <v>36</v>
      </c>
      <c r="H1139" t="s">
        <v>55</v>
      </c>
      <c r="I1139" t="s">
        <v>20</v>
      </c>
      <c r="J1139">
        <v>3</v>
      </c>
      <c r="K1139">
        <v>175</v>
      </c>
      <c r="L1139">
        <v>525</v>
      </c>
      <c r="M1139">
        <v>40</v>
      </c>
      <c r="N1139" t="s">
        <v>38</v>
      </c>
      <c r="O1139">
        <v>3.6</v>
      </c>
      <c r="P1139" s="2">
        <f>EOMONTH(Table1[[#This Row],[Order_Date]],0)</f>
        <v>45473</v>
      </c>
      <c r="Q1139" s="3">
        <f>WEEKNUM(Table1[[#This Row],[Order_Date]])</f>
        <v>26</v>
      </c>
      <c r="R1139">
        <f>YEAR(Table1[[#This Row],[Order_Date]])</f>
        <v>2024</v>
      </c>
      <c r="S1139" t="str">
        <f>IF(Table1[[#This Row],[Quantity]]&gt;=3,"Promo","Regular")</f>
        <v>Promo</v>
      </c>
    </row>
    <row r="1140" spans="1:19" x14ac:dyDescent="0.35">
      <c r="A1140" t="s">
        <v>2134</v>
      </c>
      <c r="B1140" t="s">
        <v>1213</v>
      </c>
      <c r="C1140" s="1">
        <v>45442</v>
      </c>
      <c r="D1140" t="s">
        <v>48</v>
      </c>
      <c r="E1140" t="s">
        <v>64</v>
      </c>
      <c r="F1140" t="s">
        <v>35</v>
      </c>
      <c r="G1140" t="s">
        <v>36</v>
      </c>
      <c r="H1140" t="s">
        <v>19</v>
      </c>
      <c r="I1140" t="s">
        <v>20</v>
      </c>
      <c r="J1140">
        <v>3</v>
      </c>
      <c r="K1140">
        <v>401</v>
      </c>
      <c r="L1140">
        <v>1203</v>
      </c>
      <c r="M1140">
        <v>30</v>
      </c>
      <c r="N1140" t="s">
        <v>33</v>
      </c>
      <c r="O1140">
        <v>5</v>
      </c>
      <c r="P1140" s="2">
        <f>EOMONTH(Table1[[#This Row],[Order_Date]],0)</f>
        <v>45443</v>
      </c>
      <c r="Q1140" s="3">
        <f>WEEKNUM(Table1[[#This Row],[Order_Date]])</f>
        <v>22</v>
      </c>
      <c r="R1140">
        <f>YEAR(Table1[[#This Row],[Order_Date]])</f>
        <v>2024</v>
      </c>
      <c r="S1140" t="str">
        <f>IF(Table1[[#This Row],[Quantity]]&gt;=3,"Promo","Regular")</f>
        <v>Promo</v>
      </c>
    </row>
    <row r="1141" spans="1:19" x14ac:dyDescent="0.35">
      <c r="A1141" t="s">
        <v>2134</v>
      </c>
      <c r="B1141" t="s">
        <v>1214</v>
      </c>
      <c r="C1141" s="1">
        <v>45566</v>
      </c>
      <c r="D1141" t="s">
        <v>43</v>
      </c>
      <c r="E1141" t="s">
        <v>52</v>
      </c>
      <c r="F1141" t="s">
        <v>69</v>
      </c>
      <c r="G1141" t="s">
        <v>73</v>
      </c>
      <c r="H1141" t="s">
        <v>59</v>
      </c>
      <c r="I1141" t="s">
        <v>60</v>
      </c>
      <c r="J1141">
        <v>2</v>
      </c>
      <c r="K1141">
        <v>104</v>
      </c>
      <c r="L1141">
        <v>208</v>
      </c>
      <c r="M1141">
        <v>49</v>
      </c>
      <c r="N1141" t="s">
        <v>21</v>
      </c>
      <c r="O1141">
        <v>3.7</v>
      </c>
      <c r="P1141" s="2">
        <f>EOMONTH(Table1[[#This Row],[Order_Date]],0)</f>
        <v>45596</v>
      </c>
      <c r="Q1141" s="3">
        <f>WEEKNUM(Table1[[#This Row],[Order_Date]])</f>
        <v>40</v>
      </c>
      <c r="R1141">
        <f>YEAR(Table1[[#This Row],[Order_Date]])</f>
        <v>2024</v>
      </c>
      <c r="S1141" t="str">
        <f>IF(Table1[[#This Row],[Quantity]]&gt;=3,"Promo","Regular")</f>
        <v>Regular</v>
      </c>
    </row>
    <row r="1142" spans="1:19" x14ac:dyDescent="0.35">
      <c r="A1142" t="s">
        <v>2134</v>
      </c>
      <c r="B1142" t="s">
        <v>1215</v>
      </c>
      <c r="C1142" s="1">
        <v>45308</v>
      </c>
      <c r="D1142" t="s">
        <v>57</v>
      </c>
      <c r="E1142" t="s">
        <v>105</v>
      </c>
      <c r="F1142" t="s">
        <v>30</v>
      </c>
      <c r="G1142" t="s">
        <v>46</v>
      </c>
      <c r="H1142" t="s">
        <v>53</v>
      </c>
      <c r="I1142" t="s">
        <v>20</v>
      </c>
      <c r="J1142">
        <v>1</v>
      </c>
      <c r="K1142">
        <v>147</v>
      </c>
      <c r="L1142">
        <v>147</v>
      </c>
      <c r="M1142">
        <v>53</v>
      </c>
      <c r="N1142" t="s">
        <v>33</v>
      </c>
      <c r="O1142">
        <v>3.4</v>
      </c>
      <c r="P1142" s="2">
        <f>EOMONTH(Table1[[#This Row],[Order_Date]],0)</f>
        <v>45322</v>
      </c>
      <c r="Q1142" s="3">
        <f>WEEKNUM(Table1[[#This Row],[Order_Date]])</f>
        <v>3</v>
      </c>
      <c r="R1142">
        <f>YEAR(Table1[[#This Row],[Order_Date]])</f>
        <v>2024</v>
      </c>
      <c r="S1142" t="str">
        <f>IF(Table1[[#This Row],[Quantity]]&gt;=3,"Promo","Regular")</f>
        <v>Regular</v>
      </c>
    </row>
    <row r="1143" spans="1:19" x14ac:dyDescent="0.35">
      <c r="A1143" t="s">
        <v>2134</v>
      </c>
      <c r="B1143" t="s">
        <v>1216</v>
      </c>
      <c r="C1143" s="1">
        <v>45443</v>
      </c>
      <c r="D1143" t="s">
        <v>28</v>
      </c>
      <c r="E1143" t="s">
        <v>40</v>
      </c>
      <c r="F1143" t="s">
        <v>35</v>
      </c>
      <c r="G1143" t="s">
        <v>25</v>
      </c>
      <c r="H1143" t="s">
        <v>26</v>
      </c>
      <c r="I1143" t="s">
        <v>20</v>
      </c>
      <c r="J1143">
        <v>2</v>
      </c>
      <c r="K1143">
        <v>227</v>
      </c>
      <c r="L1143">
        <v>454</v>
      </c>
      <c r="M1143">
        <v>33</v>
      </c>
      <c r="N1143" t="s">
        <v>21</v>
      </c>
      <c r="O1143">
        <v>3</v>
      </c>
      <c r="P1143" s="2">
        <f>EOMONTH(Table1[[#This Row],[Order_Date]],0)</f>
        <v>45443</v>
      </c>
      <c r="Q1143" s="3">
        <f>WEEKNUM(Table1[[#This Row],[Order_Date]])</f>
        <v>22</v>
      </c>
      <c r="R1143">
        <f>YEAR(Table1[[#This Row],[Order_Date]])</f>
        <v>2024</v>
      </c>
      <c r="S1143" t="str">
        <f>IF(Table1[[#This Row],[Quantity]]&gt;=3,"Promo","Regular")</f>
        <v>Regular</v>
      </c>
    </row>
    <row r="1144" spans="1:19" x14ac:dyDescent="0.35">
      <c r="A1144" t="s">
        <v>2135</v>
      </c>
      <c r="B1144" t="s">
        <v>1217</v>
      </c>
      <c r="C1144" s="1">
        <v>45485</v>
      </c>
      <c r="D1144" t="s">
        <v>57</v>
      </c>
      <c r="E1144" t="s">
        <v>136</v>
      </c>
      <c r="F1144" t="s">
        <v>41</v>
      </c>
      <c r="G1144" t="s">
        <v>46</v>
      </c>
      <c r="H1144" t="s">
        <v>32</v>
      </c>
      <c r="I1144" t="s">
        <v>20</v>
      </c>
      <c r="J1144">
        <v>3</v>
      </c>
      <c r="K1144">
        <v>450</v>
      </c>
      <c r="L1144">
        <v>1350</v>
      </c>
      <c r="M1144">
        <v>33</v>
      </c>
      <c r="N1144" t="s">
        <v>21</v>
      </c>
      <c r="O1144">
        <v>3.9</v>
      </c>
      <c r="P1144" s="2">
        <f>EOMONTH(Table1[[#This Row],[Order_Date]],0)</f>
        <v>45504</v>
      </c>
      <c r="Q1144" s="3">
        <f>WEEKNUM(Table1[[#This Row],[Order_Date]])</f>
        <v>28</v>
      </c>
      <c r="R1144">
        <f>YEAR(Table1[[#This Row],[Order_Date]])</f>
        <v>2024</v>
      </c>
      <c r="S1144" t="str">
        <f>IF(Table1[[#This Row],[Quantity]]&gt;=3,"Promo","Regular")</f>
        <v>Promo</v>
      </c>
    </row>
    <row r="1145" spans="1:19" x14ac:dyDescent="0.35">
      <c r="A1145" t="s">
        <v>2135</v>
      </c>
      <c r="B1145" t="s">
        <v>1218</v>
      </c>
      <c r="C1145" s="1">
        <v>45302</v>
      </c>
      <c r="D1145" t="s">
        <v>48</v>
      </c>
      <c r="E1145" t="s">
        <v>127</v>
      </c>
      <c r="F1145" t="s">
        <v>35</v>
      </c>
      <c r="G1145" t="s">
        <v>46</v>
      </c>
      <c r="H1145" t="s">
        <v>66</v>
      </c>
      <c r="I1145" t="s">
        <v>20</v>
      </c>
      <c r="J1145">
        <v>2</v>
      </c>
      <c r="K1145">
        <v>117</v>
      </c>
      <c r="L1145">
        <v>234</v>
      </c>
      <c r="M1145">
        <v>26</v>
      </c>
      <c r="N1145" t="s">
        <v>21</v>
      </c>
      <c r="O1145">
        <v>3.1</v>
      </c>
      <c r="P1145" s="2">
        <f>EOMONTH(Table1[[#This Row],[Order_Date]],0)</f>
        <v>45322</v>
      </c>
      <c r="Q1145" s="3">
        <f>WEEKNUM(Table1[[#This Row],[Order_Date]])</f>
        <v>2</v>
      </c>
      <c r="R1145">
        <f>YEAR(Table1[[#This Row],[Order_Date]])</f>
        <v>2024</v>
      </c>
      <c r="S1145" t="str">
        <f>IF(Table1[[#This Row],[Quantity]]&gt;=3,"Promo","Regular")</f>
        <v>Regular</v>
      </c>
    </row>
    <row r="1146" spans="1:19" x14ac:dyDescent="0.35">
      <c r="A1146" t="s">
        <v>2136</v>
      </c>
      <c r="B1146" t="s">
        <v>1219</v>
      </c>
      <c r="C1146" s="1">
        <v>45386</v>
      </c>
      <c r="D1146" t="s">
        <v>57</v>
      </c>
      <c r="E1146" t="s">
        <v>75</v>
      </c>
      <c r="F1146" t="s">
        <v>35</v>
      </c>
      <c r="G1146" t="s">
        <v>36</v>
      </c>
      <c r="H1146" t="s">
        <v>59</v>
      </c>
      <c r="I1146" t="s">
        <v>60</v>
      </c>
      <c r="J1146">
        <v>4</v>
      </c>
      <c r="K1146">
        <v>381</v>
      </c>
      <c r="L1146">
        <v>1524</v>
      </c>
      <c r="M1146">
        <v>21</v>
      </c>
      <c r="N1146" t="s">
        <v>33</v>
      </c>
      <c r="O1146">
        <v>5</v>
      </c>
      <c r="P1146" s="2">
        <f>EOMONTH(Table1[[#This Row],[Order_Date]],0)</f>
        <v>45412</v>
      </c>
      <c r="Q1146" s="3">
        <f>WEEKNUM(Table1[[#This Row],[Order_Date]])</f>
        <v>14</v>
      </c>
      <c r="R1146">
        <f>YEAR(Table1[[#This Row],[Order_Date]])</f>
        <v>2024</v>
      </c>
      <c r="S1146" t="str">
        <f>IF(Table1[[#This Row],[Quantity]]&gt;=3,"Promo","Regular")</f>
        <v>Promo</v>
      </c>
    </row>
    <row r="1147" spans="1:19" x14ac:dyDescent="0.35">
      <c r="A1147" t="s">
        <v>2136</v>
      </c>
      <c r="B1147" t="s">
        <v>1220</v>
      </c>
      <c r="C1147" s="1">
        <v>45494</v>
      </c>
      <c r="D1147" t="s">
        <v>15</v>
      </c>
      <c r="E1147" t="s">
        <v>23</v>
      </c>
      <c r="F1147" t="s">
        <v>69</v>
      </c>
      <c r="G1147" t="s">
        <v>31</v>
      </c>
      <c r="H1147" t="s">
        <v>59</v>
      </c>
      <c r="I1147" t="s">
        <v>60</v>
      </c>
      <c r="J1147">
        <v>4</v>
      </c>
      <c r="K1147">
        <v>460</v>
      </c>
      <c r="L1147">
        <v>1840</v>
      </c>
      <c r="M1147">
        <v>31</v>
      </c>
      <c r="N1147" t="s">
        <v>33</v>
      </c>
      <c r="O1147">
        <v>4.4000000000000004</v>
      </c>
      <c r="P1147" s="2">
        <f>EOMONTH(Table1[[#This Row],[Order_Date]],0)</f>
        <v>45504</v>
      </c>
      <c r="Q1147" s="3">
        <f>WEEKNUM(Table1[[#This Row],[Order_Date]])</f>
        <v>30</v>
      </c>
      <c r="R1147">
        <f>YEAR(Table1[[#This Row],[Order_Date]])</f>
        <v>2024</v>
      </c>
      <c r="S1147" t="str">
        <f>IF(Table1[[#This Row],[Quantity]]&gt;=3,"Promo","Regular")</f>
        <v>Promo</v>
      </c>
    </row>
    <row r="1148" spans="1:19" x14ac:dyDescent="0.35">
      <c r="A1148" t="s">
        <v>2136</v>
      </c>
      <c r="B1148" t="s">
        <v>1221</v>
      </c>
      <c r="C1148" s="1">
        <v>45581</v>
      </c>
      <c r="D1148" t="s">
        <v>28</v>
      </c>
      <c r="E1148" t="s">
        <v>98</v>
      </c>
      <c r="F1148" t="s">
        <v>72</v>
      </c>
      <c r="G1148" t="s">
        <v>31</v>
      </c>
      <c r="H1148" t="s">
        <v>26</v>
      </c>
      <c r="I1148" t="s">
        <v>20</v>
      </c>
      <c r="J1148">
        <v>2</v>
      </c>
      <c r="K1148">
        <v>133</v>
      </c>
      <c r="L1148">
        <v>266</v>
      </c>
      <c r="M1148">
        <v>60</v>
      </c>
      <c r="N1148" t="s">
        <v>33</v>
      </c>
      <c r="O1148">
        <v>4</v>
      </c>
      <c r="P1148" s="2">
        <f>EOMONTH(Table1[[#This Row],[Order_Date]],0)</f>
        <v>45596</v>
      </c>
      <c r="Q1148" s="3">
        <f>WEEKNUM(Table1[[#This Row],[Order_Date]])</f>
        <v>42</v>
      </c>
      <c r="R1148">
        <f>YEAR(Table1[[#This Row],[Order_Date]])</f>
        <v>2024</v>
      </c>
      <c r="S1148" t="str">
        <f>IF(Table1[[#This Row],[Quantity]]&gt;=3,"Promo","Regular")</f>
        <v>Regular</v>
      </c>
    </row>
    <row r="1149" spans="1:19" x14ac:dyDescent="0.35">
      <c r="A1149" t="s">
        <v>2136</v>
      </c>
      <c r="B1149" t="s">
        <v>1222</v>
      </c>
      <c r="C1149" s="1">
        <v>45546</v>
      </c>
      <c r="D1149" t="s">
        <v>57</v>
      </c>
      <c r="E1149" t="s">
        <v>62</v>
      </c>
      <c r="F1149" t="s">
        <v>45</v>
      </c>
      <c r="G1149" t="s">
        <v>31</v>
      </c>
      <c r="H1149" t="s">
        <v>59</v>
      </c>
      <c r="I1149" t="s">
        <v>60</v>
      </c>
      <c r="J1149">
        <v>1</v>
      </c>
      <c r="K1149">
        <v>497</v>
      </c>
      <c r="L1149">
        <v>497</v>
      </c>
      <c r="M1149">
        <v>33</v>
      </c>
      <c r="N1149" t="s">
        <v>21</v>
      </c>
      <c r="O1149">
        <v>3.5</v>
      </c>
      <c r="P1149" s="2">
        <f>EOMONTH(Table1[[#This Row],[Order_Date]],0)</f>
        <v>45565</v>
      </c>
      <c r="Q1149" s="3">
        <f>WEEKNUM(Table1[[#This Row],[Order_Date]])</f>
        <v>37</v>
      </c>
      <c r="R1149">
        <f>YEAR(Table1[[#This Row],[Order_Date]])</f>
        <v>2024</v>
      </c>
      <c r="S1149" t="str">
        <f>IF(Table1[[#This Row],[Quantity]]&gt;=3,"Promo","Regular")</f>
        <v>Regular</v>
      </c>
    </row>
    <row r="1150" spans="1:19" x14ac:dyDescent="0.35">
      <c r="A1150" t="s">
        <v>2137</v>
      </c>
      <c r="B1150" t="s">
        <v>1223</v>
      </c>
      <c r="C1150" s="1">
        <v>45389</v>
      </c>
      <c r="D1150" t="s">
        <v>15</v>
      </c>
      <c r="E1150" t="s">
        <v>103</v>
      </c>
      <c r="F1150" t="s">
        <v>65</v>
      </c>
      <c r="G1150" t="s">
        <v>25</v>
      </c>
      <c r="H1150" t="s">
        <v>66</v>
      </c>
      <c r="I1150" t="s">
        <v>20</v>
      </c>
      <c r="J1150">
        <v>2</v>
      </c>
      <c r="K1150">
        <v>119</v>
      </c>
      <c r="L1150">
        <v>238</v>
      </c>
      <c r="M1150">
        <v>58</v>
      </c>
      <c r="N1150" t="s">
        <v>21</v>
      </c>
      <c r="O1150">
        <v>3.1</v>
      </c>
      <c r="P1150" s="2">
        <f>EOMONTH(Table1[[#This Row],[Order_Date]],0)</f>
        <v>45412</v>
      </c>
      <c r="Q1150" s="3">
        <f>WEEKNUM(Table1[[#This Row],[Order_Date]])</f>
        <v>15</v>
      </c>
      <c r="R1150">
        <f>YEAR(Table1[[#This Row],[Order_Date]])</f>
        <v>2024</v>
      </c>
      <c r="S1150" t="str">
        <f>IF(Table1[[#This Row],[Quantity]]&gt;=3,"Promo","Regular")</f>
        <v>Regular</v>
      </c>
    </row>
    <row r="1151" spans="1:19" x14ac:dyDescent="0.35">
      <c r="A1151" t="s">
        <v>2137</v>
      </c>
      <c r="B1151" t="s">
        <v>1224</v>
      </c>
      <c r="C1151" s="1">
        <v>45482</v>
      </c>
      <c r="D1151" t="s">
        <v>28</v>
      </c>
      <c r="E1151" t="s">
        <v>29</v>
      </c>
      <c r="F1151" t="s">
        <v>17</v>
      </c>
      <c r="G1151" t="s">
        <v>73</v>
      </c>
      <c r="H1151" t="s">
        <v>120</v>
      </c>
      <c r="I1151" t="s">
        <v>60</v>
      </c>
      <c r="J1151">
        <v>3</v>
      </c>
      <c r="K1151">
        <v>264</v>
      </c>
      <c r="L1151">
        <v>792</v>
      </c>
      <c r="M1151">
        <v>39</v>
      </c>
      <c r="N1151" t="s">
        <v>38</v>
      </c>
      <c r="O1151">
        <v>3.9</v>
      </c>
      <c r="P1151" s="2">
        <f>EOMONTH(Table1[[#This Row],[Order_Date]],0)</f>
        <v>45504</v>
      </c>
      <c r="Q1151" s="3">
        <f>WEEKNUM(Table1[[#This Row],[Order_Date]])</f>
        <v>28</v>
      </c>
      <c r="R1151">
        <f>YEAR(Table1[[#This Row],[Order_Date]])</f>
        <v>2024</v>
      </c>
      <c r="S1151" t="str">
        <f>IF(Table1[[#This Row],[Quantity]]&gt;=3,"Promo","Regular")</f>
        <v>Promo</v>
      </c>
    </row>
    <row r="1152" spans="1:19" x14ac:dyDescent="0.35">
      <c r="A1152" t="s">
        <v>2137</v>
      </c>
      <c r="B1152" t="s">
        <v>1225</v>
      </c>
      <c r="C1152" s="1">
        <v>45411</v>
      </c>
      <c r="D1152" t="s">
        <v>57</v>
      </c>
      <c r="E1152" t="s">
        <v>136</v>
      </c>
      <c r="F1152" t="s">
        <v>41</v>
      </c>
      <c r="G1152" t="s">
        <v>25</v>
      </c>
      <c r="H1152" t="s">
        <v>37</v>
      </c>
      <c r="I1152" t="s">
        <v>20</v>
      </c>
      <c r="J1152">
        <v>1</v>
      </c>
      <c r="K1152">
        <v>495</v>
      </c>
      <c r="L1152">
        <v>495</v>
      </c>
      <c r="M1152">
        <v>59</v>
      </c>
      <c r="N1152" t="s">
        <v>38</v>
      </c>
      <c r="O1152">
        <v>3.9</v>
      </c>
      <c r="P1152" s="2">
        <f>EOMONTH(Table1[[#This Row],[Order_Date]],0)</f>
        <v>45412</v>
      </c>
      <c r="Q1152" s="3">
        <f>WEEKNUM(Table1[[#This Row],[Order_Date]])</f>
        <v>18</v>
      </c>
      <c r="R1152">
        <f>YEAR(Table1[[#This Row],[Order_Date]])</f>
        <v>2024</v>
      </c>
      <c r="S1152" t="str">
        <f>IF(Table1[[#This Row],[Quantity]]&gt;=3,"Promo","Regular")</f>
        <v>Regular</v>
      </c>
    </row>
    <row r="1153" spans="1:19" x14ac:dyDescent="0.35">
      <c r="A1153" t="s">
        <v>2138</v>
      </c>
      <c r="B1153" t="s">
        <v>1226</v>
      </c>
      <c r="C1153" s="1">
        <v>45467</v>
      </c>
      <c r="D1153" t="s">
        <v>57</v>
      </c>
      <c r="E1153" t="s">
        <v>62</v>
      </c>
      <c r="F1153" t="s">
        <v>35</v>
      </c>
      <c r="G1153" t="s">
        <v>46</v>
      </c>
      <c r="H1153" t="s">
        <v>37</v>
      </c>
      <c r="I1153" t="s">
        <v>20</v>
      </c>
      <c r="J1153">
        <v>2</v>
      </c>
      <c r="K1153">
        <v>438</v>
      </c>
      <c r="L1153">
        <v>876</v>
      </c>
      <c r="M1153">
        <v>25</v>
      </c>
      <c r="N1153" t="s">
        <v>21</v>
      </c>
      <c r="O1153">
        <v>3.9</v>
      </c>
      <c r="P1153" s="2">
        <f>EOMONTH(Table1[[#This Row],[Order_Date]],0)</f>
        <v>45473</v>
      </c>
      <c r="Q1153" s="3">
        <f>WEEKNUM(Table1[[#This Row],[Order_Date]])</f>
        <v>26</v>
      </c>
      <c r="R1153">
        <f>YEAR(Table1[[#This Row],[Order_Date]])</f>
        <v>2024</v>
      </c>
      <c r="S1153" t="str">
        <f>IF(Table1[[#This Row],[Quantity]]&gt;=3,"Promo","Regular")</f>
        <v>Regular</v>
      </c>
    </row>
    <row r="1154" spans="1:19" x14ac:dyDescent="0.35">
      <c r="A1154" t="s">
        <v>2138</v>
      </c>
      <c r="B1154" t="s">
        <v>1227</v>
      </c>
      <c r="C1154" s="1">
        <v>45489</v>
      </c>
      <c r="D1154" t="s">
        <v>57</v>
      </c>
      <c r="E1154" t="s">
        <v>62</v>
      </c>
      <c r="F1154" t="s">
        <v>69</v>
      </c>
      <c r="G1154" t="s">
        <v>31</v>
      </c>
      <c r="H1154" t="s">
        <v>66</v>
      </c>
      <c r="I1154" t="s">
        <v>20</v>
      </c>
      <c r="J1154">
        <v>4</v>
      </c>
      <c r="K1154">
        <v>121</v>
      </c>
      <c r="L1154">
        <v>484</v>
      </c>
      <c r="M1154">
        <v>27</v>
      </c>
      <c r="N1154" t="s">
        <v>21</v>
      </c>
      <c r="O1154">
        <v>4.8</v>
      </c>
      <c r="P1154" s="2">
        <f>EOMONTH(Table1[[#This Row],[Order_Date]],0)</f>
        <v>45504</v>
      </c>
      <c r="Q1154" s="3">
        <f>WEEKNUM(Table1[[#This Row],[Order_Date]])</f>
        <v>29</v>
      </c>
      <c r="R1154">
        <f>YEAR(Table1[[#This Row],[Order_Date]])</f>
        <v>2024</v>
      </c>
      <c r="S1154" t="str">
        <f>IF(Table1[[#This Row],[Quantity]]&gt;=3,"Promo","Regular")</f>
        <v>Promo</v>
      </c>
    </row>
    <row r="1155" spans="1:19" x14ac:dyDescent="0.35">
      <c r="A1155" t="s">
        <v>2138</v>
      </c>
      <c r="B1155" t="s">
        <v>1228</v>
      </c>
      <c r="C1155" s="1">
        <v>45404</v>
      </c>
      <c r="D1155" t="s">
        <v>57</v>
      </c>
      <c r="E1155" t="s">
        <v>136</v>
      </c>
      <c r="F1155" t="s">
        <v>69</v>
      </c>
      <c r="G1155" t="s">
        <v>46</v>
      </c>
      <c r="H1155" t="s">
        <v>19</v>
      </c>
      <c r="I1155" t="s">
        <v>20</v>
      </c>
      <c r="J1155">
        <v>1</v>
      </c>
      <c r="K1155">
        <v>260</v>
      </c>
      <c r="L1155">
        <v>260</v>
      </c>
      <c r="M1155">
        <v>21</v>
      </c>
      <c r="N1155" t="s">
        <v>21</v>
      </c>
      <c r="O1155">
        <v>4.3</v>
      </c>
      <c r="P1155" s="2">
        <f>EOMONTH(Table1[[#This Row],[Order_Date]],0)</f>
        <v>45412</v>
      </c>
      <c r="Q1155" s="3">
        <f>WEEKNUM(Table1[[#This Row],[Order_Date]])</f>
        <v>17</v>
      </c>
      <c r="R1155">
        <f>YEAR(Table1[[#This Row],[Order_Date]])</f>
        <v>2024</v>
      </c>
      <c r="S1155" t="str">
        <f>IF(Table1[[#This Row],[Quantity]]&gt;=3,"Promo","Regular")</f>
        <v>Regular</v>
      </c>
    </row>
    <row r="1156" spans="1:19" x14ac:dyDescent="0.35">
      <c r="A1156" t="s">
        <v>2138</v>
      </c>
      <c r="B1156" t="s">
        <v>1229</v>
      </c>
      <c r="C1156" s="1">
        <v>45323</v>
      </c>
      <c r="D1156" t="s">
        <v>57</v>
      </c>
      <c r="E1156" t="s">
        <v>105</v>
      </c>
      <c r="F1156" t="s">
        <v>24</v>
      </c>
      <c r="G1156" t="s">
        <v>25</v>
      </c>
      <c r="H1156" t="s">
        <v>50</v>
      </c>
      <c r="I1156" t="s">
        <v>20</v>
      </c>
      <c r="J1156">
        <v>2</v>
      </c>
      <c r="K1156">
        <v>109</v>
      </c>
      <c r="L1156">
        <v>218</v>
      </c>
      <c r="M1156">
        <v>51</v>
      </c>
      <c r="N1156" t="s">
        <v>38</v>
      </c>
      <c r="O1156">
        <v>4.0999999999999996</v>
      </c>
      <c r="P1156" s="2">
        <f>EOMONTH(Table1[[#This Row],[Order_Date]],0)</f>
        <v>45351</v>
      </c>
      <c r="Q1156" s="3">
        <f>WEEKNUM(Table1[[#This Row],[Order_Date]])</f>
        <v>5</v>
      </c>
      <c r="R1156">
        <f>YEAR(Table1[[#This Row],[Order_Date]])</f>
        <v>2024</v>
      </c>
      <c r="S1156" t="str">
        <f>IF(Table1[[#This Row],[Quantity]]&gt;=3,"Promo","Regular")</f>
        <v>Regular</v>
      </c>
    </row>
    <row r="1157" spans="1:19" x14ac:dyDescent="0.35">
      <c r="A1157" t="s">
        <v>2138</v>
      </c>
      <c r="B1157" t="s">
        <v>1230</v>
      </c>
      <c r="C1157" s="1">
        <v>45581</v>
      </c>
      <c r="D1157" t="s">
        <v>57</v>
      </c>
      <c r="E1157" t="s">
        <v>136</v>
      </c>
      <c r="F1157" t="s">
        <v>85</v>
      </c>
      <c r="G1157" t="s">
        <v>25</v>
      </c>
      <c r="H1157" t="s">
        <v>32</v>
      </c>
      <c r="I1157" t="s">
        <v>20</v>
      </c>
      <c r="J1157">
        <v>4</v>
      </c>
      <c r="K1157">
        <v>143</v>
      </c>
      <c r="L1157">
        <v>572</v>
      </c>
      <c r="M1157">
        <v>47</v>
      </c>
      <c r="N1157" t="s">
        <v>21</v>
      </c>
      <c r="O1157">
        <v>4.3</v>
      </c>
      <c r="P1157" s="2">
        <f>EOMONTH(Table1[[#This Row],[Order_Date]],0)</f>
        <v>45596</v>
      </c>
      <c r="Q1157" s="3">
        <f>WEEKNUM(Table1[[#This Row],[Order_Date]])</f>
        <v>42</v>
      </c>
      <c r="R1157">
        <f>YEAR(Table1[[#This Row],[Order_Date]])</f>
        <v>2024</v>
      </c>
      <c r="S1157" t="str">
        <f>IF(Table1[[#This Row],[Quantity]]&gt;=3,"Promo","Regular")</f>
        <v>Promo</v>
      </c>
    </row>
    <row r="1158" spans="1:19" x14ac:dyDescent="0.35">
      <c r="A1158" t="s">
        <v>2139</v>
      </c>
      <c r="B1158" t="s">
        <v>1231</v>
      </c>
      <c r="C1158" s="1">
        <v>45431</v>
      </c>
      <c r="D1158" t="s">
        <v>28</v>
      </c>
      <c r="E1158" t="s">
        <v>98</v>
      </c>
      <c r="F1158" t="s">
        <v>30</v>
      </c>
      <c r="G1158" t="s">
        <v>36</v>
      </c>
      <c r="H1158" t="s">
        <v>26</v>
      </c>
      <c r="I1158" t="s">
        <v>20</v>
      </c>
      <c r="J1158">
        <v>5</v>
      </c>
      <c r="K1158">
        <v>311</v>
      </c>
      <c r="L1158">
        <v>1555</v>
      </c>
      <c r="M1158">
        <v>56</v>
      </c>
      <c r="N1158" t="s">
        <v>38</v>
      </c>
      <c r="O1158">
        <v>3.9</v>
      </c>
      <c r="P1158" s="2">
        <f>EOMONTH(Table1[[#This Row],[Order_Date]],0)</f>
        <v>45443</v>
      </c>
      <c r="Q1158" s="3">
        <f>WEEKNUM(Table1[[#This Row],[Order_Date]])</f>
        <v>21</v>
      </c>
      <c r="R1158">
        <f>YEAR(Table1[[#This Row],[Order_Date]])</f>
        <v>2024</v>
      </c>
      <c r="S1158" t="str">
        <f>IF(Table1[[#This Row],[Quantity]]&gt;=3,"Promo","Regular")</f>
        <v>Promo</v>
      </c>
    </row>
    <row r="1159" spans="1:19" x14ac:dyDescent="0.35">
      <c r="A1159" t="s">
        <v>2139</v>
      </c>
      <c r="B1159" t="s">
        <v>1232</v>
      </c>
      <c r="C1159" s="1">
        <v>45545</v>
      </c>
      <c r="D1159" t="s">
        <v>28</v>
      </c>
      <c r="E1159" t="s">
        <v>40</v>
      </c>
      <c r="F1159" t="s">
        <v>24</v>
      </c>
      <c r="G1159" t="s">
        <v>25</v>
      </c>
      <c r="H1159" t="s">
        <v>66</v>
      </c>
      <c r="I1159" t="s">
        <v>20</v>
      </c>
      <c r="J1159">
        <v>4</v>
      </c>
      <c r="K1159">
        <v>117</v>
      </c>
      <c r="L1159">
        <v>468</v>
      </c>
      <c r="M1159">
        <v>38</v>
      </c>
      <c r="N1159" t="s">
        <v>21</v>
      </c>
      <c r="O1159">
        <v>4.5999999999999996</v>
      </c>
      <c r="P1159" s="2">
        <f>EOMONTH(Table1[[#This Row],[Order_Date]],0)</f>
        <v>45565</v>
      </c>
      <c r="Q1159" s="3">
        <f>WEEKNUM(Table1[[#This Row],[Order_Date]])</f>
        <v>37</v>
      </c>
      <c r="R1159">
        <f>YEAR(Table1[[#This Row],[Order_Date]])</f>
        <v>2024</v>
      </c>
      <c r="S1159" t="str">
        <f>IF(Table1[[#This Row],[Quantity]]&gt;=3,"Promo","Regular")</f>
        <v>Promo</v>
      </c>
    </row>
    <row r="1160" spans="1:19" x14ac:dyDescent="0.35">
      <c r="A1160" t="s">
        <v>2140</v>
      </c>
      <c r="B1160" t="s">
        <v>1233</v>
      </c>
      <c r="C1160" s="1">
        <v>45372</v>
      </c>
      <c r="D1160" t="s">
        <v>15</v>
      </c>
      <c r="E1160" t="s">
        <v>103</v>
      </c>
      <c r="F1160" t="s">
        <v>85</v>
      </c>
      <c r="G1160" t="s">
        <v>25</v>
      </c>
      <c r="H1160" t="s">
        <v>53</v>
      </c>
      <c r="I1160" t="s">
        <v>20</v>
      </c>
      <c r="J1160">
        <v>3</v>
      </c>
      <c r="K1160">
        <v>336</v>
      </c>
      <c r="L1160">
        <v>1008</v>
      </c>
      <c r="M1160">
        <v>46</v>
      </c>
      <c r="N1160" t="s">
        <v>21</v>
      </c>
      <c r="O1160">
        <v>4.9000000000000004</v>
      </c>
      <c r="P1160" s="2">
        <f>EOMONTH(Table1[[#This Row],[Order_Date]],0)</f>
        <v>45382</v>
      </c>
      <c r="Q1160" s="3">
        <f>WEEKNUM(Table1[[#This Row],[Order_Date]])</f>
        <v>12</v>
      </c>
      <c r="R1160">
        <f>YEAR(Table1[[#This Row],[Order_Date]])</f>
        <v>2024</v>
      </c>
      <c r="S1160" t="str">
        <f>IF(Table1[[#This Row],[Quantity]]&gt;=3,"Promo","Regular")</f>
        <v>Promo</v>
      </c>
    </row>
    <row r="1161" spans="1:19" x14ac:dyDescent="0.35">
      <c r="A1161" t="s">
        <v>2140</v>
      </c>
      <c r="B1161" t="s">
        <v>1234</v>
      </c>
      <c r="C1161" s="1">
        <v>45490</v>
      </c>
      <c r="D1161" t="s">
        <v>15</v>
      </c>
      <c r="E1161" t="s">
        <v>95</v>
      </c>
      <c r="F1161" t="s">
        <v>24</v>
      </c>
      <c r="G1161" t="s">
        <v>25</v>
      </c>
      <c r="H1161" t="s">
        <v>26</v>
      </c>
      <c r="I1161" t="s">
        <v>20</v>
      </c>
      <c r="J1161">
        <v>3</v>
      </c>
      <c r="K1161">
        <v>170</v>
      </c>
      <c r="L1161">
        <v>510</v>
      </c>
      <c r="M1161">
        <v>57</v>
      </c>
      <c r="N1161" t="s">
        <v>21</v>
      </c>
      <c r="O1161">
        <v>4.5999999999999996</v>
      </c>
      <c r="P1161" s="2">
        <f>EOMONTH(Table1[[#This Row],[Order_Date]],0)</f>
        <v>45504</v>
      </c>
      <c r="Q1161" s="3">
        <f>WEEKNUM(Table1[[#This Row],[Order_Date]])</f>
        <v>29</v>
      </c>
      <c r="R1161">
        <f>YEAR(Table1[[#This Row],[Order_Date]])</f>
        <v>2024</v>
      </c>
      <c r="S1161" t="str">
        <f>IF(Table1[[#This Row],[Quantity]]&gt;=3,"Promo","Regular")</f>
        <v>Promo</v>
      </c>
    </row>
    <row r="1162" spans="1:19" x14ac:dyDescent="0.35">
      <c r="A1162" t="s">
        <v>2140</v>
      </c>
      <c r="B1162" t="s">
        <v>1235</v>
      </c>
      <c r="C1162" s="1">
        <v>45587</v>
      </c>
      <c r="D1162" t="s">
        <v>28</v>
      </c>
      <c r="E1162" t="s">
        <v>40</v>
      </c>
      <c r="F1162" t="s">
        <v>17</v>
      </c>
      <c r="G1162" t="s">
        <v>25</v>
      </c>
      <c r="H1162" t="s">
        <v>120</v>
      </c>
      <c r="I1162" t="s">
        <v>60</v>
      </c>
      <c r="J1162">
        <v>2</v>
      </c>
      <c r="K1162">
        <v>246</v>
      </c>
      <c r="L1162">
        <v>492</v>
      </c>
      <c r="M1162">
        <v>49</v>
      </c>
      <c r="N1162" t="s">
        <v>33</v>
      </c>
      <c r="O1162">
        <v>3.7</v>
      </c>
      <c r="P1162" s="2">
        <f>EOMONTH(Table1[[#This Row],[Order_Date]],0)</f>
        <v>45596</v>
      </c>
      <c r="Q1162" s="3">
        <f>WEEKNUM(Table1[[#This Row],[Order_Date]])</f>
        <v>43</v>
      </c>
      <c r="R1162">
        <f>YEAR(Table1[[#This Row],[Order_Date]])</f>
        <v>2024</v>
      </c>
      <c r="S1162" t="str">
        <f>IF(Table1[[#This Row],[Quantity]]&gt;=3,"Promo","Regular")</f>
        <v>Regular</v>
      </c>
    </row>
    <row r="1163" spans="1:19" x14ac:dyDescent="0.35">
      <c r="A1163" t="s">
        <v>2141</v>
      </c>
      <c r="B1163" t="s">
        <v>1236</v>
      </c>
      <c r="C1163" s="1">
        <v>45567</v>
      </c>
      <c r="D1163" t="s">
        <v>48</v>
      </c>
      <c r="E1163" t="s">
        <v>127</v>
      </c>
      <c r="F1163" t="s">
        <v>72</v>
      </c>
      <c r="G1163" t="s">
        <v>31</v>
      </c>
      <c r="H1163" t="s">
        <v>26</v>
      </c>
      <c r="I1163" t="s">
        <v>20</v>
      </c>
      <c r="J1163">
        <v>3</v>
      </c>
      <c r="K1163">
        <v>461</v>
      </c>
      <c r="L1163">
        <v>1383</v>
      </c>
      <c r="M1163">
        <v>57</v>
      </c>
      <c r="N1163" t="s">
        <v>33</v>
      </c>
      <c r="O1163">
        <v>4.0999999999999996</v>
      </c>
      <c r="P1163" s="2">
        <f>EOMONTH(Table1[[#This Row],[Order_Date]],0)</f>
        <v>45596</v>
      </c>
      <c r="Q1163" s="3">
        <f>WEEKNUM(Table1[[#This Row],[Order_Date]])</f>
        <v>40</v>
      </c>
      <c r="R1163">
        <f>YEAR(Table1[[#This Row],[Order_Date]])</f>
        <v>2024</v>
      </c>
      <c r="S1163" t="str">
        <f>IF(Table1[[#This Row],[Quantity]]&gt;=3,"Promo","Regular")</f>
        <v>Promo</v>
      </c>
    </row>
    <row r="1164" spans="1:19" x14ac:dyDescent="0.35">
      <c r="A1164" t="s">
        <v>2141</v>
      </c>
      <c r="B1164" t="s">
        <v>1237</v>
      </c>
      <c r="C1164" s="1">
        <v>45437</v>
      </c>
      <c r="D1164" t="s">
        <v>57</v>
      </c>
      <c r="E1164" t="s">
        <v>136</v>
      </c>
      <c r="F1164" t="s">
        <v>69</v>
      </c>
      <c r="G1164" t="s">
        <v>46</v>
      </c>
      <c r="H1164" t="s">
        <v>120</v>
      </c>
      <c r="I1164" t="s">
        <v>60</v>
      </c>
      <c r="J1164">
        <v>3</v>
      </c>
      <c r="K1164">
        <v>296</v>
      </c>
      <c r="L1164">
        <v>888</v>
      </c>
      <c r="M1164">
        <v>52</v>
      </c>
      <c r="N1164" t="s">
        <v>21</v>
      </c>
      <c r="O1164">
        <v>3.3</v>
      </c>
      <c r="P1164" s="2">
        <f>EOMONTH(Table1[[#This Row],[Order_Date]],0)</f>
        <v>45443</v>
      </c>
      <c r="Q1164" s="3">
        <f>WEEKNUM(Table1[[#This Row],[Order_Date]])</f>
        <v>21</v>
      </c>
      <c r="R1164">
        <f>YEAR(Table1[[#This Row],[Order_Date]])</f>
        <v>2024</v>
      </c>
      <c r="S1164" t="str">
        <f>IF(Table1[[#This Row],[Quantity]]&gt;=3,"Promo","Regular")</f>
        <v>Promo</v>
      </c>
    </row>
    <row r="1165" spans="1:19" x14ac:dyDescent="0.35">
      <c r="A1165" t="s">
        <v>2141</v>
      </c>
      <c r="B1165" t="s">
        <v>1238</v>
      </c>
      <c r="C1165" s="1">
        <v>45389</v>
      </c>
      <c r="D1165" t="s">
        <v>43</v>
      </c>
      <c r="E1165" t="s">
        <v>82</v>
      </c>
      <c r="F1165" t="s">
        <v>30</v>
      </c>
      <c r="G1165" t="s">
        <v>46</v>
      </c>
      <c r="H1165" t="s">
        <v>50</v>
      </c>
      <c r="I1165" t="s">
        <v>20</v>
      </c>
      <c r="J1165">
        <v>2</v>
      </c>
      <c r="K1165">
        <v>499</v>
      </c>
      <c r="L1165">
        <v>998</v>
      </c>
      <c r="M1165">
        <v>44</v>
      </c>
      <c r="N1165" t="s">
        <v>38</v>
      </c>
      <c r="O1165">
        <v>3.8</v>
      </c>
      <c r="P1165" s="2">
        <f>EOMONTH(Table1[[#This Row],[Order_Date]],0)</f>
        <v>45412</v>
      </c>
      <c r="Q1165" s="3">
        <f>WEEKNUM(Table1[[#This Row],[Order_Date]])</f>
        <v>15</v>
      </c>
      <c r="R1165">
        <f>YEAR(Table1[[#This Row],[Order_Date]])</f>
        <v>2024</v>
      </c>
      <c r="S1165" t="str">
        <f>IF(Table1[[#This Row],[Quantity]]&gt;=3,"Promo","Regular")</f>
        <v>Regular</v>
      </c>
    </row>
    <row r="1166" spans="1:19" x14ac:dyDescent="0.35">
      <c r="A1166" t="s">
        <v>2141</v>
      </c>
      <c r="B1166" t="s">
        <v>1239</v>
      </c>
      <c r="C1166" s="1">
        <v>45295</v>
      </c>
      <c r="D1166" t="s">
        <v>57</v>
      </c>
      <c r="E1166" t="s">
        <v>105</v>
      </c>
      <c r="F1166" t="s">
        <v>41</v>
      </c>
      <c r="G1166" t="s">
        <v>46</v>
      </c>
      <c r="H1166" t="s">
        <v>66</v>
      </c>
      <c r="I1166" t="s">
        <v>20</v>
      </c>
      <c r="J1166">
        <v>2</v>
      </c>
      <c r="K1166">
        <v>151</v>
      </c>
      <c r="L1166">
        <v>302</v>
      </c>
      <c r="M1166">
        <v>39</v>
      </c>
      <c r="N1166" t="s">
        <v>21</v>
      </c>
      <c r="O1166">
        <v>3.8</v>
      </c>
      <c r="P1166" s="2">
        <f>EOMONTH(Table1[[#This Row],[Order_Date]],0)</f>
        <v>45322</v>
      </c>
      <c r="Q1166" s="3">
        <f>WEEKNUM(Table1[[#This Row],[Order_Date]])</f>
        <v>1</v>
      </c>
      <c r="R1166">
        <f>YEAR(Table1[[#This Row],[Order_Date]])</f>
        <v>2024</v>
      </c>
      <c r="S1166" t="str">
        <f>IF(Table1[[#This Row],[Quantity]]&gt;=3,"Promo","Regular")</f>
        <v>Regular</v>
      </c>
    </row>
    <row r="1167" spans="1:19" x14ac:dyDescent="0.35">
      <c r="A1167" t="s">
        <v>2142</v>
      </c>
      <c r="B1167" t="s">
        <v>1240</v>
      </c>
      <c r="C1167" s="1">
        <v>45535</v>
      </c>
      <c r="D1167" t="s">
        <v>57</v>
      </c>
      <c r="E1167" t="s">
        <v>62</v>
      </c>
      <c r="F1167" t="s">
        <v>72</v>
      </c>
      <c r="G1167" t="s">
        <v>25</v>
      </c>
      <c r="H1167" t="s">
        <v>59</v>
      </c>
      <c r="I1167" t="s">
        <v>60</v>
      </c>
      <c r="J1167">
        <v>1</v>
      </c>
      <c r="K1167">
        <v>124</v>
      </c>
      <c r="L1167">
        <v>124</v>
      </c>
      <c r="M1167">
        <v>37</v>
      </c>
      <c r="N1167" t="s">
        <v>33</v>
      </c>
      <c r="O1167">
        <v>4.4000000000000004</v>
      </c>
      <c r="P1167" s="2">
        <f>EOMONTH(Table1[[#This Row],[Order_Date]],0)</f>
        <v>45535</v>
      </c>
      <c r="Q1167" s="3">
        <f>WEEKNUM(Table1[[#This Row],[Order_Date]])</f>
        <v>35</v>
      </c>
      <c r="R1167">
        <f>YEAR(Table1[[#This Row],[Order_Date]])</f>
        <v>2024</v>
      </c>
      <c r="S1167" t="str">
        <f>IF(Table1[[#This Row],[Quantity]]&gt;=3,"Promo","Regular")</f>
        <v>Regular</v>
      </c>
    </row>
    <row r="1168" spans="1:19" x14ac:dyDescent="0.35">
      <c r="A1168" t="s">
        <v>2142</v>
      </c>
      <c r="B1168" t="s">
        <v>1241</v>
      </c>
      <c r="C1168" s="1">
        <v>45558</v>
      </c>
      <c r="D1168" t="s">
        <v>15</v>
      </c>
      <c r="E1168" t="s">
        <v>95</v>
      </c>
      <c r="F1168" t="s">
        <v>69</v>
      </c>
      <c r="G1168" t="s">
        <v>25</v>
      </c>
      <c r="H1168" t="s">
        <v>53</v>
      </c>
      <c r="I1168" t="s">
        <v>20</v>
      </c>
      <c r="J1168">
        <v>5</v>
      </c>
      <c r="K1168">
        <v>482</v>
      </c>
      <c r="L1168">
        <v>2410</v>
      </c>
      <c r="M1168">
        <v>49</v>
      </c>
      <c r="N1168" t="s">
        <v>33</v>
      </c>
      <c r="O1168">
        <v>4.9000000000000004</v>
      </c>
      <c r="P1168" s="2">
        <f>EOMONTH(Table1[[#This Row],[Order_Date]],0)</f>
        <v>45565</v>
      </c>
      <c r="Q1168" s="3">
        <f>WEEKNUM(Table1[[#This Row],[Order_Date]])</f>
        <v>39</v>
      </c>
      <c r="R1168">
        <f>YEAR(Table1[[#This Row],[Order_Date]])</f>
        <v>2024</v>
      </c>
      <c r="S1168" t="str">
        <f>IF(Table1[[#This Row],[Quantity]]&gt;=3,"Promo","Regular")</f>
        <v>Promo</v>
      </c>
    </row>
    <row r="1169" spans="1:19" x14ac:dyDescent="0.35">
      <c r="A1169" t="s">
        <v>2142</v>
      </c>
      <c r="B1169" t="s">
        <v>1242</v>
      </c>
      <c r="C1169" s="1">
        <v>45357</v>
      </c>
      <c r="D1169" t="s">
        <v>28</v>
      </c>
      <c r="E1169" t="s">
        <v>29</v>
      </c>
      <c r="F1169" t="s">
        <v>72</v>
      </c>
      <c r="G1169" t="s">
        <v>18</v>
      </c>
      <c r="H1169" t="s">
        <v>32</v>
      </c>
      <c r="I1169" t="s">
        <v>20</v>
      </c>
      <c r="J1169">
        <v>1</v>
      </c>
      <c r="K1169">
        <v>203</v>
      </c>
      <c r="L1169">
        <v>203</v>
      </c>
      <c r="M1169">
        <v>55</v>
      </c>
      <c r="N1169" t="s">
        <v>21</v>
      </c>
      <c r="O1169">
        <v>3.3</v>
      </c>
      <c r="P1169" s="2">
        <f>EOMONTH(Table1[[#This Row],[Order_Date]],0)</f>
        <v>45382</v>
      </c>
      <c r="Q1169" s="3">
        <f>WEEKNUM(Table1[[#This Row],[Order_Date]])</f>
        <v>10</v>
      </c>
      <c r="R1169">
        <f>YEAR(Table1[[#This Row],[Order_Date]])</f>
        <v>2024</v>
      </c>
      <c r="S1169" t="str">
        <f>IF(Table1[[#This Row],[Quantity]]&gt;=3,"Promo","Regular")</f>
        <v>Regular</v>
      </c>
    </row>
    <row r="1170" spans="1:19" x14ac:dyDescent="0.35">
      <c r="A1170" t="s">
        <v>2143</v>
      </c>
      <c r="B1170" t="s">
        <v>1243</v>
      </c>
      <c r="C1170" s="1">
        <v>45398</v>
      </c>
      <c r="D1170" t="s">
        <v>57</v>
      </c>
      <c r="E1170" t="s">
        <v>105</v>
      </c>
      <c r="F1170" t="s">
        <v>35</v>
      </c>
      <c r="G1170" t="s">
        <v>36</v>
      </c>
      <c r="H1170" t="s">
        <v>50</v>
      </c>
      <c r="I1170" t="s">
        <v>20</v>
      </c>
      <c r="J1170">
        <v>3</v>
      </c>
      <c r="K1170">
        <v>455</v>
      </c>
      <c r="L1170">
        <v>1365</v>
      </c>
      <c r="M1170">
        <v>29</v>
      </c>
      <c r="N1170" t="s">
        <v>21</v>
      </c>
      <c r="O1170">
        <v>3.7</v>
      </c>
      <c r="P1170" s="2">
        <f>EOMONTH(Table1[[#This Row],[Order_Date]],0)</f>
        <v>45412</v>
      </c>
      <c r="Q1170" s="3">
        <f>WEEKNUM(Table1[[#This Row],[Order_Date]])</f>
        <v>16</v>
      </c>
      <c r="R1170">
        <f>YEAR(Table1[[#This Row],[Order_Date]])</f>
        <v>2024</v>
      </c>
      <c r="S1170" t="str">
        <f>IF(Table1[[#This Row],[Quantity]]&gt;=3,"Promo","Regular")</f>
        <v>Promo</v>
      </c>
    </row>
    <row r="1171" spans="1:19" x14ac:dyDescent="0.35">
      <c r="A1171" t="s">
        <v>2143</v>
      </c>
      <c r="B1171" t="s">
        <v>1244</v>
      </c>
      <c r="C1171" s="1">
        <v>45298</v>
      </c>
      <c r="D1171" t="s">
        <v>15</v>
      </c>
      <c r="E1171" t="s">
        <v>23</v>
      </c>
      <c r="F1171" t="s">
        <v>35</v>
      </c>
      <c r="G1171" t="s">
        <v>31</v>
      </c>
      <c r="H1171" t="s">
        <v>26</v>
      </c>
      <c r="I1171" t="s">
        <v>20</v>
      </c>
      <c r="J1171">
        <v>2</v>
      </c>
      <c r="K1171">
        <v>253</v>
      </c>
      <c r="L1171">
        <v>506</v>
      </c>
      <c r="M1171">
        <v>29</v>
      </c>
      <c r="N1171" t="s">
        <v>38</v>
      </c>
      <c r="O1171">
        <v>4.0999999999999996</v>
      </c>
      <c r="P1171" s="2">
        <f>EOMONTH(Table1[[#This Row],[Order_Date]],0)</f>
        <v>45322</v>
      </c>
      <c r="Q1171" s="3">
        <f>WEEKNUM(Table1[[#This Row],[Order_Date]])</f>
        <v>2</v>
      </c>
      <c r="R1171">
        <f>YEAR(Table1[[#This Row],[Order_Date]])</f>
        <v>2024</v>
      </c>
      <c r="S1171" t="str">
        <f>IF(Table1[[#This Row],[Quantity]]&gt;=3,"Promo","Regular")</f>
        <v>Regular</v>
      </c>
    </row>
    <row r="1172" spans="1:19" x14ac:dyDescent="0.35">
      <c r="A1172" t="s">
        <v>2143</v>
      </c>
      <c r="B1172" t="s">
        <v>1245</v>
      </c>
      <c r="C1172" s="1">
        <v>45469</v>
      </c>
      <c r="D1172" t="s">
        <v>15</v>
      </c>
      <c r="E1172" t="s">
        <v>23</v>
      </c>
      <c r="F1172" t="s">
        <v>85</v>
      </c>
      <c r="G1172" t="s">
        <v>73</v>
      </c>
      <c r="H1172" t="s">
        <v>59</v>
      </c>
      <c r="I1172" t="s">
        <v>60</v>
      </c>
      <c r="J1172">
        <v>5</v>
      </c>
      <c r="K1172">
        <v>356</v>
      </c>
      <c r="L1172">
        <v>1780</v>
      </c>
      <c r="M1172">
        <v>45</v>
      </c>
      <c r="N1172" t="s">
        <v>33</v>
      </c>
      <c r="O1172">
        <v>4.4000000000000004</v>
      </c>
      <c r="P1172" s="2">
        <f>EOMONTH(Table1[[#This Row],[Order_Date]],0)</f>
        <v>45473</v>
      </c>
      <c r="Q1172" s="3">
        <f>WEEKNUM(Table1[[#This Row],[Order_Date]])</f>
        <v>26</v>
      </c>
      <c r="R1172">
        <f>YEAR(Table1[[#This Row],[Order_Date]])</f>
        <v>2024</v>
      </c>
      <c r="S1172" t="str">
        <f>IF(Table1[[#This Row],[Quantity]]&gt;=3,"Promo","Regular")</f>
        <v>Promo</v>
      </c>
    </row>
    <row r="1173" spans="1:19" x14ac:dyDescent="0.35">
      <c r="A1173" t="s">
        <v>2144</v>
      </c>
      <c r="B1173" t="s">
        <v>1246</v>
      </c>
      <c r="C1173" s="1">
        <v>45514</v>
      </c>
      <c r="D1173" t="s">
        <v>48</v>
      </c>
      <c r="E1173" t="s">
        <v>49</v>
      </c>
      <c r="F1173" t="s">
        <v>30</v>
      </c>
      <c r="G1173" t="s">
        <v>36</v>
      </c>
      <c r="H1173" t="s">
        <v>32</v>
      </c>
      <c r="I1173" t="s">
        <v>20</v>
      </c>
      <c r="J1173">
        <v>2</v>
      </c>
      <c r="K1173">
        <v>209</v>
      </c>
      <c r="L1173">
        <v>418</v>
      </c>
      <c r="M1173">
        <v>53</v>
      </c>
      <c r="N1173" t="s">
        <v>38</v>
      </c>
      <c r="O1173">
        <v>3.5</v>
      </c>
      <c r="P1173" s="2">
        <f>EOMONTH(Table1[[#This Row],[Order_Date]],0)</f>
        <v>45535</v>
      </c>
      <c r="Q1173" s="3">
        <f>WEEKNUM(Table1[[#This Row],[Order_Date]])</f>
        <v>32</v>
      </c>
      <c r="R1173">
        <f>YEAR(Table1[[#This Row],[Order_Date]])</f>
        <v>2024</v>
      </c>
      <c r="S1173" t="str">
        <f>IF(Table1[[#This Row],[Quantity]]&gt;=3,"Promo","Regular")</f>
        <v>Regular</v>
      </c>
    </row>
    <row r="1174" spans="1:19" x14ac:dyDescent="0.35">
      <c r="A1174" t="s">
        <v>2144</v>
      </c>
      <c r="B1174" t="s">
        <v>1247</v>
      </c>
      <c r="C1174" s="1">
        <v>45396</v>
      </c>
      <c r="D1174" t="s">
        <v>15</v>
      </c>
      <c r="E1174" t="s">
        <v>16</v>
      </c>
      <c r="F1174" t="s">
        <v>72</v>
      </c>
      <c r="G1174" t="s">
        <v>36</v>
      </c>
      <c r="H1174" t="s">
        <v>55</v>
      </c>
      <c r="I1174" t="s">
        <v>20</v>
      </c>
      <c r="J1174">
        <v>2</v>
      </c>
      <c r="K1174">
        <v>408</v>
      </c>
      <c r="L1174">
        <v>816</v>
      </c>
      <c r="M1174">
        <v>43</v>
      </c>
      <c r="N1174" t="s">
        <v>33</v>
      </c>
      <c r="O1174">
        <v>4.9000000000000004</v>
      </c>
      <c r="P1174" s="2">
        <f>EOMONTH(Table1[[#This Row],[Order_Date]],0)</f>
        <v>45412</v>
      </c>
      <c r="Q1174" s="3">
        <f>WEEKNUM(Table1[[#This Row],[Order_Date]])</f>
        <v>16</v>
      </c>
      <c r="R1174">
        <f>YEAR(Table1[[#This Row],[Order_Date]])</f>
        <v>2024</v>
      </c>
      <c r="S1174" t="str">
        <f>IF(Table1[[#This Row],[Quantity]]&gt;=3,"Promo","Regular")</f>
        <v>Regular</v>
      </c>
    </row>
    <row r="1175" spans="1:19" x14ac:dyDescent="0.35">
      <c r="A1175" t="s">
        <v>2145</v>
      </c>
      <c r="B1175" t="s">
        <v>1248</v>
      </c>
      <c r="C1175" s="1">
        <v>45323</v>
      </c>
      <c r="D1175" t="s">
        <v>57</v>
      </c>
      <c r="E1175" t="s">
        <v>136</v>
      </c>
      <c r="F1175" t="s">
        <v>17</v>
      </c>
      <c r="G1175" t="s">
        <v>18</v>
      </c>
      <c r="H1175" t="s">
        <v>26</v>
      </c>
      <c r="I1175" t="s">
        <v>20</v>
      </c>
      <c r="J1175">
        <v>4</v>
      </c>
      <c r="K1175">
        <v>375</v>
      </c>
      <c r="L1175">
        <v>1500</v>
      </c>
      <c r="M1175">
        <v>22</v>
      </c>
      <c r="N1175" t="s">
        <v>21</v>
      </c>
      <c r="O1175">
        <v>3.5</v>
      </c>
      <c r="P1175" s="2">
        <f>EOMONTH(Table1[[#This Row],[Order_Date]],0)</f>
        <v>45351</v>
      </c>
      <c r="Q1175" s="3">
        <f>WEEKNUM(Table1[[#This Row],[Order_Date]])</f>
        <v>5</v>
      </c>
      <c r="R1175">
        <f>YEAR(Table1[[#This Row],[Order_Date]])</f>
        <v>2024</v>
      </c>
      <c r="S1175" t="str">
        <f>IF(Table1[[#This Row],[Quantity]]&gt;=3,"Promo","Regular")</f>
        <v>Promo</v>
      </c>
    </row>
    <row r="1176" spans="1:19" x14ac:dyDescent="0.35">
      <c r="A1176" t="s">
        <v>2145</v>
      </c>
      <c r="B1176" t="s">
        <v>1249</v>
      </c>
      <c r="C1176" s="1">
        <v>45556</v>
      </c>
      <c r="D1176" t="s">
        <v>57</v>
      </c>
      <c r="E1176" t="s">
        <v>105</v>
      </c>
      <c r="F1176" t="s">
        <v>85</v>
      </c>
      <c r="G1176" t="s">
        <v>73</v>
      </c>
      <c r="H1176" t="s">
        <v>50</v>
      </c>
      <c r="I1176" t="s">
        <v>20</v>
      </c>
      <c r="J1176">
        <v>4</v>
      </c>
      <c r="K1176">
        <v>117</v>
      </c>
      <c r="L1176">
        <v>468</v>
      </c>
      <c r="M1176">
        <v>34</v>
      </c>
      <c r="N1176" t="s">
        <v>38</v>
      </c>
      <c r="O1176">
        <v>4.3</v>
      </c>
      <c r="P1176" s="2">
        <f>EOMONTH(Table1[[#This Row],[Order_Date]],0)</f>
        <v>45565</v>
      </c>
      <c r="Q1176" s="3">
        <f>WEEKNUM(Table1[[#This Row],[Order_Date]])</f>
        <v>38</v>
      </c>
      <c r="R1176">
        <f>YEAR(Table1[[#This Row],[Order_Date]])</f>
        <v>2024</v>
      </c>
      <c r="S1176" t="str">
        <f>IF(Table1[[#This Row],[Quantity]]&gt;=3,"Promo","Regular")</f>
        <v>Promo</v>
      </c>
    </row>
    <row r="1177" spans="1:19" x14ac:dyDescent="0.35">
      <c r="A1177" t="s">
        <v>2145</v>
      </c>
      <c r="B1177" t="s">
        <v>1250</v>
      </c>
      <c r="C1177" s="1">
        <v>45427</v>
      </c>
      <c r="D1177" t="s">
        <v>48</v>
      </c>
      <c r="E1177" t="s">
        <v>68</v>
      </c>
      <c r="F1177" t="s">
        <v>65</v>
      </c>
      <c r="G1177" t="s">
        <v>73</v>
      </c>
      <c r="H1177" t="s">
        <v>59</v>
      </c>
      <c r="I1177" t="s">
        <v>60</v>
      </c>
      <c r="J1177">
        <v>3</v>
      </c>
      <c r="K1177">
        <v>407</v>
      </c>
      <c r="L1177">
        <v>1221</v>
      </c>
      <c r="M1177">
        <v>32</v>
      </c>
      <c r="N1177" t="s">
        <v>21</v>
      </c>
      <c r="O1177">
        <v>3.3</v>
      </c>
      <c r="P1177" s="2">
        <f>EOMONTH(Table1[[#This Row],[Order_Date]],0)</f>
        <v>45443</v>
      </c>
      <c r="Q1177" s="3">
        <f>WEEKNUM(Table1[[#This Row],[Order_Date]])</f>
        <v>20</v>
      </c>
      <c r="R1177">
        <f>YEAR(Table1[[#This Row],[Order_Date]])</f>
        <v>2024</v>
      </c>
      <c r="S1177" t="str">
        <f>IF(Table1[[#This Row],[Quantity]]&gt;=3,"Promo","Regular")</f>
        <v>Promo</v>
      </c>
    </row>
    <row r="1178" spans="1:19" x14ac:dyDescent="0.35">
      <c r="A1178" t="s">
        <v>2145</v>
      </c>
      <c r="B1178" t="s">
        <v>1251</v>
      </c>
      <c r="C1178" s="1">
        <v>45551</v>
      </c>
      <c r="D1178" t="s">
        <v>43</v>
      </c>
      <c r="E1178" t="s">
        <v>52</v>
      </c>
      <c r="F1178" t="s">
        <v>35</v>
      </c>
      <c r="G1178" t="s">
        <v>73</v>
      </c>
      <c r="H1178" t="s">
        <v>37</v>
      </c>
      <c r="I1178" t="s">
        <v>20</v>
      </c>
      <c r="J1178">
        <v>3</v>
      </c>
      <c r="K1178">
        <v>292</v>
      </c>
      <c r="L1178">
        <v>876</v>
      </c>
      <c r="M1178">
        <v>22</v>
      </c>
      <c r="N1178" t="s">
        <v>21</v>
      </c>
      <c r="O1178">
        <v>3.4</v>
      </c>
      <c r="P1178" s="2">
        <f>EOMONTH(Table1[[#This Row],[Order_Date]],0)</f>
        <v>45565</v>
      </c>
      <c r="Q1178" s="3">
        <f>WEEKNUM(Table1[[#This Row],[Order_Date]])</f>
        <v>38</v>
      </c>
      <c r="R1178">
        <f>YEAR(Table1[[#This Row],[Order_Date]])</f>
        <v>2024</v>
      </c>
      <c r="S1178" t="str">
        <f>IF(Table1[[#This Row],[Quantity]]&gt;=3,"Promo","Regular")</f>
        <v>Promo</v>
      </c>
    </row>
    <row r="1179" spans="1:19" x14ac:dyDescent="0.35">
      <c r="A1179" t="s">
        <v>2146</v>
      </c>
      <c r="B1179" t="s">
        <v>1252</v>
      </c>
      <c r="C1179" s="1">
        <v>45401</v>
      </c>
      <c r="D1179" t="s">
        <v>15</v>
      </c>
      <c r="E1179" t="s">
        <v>16</v>
      </c>
      <c r="F1179" t="s">
        <v>69</v>
      </c>
      <c r="G1179" t="s">
        <v>31</v>
      </c>
      <c r="H1179" t="s">
        <v>59</v>
      </c>
      <c r="I1179" t="s">
        <v>60</v>
      </c>
      <c r="J1179">
        <v>5</v>
      </c>
      <c r="K1179">
        <v>165</v>
      </c>
      <c r="L1179">
        <v>825</v>
      </c>
      <c r="M1179">
        <v>29</v>
      </c>
      <c r="N1179" t="s">
        <v>33</v>
      </c>
      <c r="O1179">
        <v>3.5</v>
      </c>
      <c r="P1179" s="2">
        <f>EOMONTH(Table1[[#This Row],[Order_Date]],0)</f>
        <v>45412</v>
      </c>
      <c r="Q1179" s="3">
        <f>WEEKNUM(Table1[[#This Row],[Order_Date]])</f>
        <v>16</v>
      </c>
      <c r="R1179">
        <f>YEAR(Table1[[#This Row],[Order_Date]])</f>
        <v>2024</v>
      </c>
      <c r="S1179" t="str">
        <f>IF(Table1[[#This Row],[Quantity]]&gt;=3,"Promo","Regular")</f>
        <v>Promo</v>
      </c>
    </row>
    <row r="1180" spans="1:19" x14ac:dyDescent="0.35">
      <c r="A1180" t="s">
        <v>2146</v>
      </c>
      <c r="B1180" t="s">
        <v>1253</v>
      </c>
      <c r="C1180" s="1">
        <v>45336</v>
      </c>
      <c r="D1180" t="s">
        <v>15</v>
      </c>
      <c r="E1180" t="s">
        <v>95</v>
      </c>
      <c r="F1180" t="s">
        <v>45</v>
      </c>
      <c r="G1180" t="s">
        <v>46</v>
      </c>
      <c r="H1180" t="s">
        <v>19</v>
      </c>
      <c r="I1180" t="s">
        <v>20</v>
      </c>
      <c r="J1180">
        <v>2</v>
      </c>
      <c r="K1180">
        <v>268</v>
      </c>
      <c r="L1180">
        <v>536</v>
      </c>
      <c r="M1180">
        <v>60</v>
      </c>
      <c r="N1180" t="s">
        <v>33</v>
      </c>
      <c r="O1180">
        <v>4.2</v>
      </c>
      <c r="P1180" s="2">
        <f>EOMONTH(Table1[[#This Row],[Order_Date]],0)</f>
        <v>45351</v>
      </c>
      <c r="Q1180" s="3">
        <f>WEEKNUM(Table1[[#This Row],[Order_Date]])</f>
        <v>7</v>
      </c>
      <c r="R1180">
        <f>YEAR(Table1[[#This Row],[Order_Date]])</f>
        <v>2024</v>
      </c>
      <c r="S1180" t="str">
        <f>IF(Table1[[#This Row],[Quantity]]&gt;=3,"Promo","Regular")</f>
        <v>Regular</v>
      </c>
    </row>
    <row r="1181" spans="1:19" x14ac:dyDescent="0.35">
      <c r="A1181" t="s">
        <v>2146</v>
      </c>
      <c r="B1181" t="s">
        <v>1254</v>
      </c>
      <c r="C1181" s="1">
        <v>45392</v>
      </c>
      <c r="D1181" t="s">
        <v>28</v>
      </c>
      <c r="E1181" t="s">
        <v>77</v>
      </c>
      <c r="F1181" t="s">
        <v>24</v>
      </c>
      <c r="G1181" t="s">
        <v>25</v>
      </c>
      <c r="H1181" t="s">
        <v>53</v>
      </c>
      <c r="I1181" t="s">
        <v>20</v>
      </c>
      <c r="J1181">
        <v>3</v>
      </c>
      <c r="K1181">
        <v>355</v>
      </c>
      <c r="L1181">
        <v>1065</v>
      </c>
      <c r="M1181">
        <v>28</v>
      </c>
      <c r="N1181" t="s">
        <v>21</v>
      </c>
      <c r="O1181">
        <v>4.7</v>
      </c>
      <c r="P1181" s="2">
        <f>EOMONTH(Table1[[#This Row],[Order_Date]],0)</f>
        <v>45412</v>
      </c>
      <c r="Q1181" s="3">
        <f>WEEKNUM(Table1[[#This Row],[Order_Date]])</f>
        <v>15</v>
      </c>
      <c r="R1181">
        <f>YEAR(Table1[[#This Row],[Order_Date]])</f>
        <v>2024</v>
      </c>
      <c r="S1181" t="str">
        <f>IF(Table1[[#This Row],[Quantity]]&gt;=3,"Promo","Regular")</f>
        <v>Promo</v>
      </c>
    </row>
    <row r="1182" spans="1:19" x14ac:dyDescent="0.35">
      <c r="A1182" t="s">
        <v>2146</v>
      </c>
      <c r="B1182" t="s">
        <v>1255</v>
      </c>
      <c r="C1182" s="1">
        <v>45314</v>
      </c>
      <c r="D1182" t="s">
        <v>43</v>
      </c>
      <c r="E1182" t="s">
        <v>93</v>
      </c>
      <c r="F1182" t="s">
        <v>35</v>
      </c>
      <c r="G1182" t="s">
        <v>31</v>
      </c>
      <c r="H1182" t="s">
        <v>66</v>
      </c>
      <c r="I1182" t="s">
        <v>20</v>
      </c>
      <c r="J1182">
        <v>5</v>
      </c>
      <c r="K1182">
        <v>118</v>
      </c>
      <c r="L1182">
        <v>590</v>
      </c>
      <c r="M1182">
        <v>43</v>
      </c>
      <c r="N1182" t="s">
        <v>33</v>
      </c>
      <c r="O1182">
        <v>4.5</v>
      </c>
      <c r="P1182" s="2">
        <f>EOMONTH(Table1[[#This Row],[Order_Date]],0)</f>
        <v>45322</v>
      </c>
      <c r="Q1182" s="3">
        <f>WEEKNUM(Table1[[#This Row],[Order_Date]])</f>
        <v>4</v>
      </c>
      <c r="R1182">
        <f>YEAR(Table1[[#This Row],[Order_Date]])</f>
        <v>2024</v>
      </c>
      <c r="S1182" t="str">
        <f>IF(Table1[[#This Row],[Quantity]]&gt;=3,"Promo","Regular")</f>
        <v>Promo</v>
      </c>
    </row>
    <row r="1183" spans="1:19" x14ac:dyDescent="0.35">
      <c r="A1183" t="s">
        <v>2147</v>
      </c>
      <c r="B1183" t="s">
        <v>1256</v>
      </c>
      <c r="C1183" s="1">
        <v>45512</v>
      </c>
      <c r="D1183" t="s">
        <v>57</v>
      </c>
      <c r="E1183" t="s">
        <v>75</v>
      </c>
      <c r="F1183" t="s">
        <v>65</v>
      </c>
      <c r="G1183" t="s">
        <v>36</v>
      </c>
      <c r="H1183" t="s">
        <v>37</v>
      </c>
      <c r="I1183" t="s">
        <v>20</v>
      </c>
      <c r="J1183">
        <v>2</v>
      </c>
      <c r="K1183">
        <v>412</v>
      </c>
      <c r="L1183">
        <v>824</v>
      </c>
      <c r="M1183">
        <v>32</v>
      </c>
      <c r="N1183" t="s">
        <v>21</v>
      </c>
      <c r="O1183">
        <v>3.1</v>
      </c>
      <c r="P1183" s="2">
        <f>EOMONTH(Table1[[#This Row],[Order_Date]],0)</f>
        <v>45535</v>
      </c>
      <c r="Q1183" s="3">
        <f>WEEKNUM(Table1[[#This Row],[Order_Date]])</f>
        <v>32</v>
      </c>
      <c r="R1183">
        <f>YEAR(Table1[[#This Row],[Order_Date]])</f>
        <v>2024</v>
      </c>
      <c r="S1183" t="str">
        <f>IF(Table1[[#This Row],[Quantity]]&gt;=3,"Promo","Regular")</f>
        <v>Regular</v>
      </c>
    </row>
    <row r="1184" spans="1:19" x14ac:dyDescent="0.35">
      <c r="A1184" t="s">
        <v>2147</v>
      </c>
      <c r="B1184" t="s">
        <v>1257</v>
      </c>
      <c r="C1184" s="1">
        <v>45458</v>
      </c>
      <c r="D1184" t="s">
        <v>48</v>
      </c>
      <c r="E1184" t="s">
        <v>49</v>
      </c>
      <c r="F1184" t="s">
        <v>17</v>
      </c>
      <c r="G1184" t="s">
        <v>36</v>
      </c>
      <c r="H1184" t="s">
        <v>19</v>
      </c>
      <c r="I1184" t="s">
        <v>20</v>
      </c>
      <c r="J1184">
        <v>3</v>
      </c>
      <c r="K1184">
        <v>317</v>
      </c>
      <c r="L1184">
        <v>951</v>
      </c>
      <c r="M1184">
        <v>58</v>
      </c>
      <c r="N1184" t="s">
        <v>38</v>
      </c>
      <c r="O1184">
        <v>4.9000000000000004</v>
      </c>
      <c r="P1184" s="2">
        <f>EOMONTH(Table1[[#This Row],[Order_Date]],0)</f>
        <v>45473</v>
      </c>
      <c r="Q1184" s="3">
        <f>WEEKNUM(Table1[[#This Row],[Order_Date]])</f>
        <v>24</v>
      </c>
      <c r="R1184">
        <f>YEAR(Table1[[#This Row],[Order_Date]])</f>
        <v>2024</v>
      </c>
      <c r="S1184" t="str">
        <f>IF(Table1[[#This Row],[Quantity]]&gt;=3,"Promo","Regular")</f>
        <v>Promo</v>
      </c>
    </row>
    <row r="1185" spans="1:19" x14ac:dyDescent="0.35">
      <c r="A1185" t="s">
        <v>2147</v>
      </c>
      <c r="B1185" t="s">
        <v>1258</v>
      </c>
      <c r="C1185" s="1">
        <v>45506</v>
      </c>
      <c r="D1185" t="s">
        <v>57</v>
      </c>
      <c r="E1185" t="s">
        <v>105</v>
      </c>
      <c r="F1185" t="s">
        <v>17</v>
      </c>
      <c r="G1185" t="s">
        <v>25</v>
      </c>
      <c r="H1185" t="s">
        <v>55</v>
      </c>
      <c r="I1185" t="s">
        <v>20</v>
      </c>
      <c r="J1185">
        <v>5</v>
      </c>
      <c r="K1185">
        <v>339</v>
      </c>
      <c r="L1185">
        <v>1695</v>
      </c>
      <c r="M1185">
        <v>59</v>
      </c>
      <c r="N1185" t="s">
        <v>21</v>
      </c>
      <c r="O1185">
        <v>4.3</v>
      </c>
      <c r="P1185" s="2">
        <f>EOMONTH(Table1[[#This Row],[Order_Date]],0)</f>
        <v>45535</v>
      </c>
      <c r="Q1185" s="3">
        <f>WEEKNUM(Table1[[#This Row],[Order_Date]])</f>
        <v>31</v>
      </c>
      <c r="R1185">
        <f>YEAR(Table1[[#This Row],[Order_Date]])</f>
        <v>2024</v>
      </c>
      <c r="S1185" t="str">
        <f>IF(Table1[[#This Row],[Quantity]]&gt;=3,"Promo","Regular")</f>
        <v>Promo</v>
      </c>
    </row>
    <row r="1186" spans="1:19" x14ac:dyDescent="0.35">
      <c r="A1186" t="s">
        <v>2148</v>
      </c>
      <c r="B1186" t="s">
        <v>1259</v>
      </c>
      <c r="C1186" s="1">
        <v>45381</v>
      </c>
      <c r="D1186" t="s">
        <v>57</v>
      </c>
      <c r="E1186" t="s">
        <v>58</v>
      </c>
      <c r="F1186" t="s">
        <v>72</v>
      </c>
      <c r="G1186" t="s">
        <v>25</v>
      </c>
      <c r="H1186" t="s">
        <v>53</v>
      </c>
      <c r="I1186" t="s">
        <v>20</v>
      </c>
      <c r="J1186">
        <v>4</v>
      </c>
      <c r="K1186">
        <v>480</v>
      </c>
      <c r="L1186">
        <v>1920</v>
      </c>
      <c r="M1186">
        <v>44</v>
      </c>
      <c r="N1186" t="s">
        <v>38</v>
      </c>
      <c r="O1186">
        <v>3.1</v>
      </c>
      <c r="P1186" s="2">
        <f>EOMONTH(Table1[[#This Row],[Order_Date]],0)</f>
        <v>45382</v>
      </c>
      <c r="Q1186" s="3">
        <f>WEEKNUM(Table1[[#This Row],[Order_Date]])</f>
        <v>13</v>
      </c>
      <c r="R1186">
        <f>YEAR(Table1[[#This Row],[Order_Date]])</f>
        <v>2024</v>
      </c>
      <c r="S1186" t="str">
        <f>IF(Table1[[#This Row],[Quantity]]&gt;=3,"Promo","Regular")</f>
        <v>Promo</v>
      </c>
    </row>
    <row r="1187" spans="1:19" x14ac:dyDescent="0.35">
      <c r="A1187" t="s">
        <v>2148</v>
      </c>
      <c r="B1187" t="s">
        <v>1260</v>
      </c>
      <c r="C1187" s="1">
        <v>45390</v>
      </c>
      <c r="D1187" t="s">
        <v>48</v>
      </c>
      <c r="E1187" t="s">
        <v>132</v>
      </c>
      <c r="F1187" t="s">
        <v>17</v>
      </c>
      <c r="G1187" t="s">
        <v>18</v>
      </c>
      <c r="H1187" t="s">
        <v>37</v>
      </c>
      <c r="I1187" t="s">
        <v>20</v>
      </c>
      <c r="J1187">
        <v>4</v>
      </c>
      <c r="K1187">
        <v>410</v>
      </c>
      <c r="L1187">
        <v>1640</v>
      </c>
      <c r="M1187">
        <v>59</v>
      </c>
      <c r="N1187" t="s">
        <v>21</v>
      </c>
      <c r="O1187">
        <v>3.3</v>
      </c>
      <c r="P1187" s="2">
        <f>EOMONTH(Table1[[#This Row],[Order_Date]],0)</f>
        <v>45412</v>
      </c>
      <c r="Q1187" s="3">
        <f>WEEKNUM(Table1[[#This Row],[Order_Date]])</f>
        <v>15</v>
      </c>
      <c r="R1187">
        <f>YEAR(Table1[[#This Row],[Order_Date]])</f>
        <v>2024</v>
      </c>
      <c r="S1187" t="str">
        <f>IF(Table1[[#This Row],[Quantity]]&gt;=3,"Promo","Regular")</f>
        <v>Promo</v>
      </c>
    </row>
    <row r="1188" spans="1:19" x14ac:dyDescent="0.35">
      <c r="A1188" t="s">
        <v>2148</v>
      </c>
      <c r="B1188" t="s">
        <v>1261</v>
      </c>
      <c r="C1188" s="1">
        <v>45523</v>
      </c>
      <c r="D1188" t="s">
        <v>43</v>
      </c>
      <c r="E1188" t="s">
        <v>44</v>
      </c>
      <c r="F1188" t="s">
        <v>17</v>
      </c>
      <c r="G1188" t="s">
        <v>73</v>
      </c>
      <c r="H1188" t="s">
        <v>32</v>
      </c>
      <c r="I1188" t="s">
        <v>20</v>
      </c>
      <c r="J1188">
        <v>2</v>
      </c>
      <c r="K1188">
        <v>349</v>
      </c>
      <c r="L1188">
        <v>698</v>
      </c>
      <c r="M1188">
        <v>28</v>
      </c>
      <c r="N1188" t="s">
        <v>38</v>
      </c>
      <c r="O1188">
        <v>4.8</v>
      </c>
      <c r="P1188" s="2">
        <f>EOMONTH(Table1[[#This Row],[Order_Date]],0)</f>
        <v>45535</v>
      </c>
      <c r="Q1188" s="3">
        <f>WEEKNUM(Table1[[#This Row],[Order_Date]])</f>
        <v>34</v>
      </c>
      <c r="R1188">
        <f>YEAR(Table1[[#This Row],[Order_Date]])</f>
        <v>2024</v>
      </c>
      <c r="S1188" t="str">
        <f>IF(Table1[[#This Row],[Quantity]]&gt;=3,"Promo","Regular")</f>
        <v>Regular</v>
      </c>
    </row>
    <row r="1189" spans="1:19" x14ac:dyDescent="0.35">
      <c r="A1189" t="s">
        <v>2149</v>
      </c>
      <c r="B1189" t="s">
        <v>1262</v>
      </c>
      <c r="C1189" s="1">
        <v>45497</v>
      </c>
      <c r="D1189" t="s">
        <v>48</v>
      </c>
      <c r="E1189" t="s">
        <v>127</v>
      </c>
      <c r="F1189" t="s">
        <v>24</v>
      </c>
      <c r="G1189" t="s">
        <v>46</v>
      </c>
      <c r="H1189" t="s">
        <v>59</v>
      </c>
      <c r="I1189" t="s">
        <v>60</v>
      </c>
      <c r="J1189">
        <v>2</v>
      </c>
      <c r="K1189">
        <v>341</v>
      </c>
      <c r="L1189">
        <v>682</v>
      </c>
      <c r="M1189">
        <v>50</v>
      </c>
      <c r="N1189" t="s">
        <v>33</v>
      </c>
      <c r="O1189">
        <v>4.2</v>
      </c>
      <c r="P1189" s="2">
        <f>EOMONTH(Table1[[#This Row],[Order_Date]],0)</f>
        <v>45504</v>
      </c>
      <c r="Q1189" s="3">
        <f>WEEKNUM(Table1[[#This Row],[Order_Date]])</f>
        <v>30</v>
      </c>
      <c r="R1189">
        <f>YEAR(Table1[[#This Row],[Order_Date]])</f>
        <v>2024</v>
      </c>
      <c r="S1189" t="str">
        <f>IF(Table1[[#This Row],[Quantity]]&gt;=3,"Promo","Regular")</f>
        <v>Regular</v>
      </c>
    </row>
    <row r="1190" spans="1:19" x14ac:dyDescent="0.35">
      <c r="A1190" t="s">
        <v>2149</v>
      </c>
      <c r="B1190" t="s">
        <v>1263</v>
      </c>
      <c r="C1190" s="1">
        <v>45523</v>
      </c>
      <c r="D1190" t="s">
        <v>28</v>
      </c>
      <c r="E1190" t="s">
        <v>77</v>
      </c>
      <c r="F1190" t="s">
        <v>35</v>
      </c>
      <c r="G1190" t="s">
        <v>31</v>
      </c>
      <c r="H1190" t="s">
        <v>59</v>
      </c>
      <c r="I1190" t="s">
        <v>60</v>
      </c>
      <c r="J1190">
        <v>4</v>
      </c>
      <c r="K1190">
        <v>468</v>
      </c>
      <c r="L1190">
        <v>1872</v>
      </c>
      <c r="M1190">
        <v>33</v>
      </c>
      <c r="N1190" t="s">
        <v>21</v>
      </c>
      <c r="O1190">
        <v>4.5</v>
      </c>
      <c r="P1190" s="2">
        <f>EOMONTH(Table1[[#This Row],[Order_Date]],0)</f>
        <v>45535</v>
      </c>
      <c r="Q1190" s="3">
        <f>WEEKNUM(Table1[[#This Row],[Order_Date]])</f>
        <v>34</v>
      </c>
      <c r="R1190">
        <f>YEAR(Table1[[#This Row],[Order_Date]])</f>
        <v>2024</v>
      </c>
      <c r="S1190" t="str">
        <f>IF(Table1[[#This Row],[Quantity]]&gt;=3,"Promo","Regular")</f>
        <v>Promo</v>
      </c>
    </row>
    <row r="1191" spans="1:19" x14ac:dyDescent="0.35">
      <c r="A1191" t="s">
        <v>2149</v>
      </c>
      <c r="B1191" t="s">
        <v>1264</v>
      </c>
      <c r="C1191" s="1">
        <v>45407</v>
      </c>
      <c r="D1191" t="s">
        <v>48</v>
      </c>
      <c r="E1191" t="s">
        <v>68</v>
      </c>
      <c r="F1191" t="s">
        <v>30</v>
      </c>
      <c r="G1191" t="s">
        <v>46</v>
      </c>
      <c r="H1191" t="s">
        <v>50</v>
      </c>
      <c r="I1191" t="s">
        <v>20</v>
      </c>
      <c r="J1191">
        <v>1</v>
      </c>
      <c r="K1191">
        <v>260</v>
      </c>
      <c r="L1191">
        <v>260</v>
      </c>
      <c r="M1191">
        <v>59</v>
      </c>
      <c r="N1191" t="s">
        <v>33</v>
      </c>
      <c r="O1191">
        <v>3.3</v>
      </c>
      <c r="P1191" s="2">
        <f>EOMONTH(Table1[[#This Row],[Order_Date]],0)</f>
        <v>45412</v>
      </c>
      <c r="Q1191" s="3">
        <f>WEEKNUM(Table1[[#This Row],[Order_Date]])</f>
        <v>17</v>
      </c>
      <c r="R1191">
        <f>YEAR(Table1[[#This Row],[Order_Date]])</f>
        <v>2024</v>
      </c>
      <c r="S1191" t="str">
        <f>IF(Table1[[#This Row],[Quantity]]&gt;=3,"Promo","Regular")</f>
        <v>Regular</v>
      </c>
    </row>
    <row r="1192" spans="1:19" x14ac:dyDescent="0.35">
      <c r="A1192" t="s">
        <v>2150</v>
      </c>
      <c r="B1192" t="s">
        <v>1265</v>
      </c>
      <c r="C1192" s="1">
        <v>45463</v>
      </c>
      <c r="D1192" t="s">
        <v>28</v>
      </c>
      <c r="E1192" t="s">
        <v>71</v>
      </c>
      <c r="F1192" t="s">
        <v>41</v>
      </c>
      <c r="G1192" t="s">
        <v>31</v>
      </c>
      <c r="H1192" t="s">
        <v>50</v>
      </c>
      <c r="I1192" t="s">
        <v>20</v>
      </c>
      <c r="J1192">
        <v>4</v>
      </c>
      <c r="K1192">
        <v>374</v>
      </c>
      <c r="L1192">
        <v>1496</v>
      </c>
      <c r="M1192">
        <v>47</v>
      </c>
      <c r="N1192" t="s">
        <v>21</v>
      </c>
      <c r="O1192">
        <v>4.3</v>
      </c>
      <c r="P1192" s="2">
        <f>EOMONTH(Table1[[#This Row],[Order_Date]],0)</f>
        <v>45473</v>
      </c>
      <c r="Q1192" s="3">
        <f>WEEKNUM(Table1[[#This Row],[Order_Date]])</f>
        <v>25</v>
      </c>
      <c r="R1192">
        <f>YEAR(Table1[[#This Row],[Order_Date]])</f>
        <v>2024</v>
      </c>
      <c r="S1192" t="str">
        <f>IF(Table1[[#This Row],[Quantity]]&gt;=3,"Promo","Regular")</f>
        <v>Promo</v>
      </c>
    </row>
    <row r="1193" spans="1:19" x14ac:dyDescent="0.35">
      <c r="A1193" t="s">
        <v>2150</v>
      </c>
      <c r="B1193" t="s">
        <v>1266</v>
      </c>
      <c r="C1193" s="1">
        <v>45335</v>
      </c>
      <c r="D1193" t="s">
        <v>28</v>
      </c>
      <c r="E1193" t="s">
        <v>98</v>
      </c>
      <c r="F1193" t="s">
        <v>69</v>
      </c>
      <c r="G1193" t="s">
        <v>73</v>
      </c>
      <c r="H1193" t="s">
        <v>59</v>
      </c>
      <c r="I1193" t="s">
        <v>60</v>
      </c>
      <c r="J1193">
        <v>3</v>
      </c>
      <c r="K1193">
        <v>266</v>
      </c>
      <c r="L1193">
        <v>798</v>
      </c>
      <c r="M1193">
        <v>60</v>
      </c>
      <c r="N1193" t="s">
        <v>21</v>
      </c>
      <c r="O1193">
        <v>4.9000000000000004</v>
      </c>
      <c r="P1193" s="2">
        <f>EOMONTH(Table1[[#This Row],[Order_Date]],0)</f>
        <v>45351</v>
      </c>
      <c r="Q1193" s="3">
        <f>WEEKNUM(Table1[[#This Row],[Order_Date]])</f>
        <v>7</v>
      </c>
      <c r="R1193">
        <f>YEAR(Table1[[#This Row],[Order_Date]])</f>
        <v>2024</v>
      </c>
      <c r="S1193" t="str">
        <f>IF(Table1[[#This Row],[Quantity]]&gt;=3,"Promo","Regular")</f>
        <v>Promo</v>
      </c>
    </row>
    <row r="1194" spans="1:19" x14ac:dyDescent="0.35">
      <c r="A1194" t="s">
        <v>2151</v>
      </c>
      <c r="B1194" t="s">
        <v>1267</v>
      </c>
      <c r="C1194" s="1">
        <v>45459</v>
      </c>
      <c r="D1194" t="s">
        <v>43</v>
      </c>
      <c r="E1194" t="s">
        <v>52</v>
      </c>
      <c r="F1194" t="s">
        <v>17</v>
      </c>
      <c r="G1194" t="s">
        <v>36</v>
      </c>
      <c r="H1194" t="s">
        <v>120</v>
      </c>
      <c r="I1194" t="s">
        <v>60</v>
      </c>
      <c r="J1194">
        <v>2</v>
      </c>
      <c r="K1194">
        <v>368</v>
      </c>
      <c r="L1194">
        <v>736</v>
      </c>
      <c r="M1194">
        <v>47</v>
      </c>
      <c r="N1194" t="s">
        <v>38</v>
      </c>
      <c r="O1194">
        <v>3.1</v>
      </c>
      <c r="P1194" s="2">
        <f>EOMONTH(Table1[[#This Row],[Order_Date]],0)</f>
        <v>45473</v>
      </c>
      <c r="Q1194" s="3">
        <f>WEEKNUM(Table1[[#This Row],[Order_Date]])</f>
        <v>25</v>
      </c>
      <c r="R1194">
        <f>YEAR(Table1[[#This Row],[Order_Date]])</f>
        <v>2024</v>
      </c>
      <c r="S1194" t="str">
        <f>IF(Table1[[#This Row],[Quantity]]&gt;=3,"Promo","Regular")</f>
        <v>Regular</v>
      </c>
    </row>
    <row r="1195" spans="1:19" x14ac:dyDescent="0.35">
      <c r="A1195" t="s">
        <v>2151</v>
      </c>
      <c r="B1195" t="s">
        <v>1268</v>
      </c>
      <c r="C1195" s="1">
        <v>45588</v>
      </c>
      <c r="D1195" t="s">
        <v>28</v>
      </c>
      <c r="E1195" t="s">
        <v>71</v>
      </c>
      <c r="F1195" t="s">
        <v>69</v>
      </c>
      <c r="G1195" t="s">
        <v>31</v>
      </c>
      <c r="H1195" t="s">
        <v>120</v>
      </c>
      <c r="I1195" t="s">
        <v>60</v>
      </c>
      <c r="J1195">
        <v>1</v>
      </c>
      <c r="K1195">
        <v>131</v>
      </c>
      <c r="L1195">
        <v>131</v>
      </c>
      <c r="M1195">
        <v>45</v>
      </c>
      <c r="N1195" t="s">
        <v>33</v>
      </c>
      <c r="O1195">
        <v>3.3</v>
      </c>
      <c r="P1195" s="2">
        <f>EOMONTH(Table1[[#This Row],[Order_Date]],0)</f>
        <v>45596</v>
      </c>
      <c r="Q1195" s="3">
        <f>WEEKNUM(Table1[[#This Row],[Order_Date]])</f>
        <v>43</v>
      </c>
      <c r="R1195">
        <f>YEAR(Table1[[#This Row],[Order_Date]])</f>
        <v>2024</v>
      </c>
      <c r="S1195" t="str">
        <f>IF(Table1[[#This Row],[Quantity]]&gt;=3,"Promo","Regular")</f>
        <v>Regular</v>
      </c>
    </row>
    <row r="1196" spans="1:19" x14ac:dyDescent="0.35">
      <c r="A1196" t="s">
        <v>2151</v>
      </c>
      <c r="B1196" t="s">
        <v>1269</v>
      </c>
      <c r="C1196" s="1">
        <v>45478</v>
      </c>
      <c r="D1196" t="s">
        <v>28</v>
      </c>
      <c r="E1196" t="s">
        <v>71</v>
      </c>
      <c r="F1196" t="s">
        <v>30</v>
      </c>
      <c r="G1196" t="s">
        <v>36</v>
      </c>
      <c r="H1196" t="s">
        <v>120</v>
      </c>
      <c r="I1196" t="s">
        <v>60</v>
      </c>
      <c r="J1196">
        <v>1</v>
      </c>
      <c r="K1196">
        <v>489</v>
      </c>
      <c r="L1196">
        <v>489</v>
      </c>
      <c r="M1196">
        <v>32</v>
      </c>
      <c r="N1196" t="s">
        <v>21</v>
      </c>
      <c r="O1196">
        <v>3</v>
      </c>
      <c r="P1196" s="2">
        <f>EOMONTH(Table1[[#This Row],[Order_Date]],0)</f>
        <v>45504</v>
      </c>
      <c r="Q1196" s="3">
        <f>WEEKNUM(Table1[[#This Row],[Order_Date]])</f>
        <v>27</v>
      </c>
      <c r="R1196">
        <f>YEAR(Table1[[#This Row],[Order_Date]])</f>
        <v>2024</v>
      </c>
      <c r="S1196" t="str">
        <f>IF(Table1[[#This Row],[Quantity]]&gt;=3,"Promo","Regular")</f>
        <v>Regular</v>
      </c>
    </row>
    <row r="1197" spans="1:19" x14ac:dyDescent="0.35">
      <c r="A1197" t="s">
        <v>2151</v>
      </c>
      <c r="B1197" t="s">
        <v>1270</v>
      </c>
      <c r="C1197" s="1">
        <v>45516</v>
      </c>
      <c r="D1197" t="s">
        <v>48</v>
      </c>
      <c r="E1197" t="s">
        <v>68</v>
      </c>
      <c r="F1197" t="s">
        <v>72</v>
      </c>
      <c r="G1197" t="s">
        <v>73</v>
      </c>
      <c r="H1197" t="s">
        <v>32</v>
      </c>
      <c r="I1197" t="s">
        <v>20</v>
      </c>
      <c r="J1197">
        <v>1</v>
      </c>
      <c r="K1197">
        <v>451</v>
      </c>
      <c r="L1197">
        <v>451</v>
      </c>
      <c r="M1197">
        <v>21</v>
      </c>
      <c r="N1197" t="s">
        <v>38</v>
      </c>
      <c r="O1197">
        <v>4.5999999999999996</v>
      </c>
      <c r="P1197" s="2">
        <f>EOMONTH(Table1[[#This Row],[Order_Date]],0)</f>
        <v>45535</v>
      </c>
      <c r="Q1197" s="3">
        <f>WEEKNUM(Table1[[#This Row],[Order_Date]])</f>
        <v>33</v>
      </c>
      <c r="R1197">
        <f>YEAR(Table1[[#This Row],[Order_Date]])</f>
        <v>2024</v>
      </c>
      <c r="S1197" t="str">
        <f>IF(Table1[[#This Row],[Quantity]]&gt;=3,"Promo","Regular")</f>
        <v>Regular</v>
      </c>
    </row>
    <row r="1198" spans="1:19" x14ac:dyDescent="0.35">
      <c r="A1198" t="s">
        <v>2152</v>
      </c>
      <c r="B1198" t="s">
        <v>1271</v>
      </c>
      <c r="C1198" s="1">
        <v>45491</v>
      </c>
      <c r="D1198" t="s">
        <v>15</v>
      </c>
      <c r="E1198" t="s">
        <v>23</v>
      </c>
      <c r="F1198" t="s">
        <v>17</v>
      </c>
      <c r="G1198" t="s">
        <v>73</v>
      </c>
      <c r="H1198" t="s">
        <v>59</v>
      </c>
      <c r="I1198" t="s">
        <v>60</v>
      </c>
      <c r="J1198">
        <v>3</v>
      </c>
      <c r="K1198">
        <v>212</v>
      </c>
      <c r="L1198">
        <v>636</v>
      </c>
      <c r="M1198">
        <v>32</v>
      </c>
      <c r="N1198" t="s">
        <v>21</v>
      </c>
      <c r="O1198">
        <v>4.2</v>
      </c>
      <c r="P1198" s="2">
        <f>EOMONTH(Table1[[#This Row],[Order_Date]],0)</f>
        <v>45504</v>
      </c>
      <c r="Q1198" s="3">
        <f>WEEKNUM(Table1[[#This Row],[Order_Date]])</f>
        <v>29</v>
      </c>
      <c r="R1198">
        <f>YEAR(Table1[[#This Row],[Order_Date]])</f>
        <v>2024</v>
      </c>
      <c r="S1198" t="str">
        <f>IF(Table1[[#This Row],[Quantity]]&gt;=3,"Promo","Regular")</f>
        <v>Promo</v>
      </c>
    </row>
    <row r="1199" spans="1:19" x14ac:dyDescent="0.35">
      <c r="A1199" t="s">
        <v>2152</v>
      </c>
      <c r="B1199" t="s">
        <v>1272</v>
      </c>
      <c r="C1199" s="1">
        <v>45435</v>
      </c>
      <c r="D1199" t="s">
        <v>43</v>
      </c>
      <c r="E1199" t="s">
        <v>93</v>
      </c>
      <c r="F1199" t="s">
        <v>69</v>
      </c>
      <c r="G1199" t="s">
        <v>31</v>
      </c>
      <c r="H1199" t="s">
        <v>37</v>
      </c>
      <c r="I1199" t="s">
        <v>20</v>
      </c>
      <c r="J1199">
        <v>2</v>
      </c>
      <c r="K1199">
        <v>104</v>
      </c>
      <c r="L1199">
        <v>208</v>
      </c>
      <c r="M1199">
        <v>29</v>
      </c>
      <c r="N1199" t="s">
        <v>21</v>
      </c>
      <c r="O1199">
        <v>4.3</v>
      </c>
      <c r="P1199" s="2">
        <f>EOMONTH(Table1[[#This Row],[Order_Date]],0)</f>
        <v>45443</v>
      </c>
      <c r="Q1199" s="3">
        <f>WEEKNUM(Table1[[#This Row],[Order_Date]])</f>
        <v>21</v>
      </c>
      <c r="R1199">
        <f>YEAR(Table1[[#This Row],[Order_Date]])</f>
        <v>2024</v>
      </c>
      <c r="S1199" t="str">
        <f>IF(Table1[[#This Row],[Quantity]]&gt;=3,"Promo","Regular")</f>
        <v>Regular</v>
      </c>
    </row>
    <row r="1200" spans="1:19" x14ac:dyDescent="0.35">
      <c r="A1200" t="s">
        <v>2152</v>
      </c>
      <c r="B1200" t="s">
        <v>1273</v>
      </c>
      <c r="C1200" s="1">
        <v>45561</v>
      </c>
      <c r="D1200" t="s">
        <v>43</v>
      </c>
      <c r="E1200" t="s">
        <v>110</v>
      </c>
      <c r="F1200" t="s">
        <v>72</v>
      </c>
      <c r="G1200" t="s">
        <v>46</v>
      </c>
      <c r="H1200" t="s">
        <v>32</v>
      </c>
      <c r="I1200" t="s">
        <v>20</v>
      </c>
      <c r="J1200">
        <v>2</v>
      </c>
      <c r="K1200">
        <v>421</v>
      </c>
      <c r="L1200">
        <v>842</v>
      </c>
      <c r="M1200">
        <v>45</v>
      </c>
      <c r="N1200" t="s">
        <v>33</v>
      </c>
      <c r="O1200">
        <v>3.2</v>
      </c>
      <c r="P1200" s="2">
        <f>EOMONTH(Table1[[#This Row],[Order_Date]],0)</f>
        <v>45565</v>
      </c>
      <c r="Q1200" s="3">
        <f>WEEKNUM(Table1[[#This Row],[Order_Date]])</f>
        <v>39</v>
      </c>
      <c r="R1200">
        <f>YEAR(Table1[[#This Row],[Order_Date]])</f>
        <v>2024</v>
      </c>
      <c r="S1200" t="str">
        <f>IF(Table1[[#This Row],[Quantity]]&gt;=3,"Promo","Regular")</f>
        <v>Regular</v>
      </c>
    </row>
    <row r="1201" spans="1:19" x14ac:dyDescent="0.35">
      <c r="A1201" t="s">
        <v>2152</v>
      </c>
      <c r="B1201" t="s">
        <v>1274</v>
      </c>
      <c r="C1201" s="1">
        <v>45379</v>
      </c>
      <c r="D1201" t="s">
        <v>57</v>
      </c>
      <c r="E1201" t="s">
        <v>58</v>
      </c>
      <c r="F1201" t="s">
        <v>65</v>
      </c>
      <c r="G1201" t="s">
        <v>25</v>
      </c>
      <c r="H1201" t="s">
        <v>59</v>
      </c>
      <c r="I1201" t="s">
        <v>60</v>
      </c>
      <c r="J1201">
        <v>2</v>
      </c>
      <c r="K1201">
        <v>190</v>
      </c>
      <c r="L1201">
        <v>380</v>
      </c>
      <c r="M1201">
        <v>55</v>
      </c>
      <c r="N1201" t="s">
        <v>21</v>
      </c>
      <c r="O1201">
        <v>4.8</v>
      </c>
      <c r="P1201" s="2">
        <f>EOMONTH(Table1[[#This Row],[Order_Date]],0)</f>
        <v>45382</v>
      </c>
      <c r="Q1201" s="3">
        <f>WEEKNUM(Table1[[#This Row],[Order_Date]])</f>
        <v>13</v>
      </c>
      <c r="R1201">
        <f>YEAR(Table1[[#This Row],[Order_Date]])</f>
        <v>2024</v>
      </c>
      <c r="S1201" t="str">
        <f>IF(Table1[[#This Row],[Quantity]]&gt;=3,"Promo","Regular")</f>
        <v>Regular</v>
      </c>
    </row>
    <row r="1202" spans="1:19" x14ac:dyDescent="0.35">
      <c r="A1202" t="s">
        <v>2152</v>
      </c>
      <c r="B1202" t="s">
        <v>1275</v>
      </c>
      <c r="C1202" s="1">
        <v>45455</v>
      </c>
      <c r="D1202" t="s">
        <v>57</v>
      </c>
      <c r="E1202" t="s">
        <v>75</v>
      </c>
      <c r="F1202" t="s">
        <v>24</v>
      </c>
      <c r="G1202" t="s">
        <v>31</v>
      </c>
      <c r="H1202" t="s">
        <v>66</v>
      </c>
      <c r="I1202" t="s">
        <v>20</v>
      </c>
      <c r="J1202">
        <v>3</v>
      </c>
      <c r="K1202">
        <v>190</v>
      </c>
      <c r="L1202">
        <v>570</v>
      </c>
      <c r="M1202">
        <v>60</v>
      </c>
      <c r="N1202" t="s">
        <v>33</v>
      </c>
      <c r="O1202">
        <v>3.8</v>
      </c>
      <c r="P1202" s="2">
        <f>EOMONTH(Table1[[#This Row],[Order_Date]],0)</f>
        <v>45473</v>
      </c>
      <c r="Q1202" s="3">
        <f>WEEKNUM(Table1[[#This Row],[Order_Date]])</f>
        <v>24</v>
      </c>
      <c r="R1202">
        <f>YEAR(Table1[[#This Row],[Order_Date]])</f>
        <v>2024</v>
      </c>
      <c r="S1202" t="str">
        <f>IF(Table1[[#This Row],[Quantity]]&gt;=3,"Promo","Regular")</f>
        <v>Promo</v>
      </c>
    </row>
    <row r="1203" spans="1:19" x14ac:dyDescent="0.35">
      <c r="A1203" t="s">
        <v>2153</v>
      </c>
      <c r="B1203" t="s">
        <v>1276</v>
      </c>
      <c r="C1203" s="1">
        <v>45574</v>
      </c>
      <c r="D1203" t="s">
        <v>28</v>
      </c>
      <c r="E1203" t="s">
        <v>98</v>
      </c>
      <c r="F1203" t="s">
        <v>69</v>
      </c>
      <c r="G1203" t="s">
        <v>25</v>
      </c>
      <c r="H1203" t="s">
        <v>37</v>
      </c>
      <c r="I1203" t="s">
        <v>20</v>
      </c>
      <c r="J1203">
        <v>1</v>
      </c>
      <c r="K1203">
        <v>150</v>
      </c>
      <c r="L1203">
        <v>150</v>
      </c>
      <c r="M1203">
        <v>47</v>
      </c>
      <c r="N1203" t="s">
        <v>38</v>
      </c>
      <c r="O1203">
        <v>4.4000000000000004</v>
      </c>
      <c r="P1203" s="2">
        <f>EOMONTH(Table1[[#This Row],[Order_Date]],0)</f>
        <v>45596</v>
      </c>
      <c r="Q1203" s="3">
        <f>WEEKNUM(Table1[[#This Row],[Order_Date]])</f>
        <v>41</v>
      </c>
      <c r="R1203">
        <f>YEAR(Table1[[#This Row],[Order_Date]])</f>
        <v>2024</v>
      </c>
      <c r="S1203" t="str">
        <f>IF(Table1[[#This Row],[Quantity]]&gt;=3,"Promo","Regular")</f>
        <v>Regular</v>
      </c>
    </row>
    <row r="1204" spans="1:19" x14ac:dyDescent="0.35">
      <c r="A1204" t="s">
        <v>2153</v>
      </c>
      <c r="B1204" t="s">
        <v>1277</v>
      </c>
      <c r="C1204" s="1">
        <v>45461</v>
      </c>
      <c r="D1204" t="s">
        <v>28</v>
      </c>
      <c r="E1204" t="s">
        <v>98</v>
      </c>
      <c r="F1204" t="s">
        <v>35</v>
      </c>
      <c r="G1204" t="s">
        <v>46</v>
      </c>
      <c r="H1204" t="s">
        <v>50</v>
      </c>
      <c r="I1204" t="s">
        <v>20</v>
      </c>
      <c r="J1204">
        <v>2</v>
      </c>
      <c r="K1204">
        <v>337</v>
      </c>
      <c r="L1204">
        <v>674</v>
      </c>
      <c r="M1204">
        <v>32</v>
      </c>
      <c r="N1204" t="s">
        <v>38</v>
      </c>
      <c r="O1204">
        <v>4.5</v>
      </c>
      <c r="P1204" s="2">
        <f>EOMONTH(Table1[[#This Row],[Order_Date]],0)</f>
        <v>45473</v>
      </c>
      <c r="Q1204" s="3">
        <f>WEEKNUM(Table1[[#This Row],[Order_Date]])</f>
        <v>25</v>
      </c>
      <c r="R1204">
        <f>YEAR(Table1[[#This Row],[Order_Date]])</f>
        <v>2024</v>
      </c>
      <c r="S1204" t="str">
        <f>IF(Table1[[#This Row],[Quantity]]&gt;=3,"Promo","Regular")</f>
        <v>Regular</v>
      </c>
    </row>
    <row r="1205" spans="1:19" x14ac:dyDescent="0.35">
      <c r="A1205" t="s">
        <v>2154</v>
      </c>
      <c r="B1205" t="s">
        <v>1278</v>
      </c>
      <c r="C1205" s="1">
        <v>45484</v>
      </c>
      <c r="D1205" t="s">
        <v>28</v>
      </c>
      <c r="E1205" t="s">
        <v>71</v>
      </c>
      <c r="F1205" t="s">
        <v>35</v>
      </c>
      <c r="G1205" t="s">
        <v>25</v>
      </c>
      <c r="H1205" t="s">
        <v>19</v>
      </c>
      <c r="I1205" t="s">
        <v>20</v>
      </c>
      <c r="J1205">
        <v>2</v>
      </c>
      <c r="K1205">
        <v>408</v>
      </c>
      <c r="L1205">
        <v>816</v>
      </c>
      <c r="M1205">
        <v>38</v>
      </c>
      <c r="N1205" t="s">
        <v>21</v>
      </c>
      <c r="O1205">
        <v>3.4</v>
      </c>
      <c r="P1205" s="2">
        <f>EOMONTH(Table1[[#This Row],[Order_Date]],0)</f>
        <v>45504</v>
      </c>
      <c r="Q1205" s="3">
        <f>WEEKNUM(Table1[[#This Row],[Order_Date]])</f>
        <v>28</v>
      </c>
      <c r="R1205">
        <f>YEAR(Table1[[#This Row],[Order_Date]])</f>
        <v>2024</v>
      </c>
      <c r="S1205" t="str">
        <f>IF(Table1[[#This Row],[Quantity]]&gt;=3,"Promo","Regular")</f>
        <v>Regular</v>
      </c>
    </row>
    <row r="1206" spans="1:19" x14ac:dyDescent="0.35">
      <c r="A1206" t="s">
        <v>2154</v>
      </c>
      <c r="B1206" t="s">
        <v>1279</v>
      </c>
      <c r="C1206" s="1">
        <v>45405</v>
      </c>
      <c r="D1206" t="s">
        <v>48</v>
      </c>
      <c r="E1206" t="s">
        <v>49</v>
      </c>
      <c r="F1206" t="s">
        <v>45</v>
      </c>
      <c r="G1206" t="s">
        <v>73</v>
      </c>
      <c r="H1206" t="s">
        <v>120</v>
      </c>
      <c r="I1206" t="s">
        <v>60</v>
      </c>
      <c r="J1206">
        <v>3</v>
      </c>
      <c r="K1206">
        <v>412</v>
      </c>
      <c r="L1206">
        <v>1236</v>
      </c>
      <c r="M1206">
        <v>38</v>
      </c>
      <c r="N1206" t="s">
        <v>33</v>
      </c>
      <c r="O1206">
        <v>4.4000000000000004</v>
      </c>
      <c r="P1206" s="2">
        <f>EOMONTH(Table1[[#This Row],[Order_Date]],0)</f>
        <v>45412</v>
      </c>
      <c r="Q1206" s="3">
        <f>WEEKNUM(Table1[[#This Row],[Order_Date]])</f>
        <v>17</v>
      </c>
      <c r="R1206">
        <f>YEAR(Table1[[#This Row],[Order_Date]])</f>
        <v>2024</v>
      </c>
      <c r="S1206" t="str">
        <f>IF(Table1[[#This Row],[Quantity]]&gt;=3,"Promo","Regular")</f>
        <v>Promo</v>
      </c>
    </row>
    <row r="1207" spans="1:19" x14ac:dyDescent="0.35">
      <c r="A1207" t="s">
        <v>2155</v>
      </c>
      <c r="B1207" t="s">
        <v>1280</v>
      </c>
      <c r="C1207" s="1">
        <v>45422</v>
      </c>
      <c r="D1207" t="s">
        <v>48</v>
      </c>
      <c r="E1207" t="s">
        <v>49</v>
      </c>
      <c r="F1207" t="s">
        <v>45</v>
      </c>
      <c r="G1207" t="s">
        <v>25</v>
      </c>
      <c r="H1207" t="s">
        <v>53</v>
      </c>
      <c r="I1207" t="s">
        <v>20</v>
      </c>
      <c r="J1207">
        <v>3</v>
      </c>
      <c r="K1207">
        <v>117</v>
      </c>
      <c r="L1207">
        <v>351</v>
      </c>
      <c r="M1207">
        <v>25</v>
      </c>
      <c r="N1207" t="s">
        <v>38</v>
      </c>
      <c r="O1207">
        <v>3.8</v>
      </c>
      <c r="P1207" s="2">
        <f>EOMONTH(Table1[[#This Row],[Order_Date]],0)</f>
        <v>45443</v>
      </c>
      <c r="Q1207" s="3">
        <f>WEEKNUM(Table1[[#This Row],[Order_Date]])</f>
        <v>19</v>
      </c>
      <c r="R1207">
        <f>YEAR(Table1[[#This Row],[Order_Date]])</f>
        <v>2024</v>
      </c>
      <c r="S1207" t="str">
        <f>IF(Table1[[#This Row],[Quantity]]&gt;=3,"Promo","Regular")</f>
        <v>Promo</v>
      </c>
    </row>
    <row r="1208" spans="1:19" x14ac:dyDescent="0.35">
      <c r="A1208" t="s">
        <v>2155</v>
      </c>
      <c r="B1208" t="s">
        <v>1281</v>
      </c>
      <c r="C1208" s="1">
        <v>45541</v>
      </c>
      <c r="D1208" t="s">
        <v>48</v>
      </c>
      <c r="E1208" t="s">
        <v>127</v>
      </c>
      <c r="F1208" t="s">
        <v>85</v>
      </c>
      <c r="G1208" t="s">
        <v>46</v>
      </c>
      <c r="H1208" t="s">
        <v>53</v>
      </c>
      <c r="I1208" t="s">
        <v>20</v>
      </c>
      <c r="J1208">
        <v>4</v>
      </c>
      <c r="K1208">
        <v>389</v>
      </c>
      <c r="L1208">
        <v>1556</v>
      </c>
      <c r="M1208">
        <v>33</v>
      </c>
      <c r="N1208" t="s">
        <v>21</v>
      </c>
      <c r="O1208">
        <v>4.5999999999999996</v>
      </c>
      <c r="P1208" s="2">
        <f>EOMONTH(Table1[[#This Row],[Order_Date]],0)</f>
        <v>45565</v>
      </c>
      <c r="Q1208" s="3">
        <f>WEEKNUM(Table1[[#This Row],[Order_Date]])</f>
        <v>36</v>
      </c>
      <c r="R1208">
        <f>YEAR(Table1[[#This Row],[Order_Date]])</f>
        <v>2024</v>
      </c>
      <c r="S1208" t="str">
        <f>IF(Table1[[#This Row],[Quantity]]&gt;=3,"Promo","Regular")</f>
        <v>Promo</v>
      </c>
    </row>
    <row r="1209" spans="1:19" x14ac:dyDescent="0.35">
      <c r="A1209" t="s">
        <v>2155</v>
      </c>
      <c r="B1209" t="s">
        <v>1282</v>
      </c>
      <c r="C1209" s="1">
        <v>45586</v>
      </c>
      <c r="D1209" t="s">
        <v>57</v>
      </c>
      <c r="E1209" t="s">
        <v>62</v>
      </c>
      <c r="F1209" t="s">
        <v>17</v>
      </c>
      <c r="G1209" t="s">
        <v>31</v>
      </c>
      <c r="H1209" t="s">
        <v>66</v>
      </c>
      <c r="I1209" t="s">
        <v>20</v>
      </c>
      <c r="J1209">
        <v>3</v>
      </c>
      <c r="K1209">
        <v>395</v>
      </c>
      <c r="L1209">
        <v>1185</v>
      </c>
      <c r="M1209">
        <v>21</v>
      </c>
      <c r="N1209" t="s">
        <v>33</v>
      </c>
      <c r="O1209">
        <v>3.1</v>
      </c>
      <c r="P1209" s="2">
        <f>EOMONTH(Table1[[#This Row],[Order_Date]],0)</f>
        <v>45596</v>
      </c>
      <c r="Q1209" s="3">
        <f>WEEKNUM(Table1[[#This Row],[Order_Date]])</f>
        <v>43</v>
      </c>
      <c r="R1209">
        <f>YEAR(Table1[[#This Row],[Order_Date]])</f>
        <v>2024</v>
      </c>
      <c r="S1209" t="str">
        <f>IF(Table1[[#This Row],[Quantity]]&gt;=3,"Promo","Regular")</f>
        <v>Promo</v>
      </c>
    </row>
    <row r="1210" spans="1:19" x14ac:dyDescent="0.35">
      <c r="A1210" t="s">
        <v>2155</v>
      </c>
      <c r="B1210" t="s">
        <v>1283</v>
      </c>
      <c r="C1210" s="1">
        <v>45526</v>
      </c>
      <c r="D1210" t="s">
        <v>15</v>
      </c>
      <c r="E1210" t="s">
        <v>23</v>
      </c>
      <c r="F1210" t="s">
        <v>30</v>
      </c>
      <c r="G1210" t="s">
        <v>46</v>
      </c>
      <c r="H1210" t="s">
        <v>50</v>
      </c>
      <c r="I1210" t="s">
        <v>20</v>
      </c>
      <c r="J1210">
        <v>2</v>
      </c>
      <c r="K1210">
        <v>229</v>
      </c>
      <c r="L1210">
        <v>458</v>
      </c>
      <c r="M1210">
        <v>35</v>
      </c>
      <c r="N1210" t="s">
        <v>21</v>
      </c>
      <c r="O1210">
        <v>3</v>
      </c>
      <c r="P1210" s="2">
        <f>EOMONTH(Table1[[#This Row],[Order_Date]],0)</f>
        <v>45535</v>
      </c>
      <c r="Q1210" s="3">
        <f>WEEKNUM(Table1[[#This Row],[Order_Date]])</f>
        <v>34</v>
      </c>
      <c r="R1210">
        <f>YEAR(Table1[[#This Row],[Order_Date]])</f>
        <v>2024</v>
      </c>
      <c r="S1210" t="str">
        <f>IF(Table1[[#This Row],[Quantity]]&gt;=3,"Promo","Regular")</f>
        <v>Regular</v>
      </c>
    </row>
    <row r="1211" spans="1:19" x14ac:dyDescent="0.35">
      <c r="A1211" t="s">
        <v>2155</v>
      </c>
      <c r="B1211" t="s">
        <v>1284</v>
      </c>
      <c r="C1211" s="1">
        <v>45504</v>
      </c>
      <c r="D1211" t="s">
        <v>57</v>
      </c>
      <c r="E1211" t="s">
        <v>136</v>
      </c>
      <c r="F1211" t="s">
        <v>35</v>
      </c>
      <c r="G1211" t="s">
        <v>25</v>
      </c>
      <c r="H1211" t="s">
        <v>32</v>
      </c>
      <c r="I1211" t="s">
        <v>20</v>
      </c>
      <c r="J1211">
        <v>4</v>
      </c>
      <c r="K1211">
        <v>397</v>
      </c>
      <c r="L1211">
        <v>1588</v>
      </c>
      <c r="M1211">
        <v>26</v>
      </c>
      <c r="N1211" t="s">
        <v>21</v>
      </c>
      <c r="O1211">
        <v>4</v>
      </c>
      <c r="P1211" s="2">
        <f>EOMONTH(Table1[[#This Row],[Order_Date]],0)</f>
        <v>45504</v>
      </c>
      <c r="Q1211" s="3">
        <f>WEEKNUM(Table1[[#This Row],[Order_Date]])</f>
        <v>31</v>
      </c>
      <c r="R1211">
        <f>YEAR(Table1[[#This Row],[Order_Date]])</f>
        <v>2024</v>
      </c>
      <c r="S1211" t="str">
        <f>IF(Table1[[#This Row],[Quantity]]&gt;=3,"Promo","Regular")</f>
        <v>Promo</v>
      </c>
    </row>
    <row r="1212" spans="1:19" x14ac:dyDescent="0.35">
      <c r="A1212" t="s">
        <v>2156</v>
      </c>
      <c r="B1212" t="s">
        <v>1285</v>
      </c>
      <c r="C1212" s="1">
        <v>45565</v>
      </c>
      <c r="D1212" t="s">
        <v>48</v>
      </c>
      <c r="E1212" t="s">
        <v>49</v>
      </c>
      <c r="F1212" t="s">
        <v>69</v>
      </c>
      <c r="G1212" t="s">
        <v>25</v>
      </c>
      <c r="H1212" t="s">
        <v>19</v>
      </c>
      <c r="I1212" t="s">
        <v>20</v>
      </c>
      <c r="J1212">
        <v>3</v>
      </c>
      <c r="K1212">
        <v>208</v>
      </c>
      <c r="L1212">
        <v>624</v>
      </c>
      <c r="M1212">
        <v>57</v>
      </c>
      <c r="N1212" t="s">
        <v>33</v>
      </c>
      <c r="O1212">
        <v>3.6</v>
      </c>
      <c r="P1212" s="2">
        <f>EOMONTH(Table1[[#This Row],[Order_Date]],0)</f>
        <v>45565</v>
      </c>
      <c r="Q1212" s="3">
        <f>WEEKNUM(Table1[[#This Row],[Order_Date]])</f>
        <v>40</v>
      </c>
      <c r="R1212">
        <f>YEAR(Table1[[#This Row],[Order_Date]])</f>
        <v>2024</v>
      </c>
      <c r="S1212" t="str">
        <f>IF(Table1[[#This Row],[Quantity]]&gt;=3,"Promo","Regular")</f>
        <v>Promo</v>
      </c>
    </row>
    <row r="1213" spans="1:19" x14ac:dyDescent="0.35">
      <c r="A1213" t="s">
        <v>2156</v>
      </c>
      <c r="B1213" t="s">
        <v>1286</v>
      </c>
      <c r="C1213" s="1">
        <v>45474</v>
      </c>
      <c r="D1213" t="s">
        <v>15</v>
      </c>
      <c r="E1213" t="s">
        <v>103</v>
      </c>
      <c r="F1213" t="s">
        <v>30</v>
      </c>
      <c r="G1213" t="s">
        <v>46</v>
      </c>
      <c r="H1213" t="s">
        <v>50</v>
      </c>
      <c r="I1213" t="s">
        <v>20</v>
      </c>
      <c r="J1213">
        <v>5</v>
      </c>
      <c r="K1213">
        <v>347</v>
      </c>
      <c r="L1213">
        <v>1735</v>
      </c>
      <c r="M1213">
        <v>35</v>
      </c>
      <c r="N1213" t="s">
        <v>38</v>
      </c>
      <c r="O1213">
        <v>4.4000000000000004</v>
      </c>
      <c r="P1213" s="2">
        <f>EOMONTH(Table1[[#This Row],[Order_Date]],0)</f>
        <v>45504</v>
      </c>
      <c r="Q1213" s="3">
        <f>WEEKNUM(Table1[[#This Row],[Order_Date]])</f>
        <v>27</v>
      </c>
      <c r="R1213">
        <f>YEAR(Table1[[#This Row],[Order_Date]])</f>
        <v>2024</v>
      </c>
      <c r="S1213" t="str">
        <f>IF(Table1[[#This Row],[Quantity]]&gt;=3,"Promo","Regular")</f>
        <v>Promo</v>
      </c>
    </row>
    <row r="1214" spans="1:19" x14ac:dyDescent="0.35">
      <c r="A1214" t="s">
        <v>2156</v>
      </c>
      <c r="B1214" t="s">
        <v>1287</v>
      </c>
      <c r="C1214" s="1">
        <v>45429</v>
      </c>
      <c r="D1214" t="s">
        <v>43</v>
      </c>
      <c r="E1214" t="s">
        <v>110</v>
      </c>
      <c r="F1214" t="s">
        <v>72</v>
      </c>
      <c r="G1214" t="s">
        <v>36</v>
      </c>
      <c r="H1214" t="s">
        <v>50</v>
      </c>
      <c r="I1214" t="s">
        <v>20</v>
      </c>
      <c r="J1214">
        <v>4</v>
      </c>
      <c r="K1214">
        <v>218</v>
      </c>
      <c r="L1214">
        <v>872</v>
      </c>
      <c r="M1214">
        <v>41</v>
      </c>
      <c r="N1214" t="s">
        <v>33</v>
      </c>
      <c r="O1214">
        <v>4.8</v>
      </c>
      <c r="P1214" s="2">
        <f>EOMONTH(Table1[[#This Row],[Order_Date]],0)</f>
        <v>45443</v>
      </c>
      <c r="Q1214" s="3">
        <f>WEEKNUM(Table1[[#This Row],[Order_Date]])</f>
        <v>20</v>
      </c>
      <c r="R1214">
        <f>YEAR(Table1[[#This Row],[Order_Date]])</f>
        <v>2024</v>
      </c>
      <c r="S1214" t="str">
        <f>IF(Table1[[#This Row],[Quantity]]&gt;=3,"Promo","Regular")</f>
        <v>Promo</v>
      </c>
    </row>
    <row r="1215" spans="1:19" x14ac:dyDescent="0.35">
      <c r="A1215" t="s">
        <v>2157</v>
      </c>
      <c r="B1215" t="s">
        <v>1288</v>
      </c>
      <c r="C1215" s="1">
        <v>45523</v>
      </c>
      <c r="D1215" t="s">
        <v>48</v>
      </c>
      <c r="E1215" t="s">
        <v>49</v>
      </c>
      <c r="F1215" t="s">
        <v>30</v>
      </c>
      <c r="G1215" t="s">
        <v>73</v>
      </c>
      <c r="H1215" t="s">
        <v>37</v>
      </c>
      <c r="I1215" t="s">
        <v>20</v>
      </c>
      <c r="J1215">
        <v>5</v>
      </c>
      <c r="K1215">
        <v>302</v>
      </c>
      <c r="L1215">
        <v>1510</v>
      </c>
      <c r="M1215">
        <v>42</v>
      </c>
      <c r="N1215" t="s">
        <v>21</v>
      </c>
      <c r="O1215">
        <v>4</v>
      </c>
      <c r="P1215" s="2">
        <f>EOMONTH(Table1[[#This Row],[Order_Date]],0)</f>
        <v>45535</v>
      </c>
      <c r="Q1215" s="3">
        <f>WEEKNUM(Table1[[#This Row],[Order_Date]])</f>
        <v>34</v>
      </c>
      <c r="R1215">
        <f>YEAR(Table1[[#This Row],[Order_Date]])</f>
        <v>2024</v>
      </c>
      <c r="S1215" t="str">
        <f>IF(Table1[[#This Row],[Quantity]]&gt;=3,"Promo","Regular")</f>
        <v>Promo</v>
      </c>
    </row>
    <row r="1216" spans="1:19" x14ac:dyDescent="0.35">
      <c r="A1216" t="s">
        <v>2157</v>
      </c>
      <c r="B1216" t="s">
        <v>1289</v>
      </c>
      <c r="C1216" s="1">
        <v>45587</v>
      </c>
      <c r="D1216" t="s">
        <v>28</v>
      </c>
      <c r="E1216" t="s">
        <v>98</v>
      </c>
      <c r="F1216" t="s">
        <v>85</v>
      </c>
      <c r="G1216" t="s">
        <v>46</v>
      </c>
      <c r="H1216" t="s">
        <v>26</v>
      </c>
      <c r="I1216" t="s">
        <v>20</v>
      </c>
      <c r="J1216">
        <v>1</v>
      </c>
      <c r="K1216">
        <v>194</v>
      </c>
      <c r="L1216">
        <v>194</v>
      </c>
      <c r="M1216">
        <v>53</v>
      </c>
      <c r="N1216" t="s">
        <v>38</v>
      </c>
      <c r="O1216">
        <v>3.4</v>
      </c>
      <c r="P1216" s="2">
        <f>EOMONTH(Table1[[#This Row],[Order_Date]],0)</f>
        <v>45596</v>
      </c>
      <c r="Q1216" s="3">
        <f>WEEKNUM(Table1[[#This Row],[Order_Date]])</f>
        <v>43</v>
      </c>
      <c r="R1216">
        <f>YEAR(Table1[[#This Row],[Order_Date]])</f>
        <v>2024</v>
      </c>
      <c r="S1216" t="str">
        <f>IF(Table1[[#This Row],[Quantity]]&gt;=3,"Promo","Regular")</f>
        <v>Regular</v>
      </c>
    </row>
    <row r="1217" spans="1:19" x14ac:dyDescent="0.35">
      <c r="A1217" t="s">
        <v>2157</v>
      </c>
      <c r="B1217" t="s">
        <v>1290</v>
      </c>
      <c r="C1217" s="1">
        <v>45552</v>
      </c>
      <c r="D1217" t="s">
        <v>57</v>
      </c>
      <c r="E1217" t="s">
        <v>105</v>
      </c>
      <c r="F1217" t="s">
        <v>30</v>
      </c>
      <c r="G1217" t="s">
        <v>46</v>
      </c>
      <c r="H1217" t="s">
        <v>19</v>
      </c>
      <c r="I1217" t="s">
        <v>20</v>
      </c>
      <c r="J1217">
        <v>1</v>
      </c>
      <c r="K1217">
        <v>199</v>
      </c>
      <c r="L1217">
        <v>199</v>
      </c>
      <c r="M1217">
        <v>39</v>
      </c>
      <c r="N1217" t="s">
        <v>33</v>
      </c>
      <c r="O1217">
        <v>3.2</v>
      </c>
      <c r="P1217" s="2">
        <f>EOMONTH(Table1[[#This Row],[Order_Date]],0)</f>
        <v>45565</v>
      </c>
      <c r="Q1217" s="3">
        <f>WEEKNUM(Table1[[#This Row],[Order_Date]])</f>
        <v>38</v>
      </c>
      <c r="R1217">
        <f>YEAR(Table1[[#This Row],[Order_Date]])</f>
        <v>2024</v>
      </c>
      <c r="S1217" t="str">
        <f>IF(Table1[[#This Row],[Quantity]]&gt;=3,"Promo","Regular")</f>
        <v>Regular</v>
      </c>
    </row>
    <row r="1218" spans="1:19" x14ac:dyDescent="0.35">
      <c r="A1218" t="s">
        <v>2157</v>
      </c>
      <c r="B1218" t="s">
        <v>1291</v>
      </c>
      <c r="C1218" s="1">
        <v>45466</v>
      </c>
      <c r="D1218" t="s">
        <v>48</v>
      </c>
      <c r="E1218" t="s">
        <v>64</v>
      </c>
      <c r="F1218" t="s">
        <v>35</v>
      </c>
      <c r="G1218" t="s">
        <v>73</v>
      </c>
      <c r="H1218" t="s">
        <v>120</v>
      </c>
      <c r="I1218" t="s">
        <v>60</v>
      </c>
      <c r="J1218">
        <v>5</v>
      </c>
      <c r="K1218">
        <v>156</v>
      </c>
      <c r="L1218">
        <v>780</v>
      </c>
      <c r="M1218">
        <v>35</v>
      </c>
      <c r="N1218" t="s">
        <v>33</v>
      </c>
      <c r="O1218">
        <v>3.8</v>
      </c>
      <c r="P1218" s="2">
        <f>EOMONTH(Table1[[#This Row],[Order_Date]],0)</f>
        <v>45473</v>
      </c>
      <c r="Q1218" s="3">
        <f>WEEKNUM(Table1[[#This Row],[Order_Date]])</f>
        <v>26</v>
      </c>
      <c r="R1218">
        <f>YEAR(Table1[[#This Row],[Order_Date]])</f>
        <v>2024</v>
      </c>
      <c r="S1218" t="str">
        <f>IF(Table1[[#This Row],[Quantity]]&gt;=3,"Promo","Regular")</f>
        <v>Promo</v>
      </c>
    </row>
    <row r="1219" spans="1:19" x14ac:dyDescent="0.35">
      <c r="A1219" t="s">
        <v>2158</v>
      </c>
      <c r="B1219" t="s">
        <v>1292</v>
      </c>
      <c r="C1219" s="1">
        <v>45554</v>
      </c>
      <c r="D1219" t="s">
        <v>57</v>
      </c>
      <c r="E1219" t="s">
        <v>136</v>
      </c>
      <c r="F1219" t="s">
        <v>35</v>
      </c>
      <c r="G1219" t="s">
        <v>31</v>
      </c>
      <c r="H1219" t="s">
        <v>59</v>
      </c>
      <c r="I1219" t="s">
        <v>60</v>
      </c>
      <c r="J1219">
        <v>4</v>
      </c>
      <c r="K1219">
        <v>484</v>
      </c>
      <c r="L1219">
        <v>1936</v>
      </c>
      <c r="M1219">
        <v>20</v>
      </c>
      <c r="N1219" t="s">
        <v>21</v>
      </c>
      <c r="O1219">
        <v>4.5</v>
      </c>
      <c r="P1219" s="2">
        <f>EOMONTH(Table1[[#This Row],[Order_Date]],0)</f>
        <v>45565</v>
      </c>
      <c r="Q1219" s="3">
        <f>WEEKNUM(Table1[[#This Row],[Order_Date]])</f>
        <v>38</v>
      </c>
      <c r="R1219">
        <f>YEAR(Table1[[#This Row],[Order_Date]])</f>
        <v>2024</v>
      </c>
      <c r="S1219" t="str">
        <f>IF(Table1[[#This Row],[Quantity]]&gt;=3,"Promo","Regular")</f>
        <v>Promo</v>
      </c>
    </row>
    <row r="1220" spans="1:19" x14ac:dyDescent="0.35">
      <c r="A1220" t="s">
        <v>2158</v>
      </c>
      <c r="B1220" t="s">
        <v>1293</v>
      </c>
      <c r="C1220" s="1">
        <v>45298</v>
      </c>
      <c r="D1220" t="s">
        <v>15</v>
      </c>
      <c r="E1220" t="s">
        <v>95</v>
      </c>
      <c r="F1220" t="s">
        <v>30</v>
      </c>
      <c r="G1220" t="s">
        <v>18</v>
      </c>
      <c r="H1220" t="s">
        <v>37</v>
      </c>
      <c r="I1220" t="s">
        <v>20</v>
      </c>
      <c r="J1220">
        <v>5</v>
      </c>
      <c r="K1220">
        <v>482</v>
      </c>
      <c r="L1220">
        <v>2410</v>
      </c>
      <c r="M1220">
        <v>47</v>
      </c>
      <c r="N1220" t="s">
        <v>21</v>
      </c>
      <c r="O1220">
        <v>4.0999999999999996</v>
      </c>
      <c r="P1220" s="2">
        <f>EOMONTH(Table1[[#This Row],[Order_Date]],0)</f>
        <v>45322</v>
      </c>
      <c r="Q1220" s="3">
        <f>WEEKNUM(Table1[[#This Row],[Order_Date]])</f>
        <v>2</v>
      </c>
      <c r="R1220">
        <f>YEAR(Table1[[#This Row],[Order_Date]])</f>
        <v>2024</v>
      </c>
      <c r="S1220" t="str">
        <f>IF(Table1[[#This Row],[Quantity]]&gt;=3,"Promo","Regular")</f>
        <v>Promo</v>
      </c>
    </row>
    <row r="1221" spans="1:19" x14ac:dyDescent="0.35">
      <c r="A1221" t="s">
        <v>2158</v>
      </c>
      <c r="B1221" t="s">
        <v>1294</v>
      </c>
      <c r="C1221" s="1">
        <v>45550</v>
      </c>
      <c r="D1221" t="s">
        <v>28</v>
      </c>
      <c r="E1221" t="s">
        <v>71</v>
      </c>
      <c r="F1221" t="s">
        <v>24</v>
      </c>
      <c r="G1221" t="s">
        <v>73</v>
      </c>
      <c r="H1221" t="s">
        <v>37</v>
      </c>
      <c r="I1221" t="s">
        <v>20</v>
      </c>
      <c r="J1221">
        <v>5</v>
      </c>
      <c r="K1221">
        <v>406</v>
      </c>
      <c r="L1221">
        <v>2030</v>
      </c>
      <c r="M1221">
        <v>55</v>
      </c>
      <c r="N1221" t="s">
        <v>33</v>
      </c>
      <c r="O1221">
        <v>4.7</v>
      </c>
      <c r="P1221" s="2">
        <f>EOMONTH(Table1[[#This Row],[Order_Date]],0)</f>
        <v>45565</v>
      </c>
      <c r="Q1221" s="3">
        <f>WEEKNUM(Table1[[#This Row],[Order_Date]])</f>
        <v>38</v>
      </c>
      <c r="R1221">
        <f>YEAR(Table1[[#This Row],[Order_Date]])</f>
        <v>2024</v>
      </c>
      <c r="S1221" t="str">
        <f>IF(Table1[[#This Row],[Quantity]]&gt;=3,"Promo","Regular")</f>
        <v>Promo</v>
      </c>
    </row>
    <row r="1222" spans="1:19" x14ac:dyDescent="0.35">
      <c r="A1222" t="s">
        <v>2158</v>
      </c>
      <c r="B1222" t="s">
        <v>1295</v>
      </c>
      <c r="C1222" s="1">
        <v>45532</v>
      </c>
      <c r="D1222" t="s">
        <v>48</v>
      </c>
      <c r="E1222" t="s">
        <v>127</v>
      </c>
      <c r="F1222" t="s">
        <v>65</v>
      </c>
      <c r="G1222" t="s">
        <v>73</v>
      </c>
      <c r="H1222" t="s">
        <v>19</v>
      </c>
      <c r="I1222" t="s">
        <v>20</v>
      </c>
      <c r="J1222">
        <v>2</v>
      </c>
      <c r="K1222">
        <v>137</v>
      </c>
      <c r="L1222">
        <v>274</v>
      </c>
      <c r="M1222">
        <v>25</v>
      </c>
      <c r="N1222" t="s">
        <v>38</v>
      </c>
      <c r="O1222">
        <v>3.3</v>
      </c>
      <c r="P1222" s="2">
        <f>EOMONTH(Table1[[#This Row],[Order_Date]],0)</f>
        <v>45535</v>
      </c>
      <c r="Q1222" s="3">
        <f>WEEKNUM(Table1[[#This Row],[Order_Date]])</f>
        <v>35</v>
      </c>
      <c r="R1222">
        <f>YEAR(Table1[[#This Row],[Order_Date]])</f>
        <v>2024</v>
      </c>
      <c r="S1222" t="str">
        <f>IF(Table1[[#This Row],[Quantity]]&gt;=3,"Promo","Regular")</f>
        <v>Regular</v>
      </c>
    </row>
    <row r="1223" spans="1:19" x14ac:dyDescent="0.35">
      <c r="A1223" t="s">
        <v>2158</v>
      </c>
      <c r="B1223" t="s">
        <v>1296</v>
      </c>
      <c r="C1223" s="1">
        <v>45397</v>
      </c>
      <c r="D1223" t="s">
        <v>48</v>
      </c>
      <c r="E1223" t="s">
        <v>127</v>
      </c>
      <c r="F1223" t="s">
        <v>72</v>
      </c>
      <c r="G1223" t="s">
        <v>36</v>
      </c>
      <c r="H1223" t="s">
        <v>50</v>
      </c>
      <c r="I1223" t="s">
        <v>20</v>
      </c>
      <c r="J1223">
        <v>2</v>
      </c>
      <c r="K1223">
        <v>186</v>
      </c>
      <c r="L1223">
        <v>372</v>
      </c>
      <c r="M1223">
        <v>23</v>
      </c>
      <c r="N1223" t="s">
        <v>21</v>
      </c>
      <c r="O1223">
        <v>4.4000000000000004</v>
      </c>
      <c r="P1223" s="2">
        <f>EOMONTH(Table1[[#This Row],[Order_Date]],0)</f>
        <v>45412</v>
      </c>
      <c r="Q1223" s="3">
        <f>WEEKNUM(Table1[[#This Row],[Order_Date]])</f>
        <v>16</v>
      </c>
      <c r="R1223">
        <f>YEAR(Table1[[#This Row],[Order_Date]])</f>
        <v>2024</v>
      </c>
      <c r="S1223" t="str">
        <f>IF(Table1[[#This Row],[Quantity]]&gt;=3,"Promo","Regular")</f>
        <v>Regular</v>
      </c>
    </row>
    <row r="1224" spans="1:19" x14ac:dyDescent="0.35">
      <c r="A1224" t="s">
        <v>2159</v>
      </c>
      <c r="B1224" t="s">
        <v>1297</v>
      </c>
      <c r="C1224" s="1">
        <v>45318</v>
      </c>
      <c r="D1224" t="s">
        <v>28</v>
      </c>
      <c r="E1224" t="s">
        <v>71</v>
      </c>
      <c r="F1224" t="s">
        <v>17</v>
      </c>
      <c r="G1224" t="s">
        <v>36</v>
      </c>
      <c r="H1224" t="s">
        <v>50</v>
      </c>
      <c r="I1224" t="s">
        <v>20</v>
      </c>
      <c r="J1224">
        <v>2</v>
      </c>
      <c r="K1224">
        <v>194</v>
      </c>
      <c r="L1224">
        <v>388</v>
      </c>
      <c r="M1224">
        <v>32</v>
      </c>
      <c r="N1224" t="s">
        <v>38</v>
      </c>
      <c r="O1224">
        <v>4.2</v>
      </c>
      <c r="P1224" s="2">
        <f>EOMONTH(Table1[[#This Row],[Order_Date]],0)</f>
        <v>45322</v>
      </c>
      <c r="Q1224" s="3">
        <f>WEEKNUM(Table1[[#This Row],[Order_Date]])</f>
        <v>4</v>
      </c>
      <c r="R1224">
        <f>YEAR(Table1[[#This Row],[Order_Date]])</f>
        <v>2024</v>
      </c>
      <c r="S1224" t="str">
        <f>IF(Table1[[#This Row],[Quantity]]&gt;=3,"Promo","Regular")</f>
        <v>Regular</v>
      </c>
    </row>
    <row r="1225" spans="1:19" x14ac:dyDescent="0.35">
      <c r="A1225" t="s">
        <v>2159</v>
      </c>
      <c r="B1225" t="s">
        <v>1298</v>
      </c>
      <c r="C1225" s="1">
        <v>45322</v>
      </c>
      <c r="D1225" t="s">
        <v>48</v>
      </c>
      <c r="E1225" t="s">
        <v>49</v>
      </c>
      <c r="F1225" t="s">
        <v>35</v>
      </c>
      <c r="G1225" t="s">
        <v>73</v>
      </c>
      <c r="H1225" t="s">
        <v>120</v>
      </c>
      <c r="I1225" t="s">
        <v>60</v>
      </c>
      <c r="J1225">
        <v>4</v>
      </c>
      <c r="K1225">
        <v>306</v>
      </c>
      <c r="L1225">
        <v>1224</v>
      </c>
      <c r="M1225">
        <v>50</v>
      </c>
      <c r="N1225" t="s">
        <v>21</v>
      </c>
      <c r="O1225">
        <v>4.7</v>
      </c>
      <c r="P1225" s="2">
        <f>EOMONTH(Table1[[#This Row],[Order_Date]],0)</f>
        <v>45322</v>
      </c>
      <c r="Q1225" s="3">
        <f>WEEKNUM(Table1[[#This Row],[Order_Date]])</f>
        <v>5</v>
      </c>
      <c r="R1225">
        <f>YEAR(Table1[[#This Row],[Order_Date]])</f>
        <v>2024</v>
      </c>
      <c r="S1225" t="str">
        <f>IF(Table1[[#This Row],[Quantity]]&gt;=3,"Promo","Regular")</f>
        <v>Promo</v>
      </c>
    </row>
    <row r="1226" spans="1:19" x14ac:dyDescent="0.35">
      <c r="A1226" t="s">
        <v>2159</v>
      </c>
      <c r="B1226" t="s">
        <v>1299</v>
      </c>
      <c r="C1226" s="1">
        <v>45460</v>
      </c>
      <c r="D1226" t="s">
        <v>43</v>
      </c>
      <c r="E1226" t="s">
        <v>44</v>
      </c>
      <c r="F1226" t="s">
        <v>65</v>
      </c>
      <c r="G1226" t="s">
        <v>36</v>
      </c>
      <c r="H1226" t="s">
        <v>55</v>
      </c>
      <c r="I1226" t="s">
        <v>20</v>
      </c>
      <c r="J1226">
        <v>5</v>
      </c>
      <c r="K1226">
        <v>305</v>
      </c>
      <c r="L1226">
        <v>1525</v>
      </c>
      <c r="M1226">
        <v>33</v>
      </c>
      <c r="N1226" t="s">
        <v>21</v>
      </c>
      <c r="O1226">
        <v>4.0999999999999996</v>
      </c>
      <c r="P1226" s="2">
        <f>EOMONTH(Table1[[#This Row],[Order_Date]],0)</f>
        <v>45473</v>
      </c>
      <c r="Q1226" s="3">
        <f>WEEKNUM(Table1[[#This Row],[Order_Date]])</f>
        <v>25</v>
      </c>
      <c r="R1226">
        <f>YEAR(Table1[[#This Row],[Order_Date]])</f>
        <v>2024</v>
      </c>
      <c r="S1226" t="str">
        <f>IF(Table1[[#This Row],[Quantity]]&gt;=3,"Promo","Regular")</f>
        <v>Promo</v>
      </c>
    </row>
    <row r="1227" spans="1:19" x14ac:dyDescent="0.35">
      <c r="A1227" t="s">
        <v>2159</v>
      </c>
      <c r="B1227" t="s">
        <v>1300</v>
      </c>
      <c r="C1227" s="1">
        <v>45317</v>
      </c>
      <c r="D1227" t="s">
        <v>15</v>
      </c>
      <c r="E1227" t="s">
        <v>23</v>
      </c>
      <c r="F1227" t="s">
        <v>24</v>
      </c>
      <c r="G1227" t="s">
        <v>25</v>
      </c>
      <c r="H1227" t="s">
        <v>53</v>
      </c>
      <c r="I1227" t="s">
        <v>20</v>
      </c>
      <c r="J1227">
        <v>2</v>
      </c>
      <c r="K1227">
        <v>119</v>
      </c>
      <c r="L1227">
        <v>238</v>
      </c>
      <c r="M1227">
        <v>33</v>
      </c>
      <c r="N1227" t="s">
        <v>21</v>
      </c>
      <c r="O1227">
        <v>4.0999999999999996</v>
      </c>
      <c r="P1227" s="2">
        <f>EOMONTH(Table1[[#This Row],[Order_Date]],0)</f>
        <v>45322</v>
      </c>
      <c r="Q1227" s="3">
        <f>WEEKNUM(Table1[[#This Row],[Order_Date]])</f>
        <v>4</v>
      </c>
      <c r="R1227">
        <f>YEAR(Table1[[#This Row],[Order_Date]])</f>
        <v>2024</v>
      </c>
      <c r="S1227" t="str">
        <f>IF(Table1[[#This Row],[Quantity]]&gt;=3,"Promo","Regular")</f>
        <v>Regular</v>
      </c>
    </row>
    <row r="1228" spans="1:19" x14ac:dyDescent="0.35">
      <c r="A1228" t="s">
        <v>2160</v>
      </c>
      <c r="B1228" t="s">
        <v>1301</v>
      </c>
      <c r="C1228" s="1">
        <v>45295</v>
      </c>
      <c r="D1228" t="s">
        <v>48</v>
      </c>
      <c r="E1228" t="s">
        <v>132</v>
      </c>
      <c r="F1228" t="s">
        <v>45</v>
      </c>
      <c r="G1228" t="s">
        <v>25</v>
      </c>
      <c r="H1228" t="s">
        <v>19</v>
      </c>
      <c r="I1228" t="s">
        <v>20</v>
      </c>
      <c r="J1228">
        <v>3</v>
      </c>
      <c r="K1228">
        <v>360</v>
      </c>
      <c r="L1228">
        <v>1080</v>
      </c>
      <c r="M1228">
        <v>53</v>
      </c>
      <c r="N1228" t="s">
        <v>21</v>
      </c>
      <c r="O1228">
        <v>4.5</v>
      </c>
      <c r="P1228" s="2">
        <f>EOMONTH(Table1[[#This Row],[Order_Date]],0)</f>
        <v>45322</v>
      </c>
      <c r="Q1228" s="3">
        <f>WEEKNUM(Table1[[#This Row],[Order_Date]])</f>
        <v>1</v>
      </c>
      <c r="R1228">
        <f>YEAR(Table1[[#This Row],[Order_Date]])</f>
        <v>2024</v>
      </c>
      <c r="S1228" t="str">
        <f>IF(Table1[[#This Row],[Quantity]]&gt;=3,"Promo","Regular")</f>
        <v>Promo</v>
      </c>
    </row>
    <row r="1229" spans="1:19" x14ac:dyDescent="0.35">
      <c r="A1229" t="s">
        <v>2160</v>
      </c>
      <c r="B1229" t="s">
        <v>1302</v>
      </c>
      <c r="C1229" s="1">
        <v>45386</v>
      </c>
      <c r="D1229" t="s">
        <v>57</v>
      </c>
      <c r="E1229" t="s">
        <v>62</v>
      </c>
      <c r="F1229" t="s">
        <v>35</v>
      </c>
      <c r="G1229" t="s">
        <v>25</v>
      </c>
      <c r="H1229" t="s">
        <v>55</v>
      </c>
      <c r="I1229" t="s">
        <v>20</v>
      </c>
      <c r="J1229">
        <v>4</v>
      </c>
      <c r="K1229">
        <v>188</v>
      </c>
      <c r="L1229">
        <v>752</v>
      </c>
      <c r="M1229">
        <v>50</v>
      </c>
      <c r="N1229" t="s">
        <v>33</v>
      </c>
      <c r="O1229">
        <v>3.6</v>
      </c>
      <c r="P1229" s="2">
        <f>EOMONTH(Table1[[#This Row],[Order_Date]],0)</f>
        <v>45412</v>
      </c>
      <c r="Q1229" s="3">
        <f>WEEKNUM(Table1[[#This Row],[Order_Date]])</f>
        <v>14</v>
      </c>
      <c r="R1229">
        <f>YEAR(Table1[[#This Row],[Order_Date]])</f>
        <v>2024</v>
      </c>
      <c r="S1229" t="str">
        <f>IF(Table1[[#This Row],[Quantity]]&gt;=3,"Promo","Regular")</f>
        <v>Promo</v>
      </c>
    </row>
    <row r="1230" spans="1:19" x14ac:dyDescent="0.35">
      <c r="A1230" t="s">
        <v>2161</v>
      </c>
      <c r="B1230" t="s">
        <v>1303</v>
      </c>
      <c r="C1230" s="1">
        <v>45564</v>
      </c>
      <c r="D1230" t="s">
        <v>43</v>
      </c>
      <c r="E1230" t="s">
        <v>82</v>
      </c>
      <c r="F1230" t="s">
        <v>45</v>
      </c>
      <c r="G1230" t="s">
        <v>18</v>
      </c>
      <c r="H1230" t="s">
        <v>26</v>
      </c>
      <c r="I1230" t="s">
        <v>20</v>
      </c>
      <c r="J1230">
        <v>3</v>
      </c>
      <c r="K1230">
        <v>256</v>
      </c>
      <c r="L1230">
        <v>768</v>
      </c>
      <c r="M1230">
        <v>23</v>
      </c>
      <c r="N1230" t="s">
        <v>38</v>
      </c>
      <c r="O1230">
        <v>5</v>
      </c>
      <c r="P1230" s="2">
        <f>EOMONTH(Table1[[#This Row],[Order_Date]],0)</f>
        <v>45565</v>
      </c>
      <c r="Q1230" s="3">
        <f>WEEKNUM(Table1[[#This Row],[Order_Date]])</f>
        <v>40</v>
      </c>
      <c r="R1230">
        <f>YEAR(Table1[[#This Row],[Order_Date]])</f>
        <v>2024</v>
      </c>
      <c r="S1230" t="str">
        <f>IF(Table1[[#This Row],[Quantity]]&gt;=3,"Promo","Regular")</f>
        <v>Promo</v>
      </c>
    </row>
    <row r="1231" spans="1:19" x14ac:dyDescent="0.35">
      <c r="A1231" t="s">
        <v>2161</v>
      </c>
      <c r="B1231" t="s">
        <v>1304</v>
      </c>
      <c r="C1231" s="1">
        <v>45385</v>
      </c>
      <c r="D1231" t="s">
        <v>28</v>
      </c>
      <c r="E1231" t="s">
        <v>77</v>
      </c>
      <c r="F1231" t="s">
        <v>24</v>
      </c>
      <c r="G1231" t="s">
        <v>31</v>
      </c>
      <c r="H1231" t="s">
        <v>66</v>
      </c>
      <c r="I1231" t="s">
        <v>20</v>
      </c>
      <c r="J1231">
        <v>5</v>
      </c>
      <c r="K1231">
        <v>442</v>
      </c>
      <c r="L1231">
        <v>2210</v>
      </c>
      <c r="M1231">
        <v>43</v>
      </c>
      <c r="N1231" t="s">
        <v>21</v>
      </c>
      <c r="O1231">
        <v>3.7</v>
      </c>
      <c r="P1231" s="2">
        <f>EOMONTH(Table1[[#This Row],[Order_Date]],0)</f>
        <v>45412</v>
      </c>
      <c r="Q1231" s="3">
        <f>WEEKNUM(Table1[[#This Row],[Order_Date]])</f>
        <v>14</v>
      </c>
      <c r="R1231">
        <f>YEAR(Table1[[#This Row],[Order_Date]])</f>
        <v>2024</v>
      </c>
      <c r="S1231" t="str">
        <f>IF(Table1[[#This Row],[Quantity]]&gt;=3,"Promo","Regular")</f>
        <v>Promo</v>
      </c>
    </row>
    <row r="1232" spans="1:19" x14ac:dyDescent="0.35">
      <c r="A1232" t="s">
        <v>2162</v>
      </c>
      <c r="B1232" t="s">
        <v>1305</v>
      </c>
      <c r="C1232" s="1">
        <v>45492</v>
      </c>
      <c r="D1232" t="s">
        <v>28</v>
      </c>
      <c r="E1232" t="s">
        <v>98</v>
      </c>
      <c r="F1232" t="s">
        <v>30</v>
      </c>
      <c r="G1232" t="s">
        <v>46</v>
      </c>
      <c r="H1232" t="s">
        <v>50</v>
      </c>
      <c r="I1232" t="s">
        <v>20</v>
      </c>
      <c r="J1232">
        <v>1</v>
      </c>
      <c r="K1232">
        <v>355</v>
      </c>
      <c r="L1232">
        <v>355</v>
      </c>
      <c r="M1232">
        <v>43</v>
      </c>
      <c r="N1232" t="s">
        <v>21</v>
      </c>
      <c r="O1232">
        <v>3.4</v>
      </c>
      <c r="P1232" s="2">
        <f>EOMONTH(Table1[[#This Row],[Order_Date]],0)</f>
        <v>45504</v>
      </c>
      <c r="Q1232" s="3">
        <f>WEEKNUM(Table1[[#This Row],[Order_Date]])</f>
        <v>29</v>
      </c>
      <c r="R1232">
        <f>YEAR(Table1[[#This Row],[Order_Date]])</f>
        <v>2024</v>
      </c>
      <c r="S1232" t="str">
        <f>IF(Table1[[#This Row],[Quantity]]&gt;=3,"Promo","Regular")</f>
        <v>Regular</v>
      </c>
    </row>
    <row r="1233" spans="1:19" x14ac:dyDescent="0.35">
      <c r="A1233" t="s">
        <v>2162</v>
      </c>
      <c r="B1233" t="s">
        <v>1306</v>
      </c>
      <c r="C1233" s="1">
        <v>45491</v>
      </c>
      <c r="D1233" t="s">
        <v>48</v>
      </c>
      <c r="E1233" t="s">
        <v>68</v>
      </c>
      <c r="F1233" t="s">
        <v>41</v>
      </c>
      <c r="G1233" t="s">
        <v>46</v>
      </c>
      <c r="H1233" t="s">
        <v>53</v>
      </c>
      <c r="I1233" t="s">
        <v>20</v>
      </c>
      <c r="J1233">
        <v>4</v>
      </c>
      <c r="K1233">
        <v>279</v>
      </c>
      <c r="L1233">
        <v>1116</v>
      </c>
      <c r="M1233">
        <v>22</v>
      </c>
      <c r="N1233" t="s">
        <v>21</v>
      </c>
      <c r="O1233">
        <v>3</v>
      </c>
      <c r="P1233" s="2">
        <f>EOMONTH(Table1[[#This Row],[Order_Date]],0)</f>
        <v>45504</v>
      </c>
      <c r="Q1233" s="3">
        <f>WEEKNUM(Table1[[#This Row],[Order_Date]])</f>
        <v>29</v>
      </c>
      <c r="R1233">
        <f>YEAR(Table1[[#This Row],[Order_Date]])</f>
        <v>2024</v>
      </c>
      <c r="S1233" t="str">
        <f>IF(Table1[[#This Row],[Quantity]]&gt;=3,"Promo","Regular")</f>
        <v>Promo</v>
      </c>
    </row>
    <row r="1234" spans="1:19" x14ac:dyDescent="0.35">
      <c r="A1234" t="s">
        <v>2162</v>
      </c>
      <c r="B1234" t="s">
        <v>1307</v>
      </c>
      <c r="C1234" s="1">
        <v>45306</v>
      </c>
      <c r="D1234" t="s">
        <v>57</v>
      </c>
      <c r="E1234" t="s">
        <v>62</v>
      </c>
      <c r="F1234" t="s">
        <v>17</v>
      </c>
      <c r="G1234" t="s">
        <v>73</v>
      </c>
      <c r="H1234" t="s">
        <v>50</v>
      </c>
      <c r="I1234" t="s">
        <v>20</v>
      </c>
      <c r="J1234">
        <v>2</v>
      </c>
      <c r="K1234">
        <v>173</v>
      </c>
      <c r="L1234">
        <v>346</v>
      </c>
      <c r="M1234">
        <v>21</v>
      </c>
      <c r="N1234" t="s">
        <v>33</v>
      </c>
      <c r="O1234">
        <v>3.9</v>
      </c>
      <c r="P1234" s="2">
        <f>EOMONTH(Table1[[#This Row],[Order_Date]],0)</f>
        <v>45322</v>
      </c>
      <c r="Q1234" s="3">
        <f>WEEKNUM(Table1[[#This Row],[Order_Date]])</f>
        <v>3</v>
      </c>
      <c r="R1234">
        <f>YEAR(Table1[[#This Row],[Order_Date]])</f>
        <v>2024</v>
      </c>
      <c r="S1234" t="str">
        <f>IF(Table1[[#This Row],[Quantity]]&gt;=3,"Promo","Regular")</f>
        <v>Regular</v>
      </c>
    </row>
    <row r="1235" spans="1:19" x14ac:dyDescent="0.35">
      <c r="A1235" t="s">
        <v>2163</v>
      </c>
      <c r="B1235" t="s">
        <v>1308</v>
      </c>
      <c r="C1235" s="1">
        <v>45370</v>
      </c>
      <c r="D1235" t="s">
        <v>28</v>
      </c>
      <c r="E1235" t="s">
        <v>29</v>
      </c>
      <c r="F1235" t="s">
        <v>45</v>
      </c>
      <c r="G1235" t="s">
        <v>46</v>
      </c>
      <c r="H1235" t="s">
        <v>66</v>
      </c>
      <c r="I1235" t="s">
        <v>20</v>
      </c>
      <c r="J1235">
        <v>4</v>
      </c>
      <c r="K1235">
        <v>159</v>
      </c>
      <c r="L1235">
        <v>636</v>
      </c>
      <c r="M1235">
        <v>31</v>
      </c>
      <c r="N1235" t="s">
        <v>38</v>
      </c>
      <c r="O1235">
        <v>3.1</v>
      </c>
      <c r="P1235" s="2">
        <f>EOMONTH(Table1[[#This Row],[Order_Date]],0)</f>
        <v>45382</v>
      </c>
      <c r="Q1235" s="3">
        <f>WEEKNUM(Table1[[#This Row],[Order_Date]])</f>
        <v>12</v>
      </c>
      <c r="R1235">
        <f>YEAR(Table1[[#This Row],[Order_Date]])</f>
        <v>2024</v>
      </c>
      <c r="S1235" t="str">
        <f>IF(Table1[[#This Row],[Quantity]]&gt;=3,"Promo","Regular")</f>
        <v>Promo</v>
      </c>
    </row>
    <row r="1236" spans="1:19" x14ac:dyDescent="0.35">
      <c r="A1236" t="s">
        <v>2163</v>
      </c>
      <c r="B1236" t="s">
        <v>1309</v>
      </c>
      <c r="C1236" s="1">
        <v>45426</v>
      </c>
      <c r="D1236" t="s">
        <v>57</v>
      </c>
      <c r="E1236" t="s">
        <v>105</v>
      </c>
      <c r="F1236" t="s">
        <v>69</v>
      </c>
      <c r="G1236" t="s">
        <v>46</v>
      </c>
      <c r="H1236" t="s">
        <v>55</v>
      </c>
      <c r="I1236" t="s">
        <v>20</v>
      </c>
      <c r="J1236">
        <v>2</v>
      </c>
      <c r="K1236">
        <v>316</v>
      </c>
      <c r="L1236">
        <v>632</v>
      </c>
      <c r="M1236">
        <v>43</v>
      </c>
      <c r="N1236" t="s">
        <v>33</v>
      </c>
      <c r="O1236">
        <v>5</v>
      </c>
      <c r="P1236" s="2">
        <f>EOMONTH(Table1[[#This Row],[Order_Date]],0)</f>
        <v>45443</v>
      </c>
      <c r="Q1236" s="3">
        <f>WEEKNUM(Table1[[#This Row],[Order_Date]])</f>
        <v>20</v>
      </c>
      <c r="R1236">
        <f>YEAR(Table1[[#This Row],[Order_Date]])</f>
        <v>2024</v>
      </c>
      <c r="S1236" t="str">
        <f>IF(Table1[[#This Row],[Quantity]]&gt;=3,"Promo","Regular")</f>
        <v>Regular</v>
      </c>
    </row>
    <row r="1237" spans="1:19" x14ac:dyDescent="0.35">
      <c r="A1237" t="s">
        <v>2164</v>
      </c>
      <c r="B1237" t="s">
        <v>1310</v>
      </c>
      <c r="C1237" s="1">
        <v>45511</v>
      </c>
      <c r="D1237" t="s">
        <v>43</v>
      </c>
      <c r="E1237" t="s">
        <v>82</v>
      </c>
      <c r="F1237" t="s">
        <v>24</v>
      </c>
      <c r="G1237" t="s">
        <v>31</v>
      </c>
      <c r="H1237" t="s">
        <v>66</v>
      </c>
      <c r="I1237" t="s">
        <v>20</v>
      </c>
      <c r="J1237">
        <v>3</v>
      </c>
      <c r="K1237">
        <v>270</v>
      </c>
      <c r="L1237">
        <v>810</v>
      </c>
      <c r="M1237">
        <v>42</v>
      </c>
      <c r="N1237" t="s">
        <v>33</v>
      </c>
      <c r="O1237">
        <v>4.4000000000000004</v>
      </c>
      <c r="P1237" s="2">
        <f>EOMONTH(Table1[[#This Row],[Order_Date]],0)</f>
        <v>45535</v>
      </c>
      <c r="Q1237" s="3">
        <f>WEEKNUM(Table1[[#This Row],[Order_Date]])</f>
        <v>32</v>
      </c>
      <c r="R1237">
        <f>YEAR(Table1[[#This Row],[Order_Date]])</f>
        <v>2024</v>
      </c>
      <c r="S1237" t="str">
        <f>IF(Table1[[#This Row],[Quantity]]&gt;=3,"Promo","Regular")</f>
        <v>Promo</v>
      </c>
    </row>
    <row r="1238" spans="1:19" x14ac:dyDescent="0.35">
      <c r="A1238" t="s">
        <v>2164</v>
      </c>
      <c r="B1238" t="s">
        <v>1311</v>
      </c>
      <c r="C1238" s="1">
        <v>45295</v>
      </c>
      <c r="D1238" t="s">
        <v>28</v>
      </c>
      <c r="E1238" t="s">
        <v>71</v>
      </c>
      <c r="F1238" t="s">
        <v>72</v>
      </c>
      <c r="G1238" t="s">
        <v>36</v>
      </c>
      <c r="H1238" t="s">
        <v>37</v>
      </c>
      <c r="I1238" t="s">
        <v>20</v>
      </c>
      <c r="J1238">
        <v>4</v>
      </c>
      <c r="K1238">
        <v>434</v>
      </c>
      <c r="L1238">
        <v>1736</v>
      </c>
      <c r="M1238">
        <v>36</v>
      </c>
      <c r="N1238" t="s">
        <v>33</v>
      </c>
      <c r="O1238">
        <v>4</v>
      </c>
      <c r="P1238" s="2">
        <f>EOMONTH(Table1[[#This Row],[Order_Date]],0)</f>
        <v>45322</v>
      </c>
      <c r="Q1238" s="3">
        <f>WEEKNUM(Table1[[#This Row],[Order_Date]])</f>
        <v>1</v>
      </c>
      <c r="R1238">
        <f>YEAR(Table1[[#This Row],[Order_Date]])</f>
        <v>2024</v>
      </c>
      <c r="S1238" t="str">
        <f>IF(Table1[[#This Row],[Quantity]]&gt;=3,"Promo","Regular")</f>
        <v>Promo</v>
      </c>
    </row>
    <row r="1239" spans="1:19" x14ac:dyDescent="0.35">
      <c r="A1239" t="s">
        <v>2164</v>
      </c>
      <c r="B1239" t="s">
        <v>1312</v>
      </c>
      <c r="C1239" s="1">
        <v>45590</v>
      </c>
      <c r="D1239" t="s">
        <v>43</v>
      </c>
      <c r="E1239" t="s">
        <v>52</v>
      </c>
      <c r="F1239" t="s">
        <v>24</v>
      </c>
      <c r="G1239" t="s">
        <v>31</v>
      </c>
      <c r="H1239" t="s">
        <v>66</v>
      </c>
      <c r="I1239" t="s">
        <v>20</v>
      </c>
      <c r="J1239">
        <v>3</v>
      </c>
      <c r="K1239">
        <v>104</v>
      </c>
      <c r="L1239">
        <v>312</v>
      </c>
      <c r="M1239">
        <v>42</v>
      </c>
      <c r="N1239" t="s">
        <v>21</v>
      </c>
      <c r="O1239">
        <v>3.5</v>
      </c>
      <c r="P1239" s="2">
        <f>EOMONTH(Table1[[#This Row],[Order_Date]],0)</f>
        <v>45596</v>
      </c>
      <c r="Q1239" s="3">
        <f>WEEKNUM(Table1[[#This Row],[Order_Date]])</f>
        <v>43</v>
      </c>
      <c r="R1239">
        <f>YEAR(Table1[[#This Row],[Order_Date]])</f>
        <v>2024</v>
      </c>
      <c r="S1239" t="str">
        <f>IF(Table1[[#This Row],[Quantity]]&gt;=3,"Promo","Regular")</f>
        <v>Promo</v>
      </c>
    </row>
    <row r="1240" spans="1:19" x14ac:dyDescent="0.35">
      <c r="A1240" t="s">
        <v>2165</v>
      </c>
      <c r="B1240" t="s">
        <v>1313</v>
      </c>
      <c r="C1240" s="1">
        <v>45556</v>
      </c>
      <c r="D1240" t="s">
        <v>28</v>
      </c>
      <c r="E1240" t="s">
        <v>40</v>
      </c>
      <c r="F1240" t="s">
        <v>72</v>
      </c>
      <c r="G1240" t="s">
        <v>25</v>
      </c>
      <c r="H1240" t="s">
        <v>32</v>
      </c>
      <c r="I1240" t="s">
        <v>20</v>
      </c>
      <c r="J1240">
        <v>3</v>
      </c>
      <c r="K1240">
        <v>187</v>
      </c>
      <c r="L1240">
        <v>561</v>
      </c>
      <c r="M1240">
        <v>25</v>
      </c>
      <c r="N1240" t="s">
        <v>33</v>
      </c>
      <c r="O1240">
        <v>3.1</v>
      </c>
      <c r="P1240" s="2">
        <f>EOMONTH(Table1[[#This Row],[Order_Date]],0)</f>
        <v>45565</v>
      </c>
      <c r="Q1240" s="3">
        <f>WEEKNUM(Table1[[#This Row],[Order_Date]])</f>
        <v>38</v>
      </c>
      <c r="R1240">
        <f>YEAR(Table1[[#This Row],[Order_Date]])</f>
        <v>2024</v>
      </c>
      <c r="S1240" t="str">
        <f>IF(Table1[[#This Row],[Quantity]]&gt;=3,"Promo","Regular")</f>
        <v>Promo</v>
      </c>
    </row>
    <row r="1241" spans="1:19" x14ac:dyDescent="0.35">
      <c r="A1241" t="s">
        <v>2165</v>
      </c>
      <c r="B1241" t="s">
        <v>1314</v>
      </c>
      <c r="C1241" s="1">
        <v>45517</v>
      </c>
      <c r="D1241" t="s">
        <v>28</v>
      </c>
      <c r="E1241" t="s">
        <v>40</v>
      </c>
      <c r="F1241" t="s">
        <v>41</v>
      </c>
      <c r="G1241" t="s">
        <v>36</v>
      </c>
      <c r="H1241" t="s">
        <v>26</v>
      </c>
      <c r="I1241" t="s">
        <v>20</v>
      </c>
      <c r="J1241">
        <v>2</v>
      </c>
      <c r="K1241">
        <v>254</v>
      </c>
      <c r="L1241">
        <v>508</v>
      </c>
      <c r="M1241">
        <v>36</v>
      </c>
      <c r="N1241" t="s">
        <v>21</v>
      </c>
      <c r="O1241">
        <v>3.9</v>
      </c>
      <c r="P1241" s="2">
        <f>EOMONTH(Table1[[#This Row],[Order_Date]],0)</f>
        <v>45535</v>
      </c>
      <c r="Q1241" s="3">
        <f>WEEKNUM(Table1[[#This Row],[Order_Date]])</f>
        <v>33</v>
      </c>
      <c r="R1241">
        <f>YEAR(Table1[[#This Row],[Order_Date]])</f>
        <v>2024</v>
      </c>
      <c r="S1241" t="str">
        <f>IF(Table1[[#This Row],[Quantity]]&gt;=3,"Promo","Regular")</f>
        <v>Regular</v>
      </c>
    </row>
    <row r="1242" spans="1:19" x14ac:dyDescent="0.35">
      <c r="A1242" t="s">
        <v>2165</v>
      </c>
      <c r="B1242" t="s">
        <v>1315</v>
      </c>
      <c r="C1242" s="1">
        <v>45490</v>
      </c>
      <c r="D1242" t="s">
        <v>43</v>
      </c>
      <c r="E1242" t="s">
        <v>82</v>
      </c>
      <c r="F1242" t="s">
        <v>65</v>
      </c>
      <c r="G1242" t="s">
        <v>18</v>
      </c>
      <c r="H1242" t="s">
        <v>26</v>
      </c>
      <c r="I1242" t="s">
        <v>20</v>
      </c>
      <c r="J1242">
        <v>3</v>
      </c>
      <c r="K1242">
        <v>165</v>
      </c>
      <c r="L1242">
        <v>495</v>
      </c>
      <c r="M1242">
        <v>37</v>
      </c>
      <c r="N1242" t="s">
        <v>38</v>
      </c>
      <c r="O1242">
        <v>3.9</v>
      </c>
      <c r="P1242" s="2">
        <f>EOMONTH(Table1[[#This Row],[Order_Date]],0)</f>
        <v>45504</v>
      </c>
      <c r="Q1242" s="3">
        <f>WEEKNUM(Table1[[#This Row],[Order_Date]])</f>
        <v>29</v>
      </c>
      <c r="R1242">
        <f>YEAR(Table1[[#This Row],[Order_Date]])</f>
        <v>2024</v>
      </c>
      <c r="S1242" t="str">
        <f>IF(Table1[[#This Row],[Quantity]]&gt;=3,"Promo","Regular")</f>
        <v>Promo</v>
      </c>
    </row>
    <row r="1243" spans="1:19" x14ac:dyDescent="0.35">
      <c r="A1243" t="s">
        <v>2165</v>
      </c>
      <c r="B1243" t="s">
        <v>1316</v>
      </c>
      <c r="C1243" s="1">
        <v>45464</v>
      </c>
      <c r="D1243" t="s">
        <v>28</v>
      </c>
      <c r="E1243" t="s">
        <v>98</v>
      </c>
      <c r="F1243" t="s">
        <v>41</v>
      </c>
      <c r="G1243" t="s">
        <v>31</v>
      </c>
      <c r="H1243" t="s">
        <v>59</v>
      </c>
      <c r="I1243" t="s">
        <v>60</v>
      </c>
      <c r="J1243">
        <v>3</v>
      </c>
      <c r="K1243">
        <v>177</v>
      </c>
      <c r="L1243">
        <v>531</v>
      </c>
      <c r="M1243">
        <v>27</v>
      </c>
      <c r="N1243" t="s">
        <v>33</v>
      </c>
      <c r="O1243">
        <v>3.1</v>
      </c>
      <c r="P1243" s="2">
        <f>EOMONTH(Table1[[#This Row],[Order_Date]],0)</f>
        <v>45473</v>
      </c>
      <c r="Q1243" s="3">
        <f>WEEKNUM(Table1[[#This Row],[Order_Date]])</f>
        <v>25</v>
      </c>
      <c r="R1243">
        <f>YEAR(Table1[[#This Row],[Order_Date]])</f>
        <v>2024</v>
      </c>
      <c r="S1243" t="str">
        <f>IF(Table1[[#This Row],[Quantity]]&gt;=3,"Promo","Regular")</f>
        <v>Promo</v>
      </c>
    </row>
    <row r="1244" spans="1:19" x14ac:dyDescent="0.35">
      <c r="A1244" t="s">
        <v>2165</v>
      </c>
      <c r="B1244" t="s">
        <v>1317</v>
      </c>
      <c r="C1244" s="1">
        <v>45353</v>
      </c>
      <c r="D1244" t="s">
        <v>15</v>
      </c>
      <c r="E1244" t="s">
        <v>95</v>
      </c>
      <c r="F1244" t="s">
        <v>24</v>
      </c>
      <c r="G1244" t="s">
        <v>73</v>
      </c>
      <c r="H1244" t="s">
        <v>59</v>
      </c>
      <c r="I1244" t="s">
        <v>60</v>
      </c>
      <c r="J1244">
        <v>3</v>
      </c>
      <c r="K1244">
        <v>357</v>
      </c>
      <c r="L1244">
        <v>1071</v>
      </c>
      <c r="M1244">
        <v>36</v>
      </c>
      <c r="N1244" t="s">
        <v>33</v>
      </c>
      <c r="O1244">
        <v>3.4</v>
      </c>
      <c r="P1244" s="2">
        <f>EOMONTH(Table1[[#This Row],[Order_Date]],0)</f>
        <v>45382</v>
      </c>
      <c r="Q1244" s="3">
        <f>WEEKNUM(Table1[[#This Row],[Order_Date]])</f>
        <v>9</v>
      </c>
      <c r="R1244">
        <f>YEAR(Table1[[#This Row],[Order_Date]])</f>
        <v>2024</v>
      </c>
      <c r="S1244" t="str">
        <f>IF(Table1[[#This Row],[Quantity]]&gt;=3,"Promo","Regular")</f>
        <v>Promo</v>
      </c>
    </row>
    <row r="1245" spans="1:19" x14ac:dyDescent="0.35">
      <c r="A1245" t="s">
        <v>2166</v>
      </c>
      <c r="B1245" t="s">
        <v>1318</v>
      </c>
      <c r="C1245" s="1">
        <v>45441</v>
      </c>
      <c r="D1245" t="s">
        <v>15</v>
      </c>
      <c r="E1245" t="s">
        <v>103</v>
      </c>
      <c r="F1245" t="s">
        <v>41</v>
      </c>
      <c r="G1245" t="s">
        <v>18</v>
      </c>
      <c r="H1245" t="s">
        <v>120</v>
      </c>
      <c r="I1245" t="s">
        <v>60</v>
      </c>
      <c r="J1245">
        <v>4</v>
      </c>
      <c r="K1245">
        <v>372</v>
      </c>
      <c r="L1245">
        <v>1488</v>
      </c>
      <c r="M1245">
        <v>45</v>
      </c>
      <c r="N1245" t="s">
        <v>38</v>
      </c>
      <c r="O1245">
        <v>3.2</v>
      </c>
      <c r="P1245" s="2">
        <f>EOMONTH(Table1[[#This Row],[Order_Date]],0)</f>
        <v>45443</v>
      </c>
      <c r="Q1245" s="3">
        <f>WEEKNUM(Table1[[#This Row],[Order_Date]])</f>
        <v>22</v>
      </c>
      <c r="R1245">
        <f>YEAR(Table1[[#This Row],[Order_Date]])</f>
        <v>2024</v>
      </c>
      <c r="S1245" t="str">
        <f>IF(Table1[[#This Row],[Quantity]]&gt;=3,"Promo","Regular")</f>
        <v>Promo</v>
      </c>
    </row>
    <row r="1246" spans="1:19" x14ac:dyDescent="0.35">
      <c r="A1246" t="s">
        <v>2166</v>
      </c>
      <c r="B1246" t="s">
        <v>1319</v>
      </c>
      <c r="C1246" s="1">
        <v>45553</v>
      </c>
      <c r="D1246" t="s">
        <v>15</v>
      </c>
      <c r="E1246" t="s">
        <v>103</v>
      </c>
      <c r="F1246" t="s">
        <v>69</v>
      </c>
      <c r="G1246" t="s">
        <v>46</v>
      </c>
      <c r="H1246" t="s">
        <v>53</v>
      </c>
      <c r="I1246" t="s">
        <v>20</v>
      </c>
      <c r="J1246">
        <v>4</v>
      </c>
      <c r="K1246">
        <v>364</v>
      </c>
      <c r="L1246">
        <v>1456</v>
      </c>
      <c r="M1246">
        <v>36</v>
      </c>
      <c r="N1246" t="s">
        <v>38</v>
      </c>
      <c r="O1246">
        <v>3.8</v>
      </c>
      <c r="P1246" s="2">
        <f>EOMONTH(Table1[[#This Row],[Order_Date]],0)</f>
        <v>45565</v>
      </c>
      <c r="Q1246" s="3">
        <f>WEEKNUM(Table1[[#This Row],[Order_Date]])</f>
        <v>38</v>
      </c>
      <c r="R1246">
        <f>YEAR(Table1[[#This Row],[Order_Date]])</f>
        <v>2024</v>
      </c>
      <c r="S1246" t="str">
        <f>IF(Table1[[#This Row],[Quantity]]&gt;=3,"Promo","Regular")</f>
        <v>Promo</v>
      </c>
    </row>
    <row r="1247" spans="1:19" x14ac:dyDescent="0.35">
      <c r="A1247" t="s">
        <v>2166</v>
      </c>
      <c r="B1247" t="s">
        <v>1320</v>
      </c>
      <c r="C1247" s="1">
        <v>45392</v>
      </c>
      <c r="D1247" t="s">
        <v>48</v>
      </c>
      <c r="E1247" t="s">
        <v>68</v>
      </c>
      <c r="F1247" t="s">
        <v>30</v>
      </c>
      <c r="G1247" t="s">
        <v>73</v>
      </c>
      <c r="H1247" t="s">
        <v>59</v>
      </c>
      <c r="I1247" t="s">
        <v>60</v>
      </c>
      <c r="J1247">
        <v>2</v>
      </c>
      <c r="K1247">
        <v>380</v>
      </c>
      <c r="L1247">
        <v>760</v>
      </c>
      <c r="M1247">
        <v>44</v>
      </c>
      <c r="N1247" t="s">
        <v>38</v>
      </c>
      <c r="O1247">
        <v>4.5</v>
      </c>
      <c r="P1247" s="2">
        <f>EOMONTH(Table1[[#This Row],[Order_Date]],0)</f>
        <v>45412</v>
      </c>
      <c r="Q1247" s="3">
        <f>WEEKNUM(Table1[[#This Row],[Order_Date]])</f>
        <v>15</v>
      </c>
      <c r="R1247">
        <f>YEAR(Table1[[#This Row],[Order_Date]])</f>
        <v>2024</v>
      </c>
      <c r="S1247" t="str">
        <f>IF(Table1[[#This Row],[Quantity]]&gt;=3,"Promo","Regular")</f>
        <v>Regular</v>
      </c>
    </row>
    <row r="1248" spans="1:19" x14ac:dyDescent="0.35">
      <c r="A1248" t="s">
        <v>2167</v>
      </c>
      <c r="B1248" t="s">
        <v>1321</v>
      </c>
      <c r="C1248" s="1">
        <v>45537</v>
      </c>
      <c r="D1248" t="s">
        <v>15</v>
      </c>
      <c r="E1248" t="s">
        <v>103</v>
      </c>
      <c r="F1248" t="s">
        <v>65</v>
      </c>
      <c r="G1248" t="s">
        <v>18</v>
      </c>
      <c r="H1248" t="s">
        <v>120</v>
      </c>
      <c r="I1248" t="s">
        <v>60</v>
      </c>
      <c r="J1248">
        <v>2</v>
      </c>
      <c r="K1248">
        <v>316</v>
      </c>
      <c r="L1248">
        <v>632</v>
      </c>
      <c r="M1248">
        <v>41</v>
      </c>
      <c r="N1248" t="s">
        <v>33</v>
      </c>
      <c r="O1248">
        <v>4.0999999999999996</v>
      </c>
      <c r="P1248" s="2">
        <f>EOMONTH(Table1[[#This Row],[Order_Date]],0)</f>
        <v>45565</v>
      </c>
      <c r="Q1248" s="3">
        <f>WEEKNUM(Table1[[#This Row],[Order_Date]])</f>
        <v>36</v>
      </c>
      <c r="R1248">
        <f>YEAR(Table1[[#This Row],[Order_Date]])</f>
        <v>2024</v>
      </c>
      <c r="S1248" t="str">
        <f>IF(Table1[[#This Row],[Quantity]]&gt;=3,"Promo","Regular")</f>
        <v>Regular</v>
      </c>
    </row>
    <row r="1249" spans="1:19" x14ac:dyDescent="0.35">
      <c r="A1249" t="s">
        <v>2167</v>
      </c>
      <c r="B1249" t="s">
        <v>1322</v>
      </c>
      <c r="C1249" s="1">
        <v>45363</v>
      </c>
      <c r="D1249" t="s">
        <v>15</v>
      </c>
      <c r="E1249" t="s">
        <v>23</v>
      </c>
      <c r="F1249" t="s">
        <v>17</v>
      </c>
      <c r="G1249" t="s">
        <v>46</v>
      </c>
      <c r="H1249" t="s">
        <v>50</v>
      </c>
      <c r="I1249" t="s">
        <v>20</v>
      </c>
      <c r="J1249">
        <v>3</v>
      </c>
      <c r="K1249">
        <v>344</v>
      </c>
      <c r="L1249">
        <v>1032</v>
      </c>
      <c r="M1249">
        <v>36</v>
      </c>
      <c r="N1249" t="s">
        <v>21</v>
      </c>
      <c r="O1249">
        <v>4.7</v>
      </c>
      <c r="P1249" s="2">
        <f>EOMONTH(Table1[[#This Row],[Order_Date]],0)</f>
        <v>45382</v>
      </c>
      <c r="Q1249" s="3">
        <f>WEEKNUM(Table1[[#This Row],[Order_Date]])</f>
        <v>11</v>
      </c>
      <c r="R1249">
        <f>YEAR(Table1[[#This Row],[Order_Date]])</f>
        <v>2024</v>
      </c>
      <c r="S1249" t="str">
        <f>IF(Table1[[#This Row],[Quantity]]&gt;=3,"Promo","Regular")</f>
        <v>Promo</v>
      </c>
    </row>
    <row r="1250" spans="1:19" x14ac:dyDescent="0.35">
      <c r="A1250" t="s">
        <v>2168</v>
      </c>
      <c r="B1250" t="s">
        <v>1323</v>
      </c>
      <c r="C1250" s="1">
        <v>45536</v>
      </c>
      <c r="D1250" t="s">
        <v>43</v>
      </c>
      <c r="E1250" t="s">
        <v>52</v>
      </c>
      <c r="F1250" t="s">
        <v>65</v>
      </c>
      <c r="G1250" t="s">
        <v>73</v>
      </c>
      <c r="H1250" t="s">
        <v>53</v>
      </c>
      <c r="I1250" t="s">
        <v>20</v>
      </c>
      <c r="J1250">
        <v>3</v>
      </c>
      <c r="K1250">
        <v>244</v>
      </c>
      <c r="L1250">
        <v>732</v>
      </c>
      <c r="M1250">
        <v>20</v>
      </c>
      <c r="N1250" t="s">
        <v>21</v>
      </c>
      <c r="O1250">
        <v>3.3</v>
      </c>
      <c r="P1250" s="2">
        <f>EOMONTH(Table1[[#This Row],[Order_Date]],0)</f>
        <v>45565</v>
      </c>
      <c r="Q1250" s="3">
        <f>WEEKNUM(Table1[[#This Row],[Order_Date]])</f>
        <v>36</v>
      </c>
      <c r="R1250">
        <f>YEAR(Table1[[#This Row],[Order_Date]])</f>
        <v>2024</v>
      </c>
      <c r="S1250" t="str">
        <f>IF(Table1[[#This Row],[Quantity]]&gt;=3,"Promo","Regular")</f>
        <v>Promo</v>
      </c>
    </row>
    <row r="1251" spans="1:19" x14ac:dyDescent="0.35">
      <c r="A1251" t="s">
        <v>2168</v>
      </c>
      <c r="B1251" t="s">
        <v>1324</v>
      </c>
      <c r="C1251" s="1">
        <v>45490</v>
      </c>
      <c r="D1251" t="s">
        <v>15</v>
      </c>
      <c r="E1251" t="s">
        <v>103</v>
      </c>
      <c r="F1251" t="s">
        <v>69</v>
      </c>
      <c r="G1251" t="s">
        <v>18</v>
      </c>
      <c r="H1251" t="s">
        <v>19</v>
      </c>
      <c r="I1251" t="s">
        <v>20</v>
      </c>
      <c r="J1251">
        <v>4</v>
      </c>
      <c r="K1251">
        <v>336</v>
      </c>
      <c r="L1251">
        <v>1344</v>
      </c>
      <c r="M1251">
        <v>28</v>
      </c>
      <c r="N1251" t="s">
        <v>33</v>
      </c>
      <c r="O1251">
        <v>4.4000000000000004</v>
      </c>
      <c r="P1251" s="2">
        <f>EOMONTH(Table1[[#This Row],[Order_Date]],0)</f>
        <v>45504</v>
      </c>
      <c r="Q1251" s="3">
        <f>WEEKNUM(Table1[[#This Row],[Order_Date]])</f>
        <v>29</v>
      </c>
      <c r="R1251">
        <f>YEAR(Table1[[#This Row],[Order_Date]])</f>
        <v>2024</v>
      </c>
      <c r="S1251" t="str">
        <f>IF(Table1[[#This Row],[Quantity]]&gt;=3,"Promo","Regular")</f>
        <v>Promo</v>
      </c>
    </row>
    <row r="1252" spans="1:19" x14ac:dyDescent="0.35">
      <c r="A1252" t="s">
        <v>2168</v>
      </c>
      <c r="B1252" t="s">
        <v>1325</v>
      </c>
      <c r="C1252" s="1">
        <v>45502</v>
      </c>
      <c r="D1252" t="s">
        <v>48</v>
      </c>
      <c r="E1252" t="s">
        <v>64</v>
      </c>
      <c r="F1252" t="s">
        <v>85</v>
      </c>
      <c r="G1252" t="s">
        <v>36</v>
      </c>
      <c r="H1252" t="s">
        <v>120</v>
      </c>
      <c r="I1252" t="s">
        <v>60</v>
      </c>
      <c r="J1252">
        <v>3</v>
      </c>
      <c r="K1252">
        <v>259</v>
      </c>
      <c r="L1252">
        <v>777</v>
      </c>
      <c r="M1252">
        <v>50</v>
      </c>
      <c r="N1252" t="s">
        <v>21</v>
      </c>
      <c r="O1252">
        <v>4.2</v>
      </c>
      <c r="P1252" s="2">
        <f>EOMONTH(Table1[[#This Row],[Order_Date]],0)</f>
        <v>45504</v>
      </c>
      <c r="Q1252" s="3">
        <f>WEEKNUM(Table1[[#This Row],[Order_Date]])</f>
        <v>31</v>
      </c>
      <c r="R1252">
        <f>YEAR(Table1[[#This Row],[Order_Date]])</f>
        <v>2024</v>
      </c>
      <c r="S1252" t="str">
        <f>IF(Table1[[#This Row],[Quantity]]&gt;=3,"Promo","Regular")</f>
        <v>Promo</v>
      </c>
    </row>
    <row r="1253" spans="1:19" x14ac:dyDescent="0.35">
      <c r="A1253" t="s">
        <v>2168</v>
      </c>
      <c r="B1253" t="s">
        <v>1326</v>
      </c>
      <c r="C1253" s="1">
        <v>45466</v>
      </c>
      <c r="D1253" t="s">
        <v>15</v>
      </c>
      <c r="E1253" t="s">
        <v>95</v>
      </c>
      <c r="F1253" t="s">
        <v>65</v>
      </c>
      <c r="G1253" t="s">
        <v>46</v>
      </c>
      <c r="H1253" t="s">
        <v>50</v>
      </c>
      <c r="I1253" t="s">
        <v>20</v>
      </c>
      <c r="J1253">
        <v>3</v>
      </c>
      <c r="K1253">
        <v>113</v>
      </c>
      <c r="L1253">
        <v>339</v>
      </c>
      <c r="M1253">
        <v>48</v>
      </c>
      <c r="N1253" t="s">
        <v>33</v>
      </c>
      <c r="O1253">
        <v>4.7</v>
      </c>
      <c r="P1253" s="2">
        <f>EOMONTH(Table1[[#This Row],[Order_Date]],0)</f>
        <v>45473</v>
      </c>
      <c r="Q1253" s="3">
        <f>WEEKNUM(Table1[[#This Row],[Order_Date]])</f>
        <v>26</v>
      </c>
      <c r="R1253">
        <f>YEAR(Table1[[#This Row],[Order_Date]])</f>
        <v>2024</v>
      </c>
      <c r="S1253" t="str">
        <f>IF(Table1[[#This Row],[Quantity]]&gt;=3,"Promo","Regular")</f>
        <v>Promo</v>
      </c>
    </row>
    <row r="1254" spans="1:19" x14ac:dyDescent="0.35">
      <c r="A1254" t="s">
        <v>2169</v>
      </c>
      <c r="B1254" t="s">
        <v>1327</v>
      </c>
      <c r="C1254" s="1">
        <v>45519</v>
      </c>
      <c r="D1254" t="s">
        <v>48</v>
      </c>
      <c r="E1254" t="s">
        <v>132</v>
      </c>
      <c r="F1254" t="s">
        <v>85</v>
      </c>
      <c r="G1254" t="s">
        <v>25</v>
      </c>
      <c r="H1254" t="s">
        <v>66</v>
      </c>
      <c r="I1254" t="s">
        <v>20</v>
      </c>
      <c r="J1254">
        <v>1</v>
      </c>
      <c r="K1254">
        <v>471</v>
      </c>
      <c r="L1254">
        <v>471</v>
      </c>
      <c r="M1254">
        <v>27</v>
      </c>
      <c r="N1254" t="s">
        <v>21</v>
      </c>
      <c r="O1254">
        <v>4.0999999999999996</v>
      </c>
      <c r="P1254" s="2">
        <f>EOMONTH(Table1[[#This Row],[Order_Date]],0)</f>
        <v>45535</v>
      </c>
      <c r="Q1254" s="3">
        <f>WEEKNUM(Table1[[#This Row],[Order_Date]])</f>
        <v>33</v>
      </c>
      <c r="R1254">
        <f>YEAR(Table1[[#This Row],[Order_Date]])</f>
        <v>2024</v>
      </c>
      <c r="S1254" t="str">
        <f>IF(Table1[[#This Row],[Quantity]]&gt;=3,"Promo","Regular")</f>
        <v>Regular</v>
      </c>
    </row>
    <row r="1255" spans="1:19" x14ac:dyDescent="0.35">
      <c r="A1255" t="s">
        <v>2169</v>
      </c>
      <c r="B1255" t="s">
        <v>1328</v>
      </c>
      <c r="C1255" s="1">
        <v>45549</v>
      </c>
      <c r="D1255" t="s">
        <v>48</v>
      </c>
      <c r="E1255" t="s">
        <v>49</v>
      </c>
      <c r="F1255" t="s">
        <v>85</v>
      </c>
      <c r="G1255" t="s">
        <v>46</v>
      </c>
      <c r="H1255" t="s">
        <v>37</v>
      </c>
      <c r="I1255" t="s">
        <v>20</v>
      </c>
      <c r="J1255">
        <v>1</v>
      </c>
      <c r="K1255">
        <v>272</v>
      </c>
      <c r="L1255">
        <v>272</v>
      </c>
      <c r="M1255">
        <v>32</v>
      </c>
      <c r="N1255" t="s">
        <v>21</v>
      </c>
      <c r="O1255">
        <v>4.0999999999999996</v>
      </c>
      <c r="P1255" s="2">
        <f>EOMONTH(Table1[[#This Row],[Order_Date]],0)</f>
        <v>45565</v>
      </c>
      <c r="Q1255" s="3">
        <f>WEEKNUM(Table1[[#This Row],[Order_Date]])</f>
        <v>37</v>
      </c>
      <c r="R1255">
        <f>YEAR(Table1[[#This Row],[Order_Date]])</f>
        <v>2024</v>
      </c>
      <c r="S1255" t="str">
        <f>IF(Table1[[#This Row],[Quantity]]&gt;=3,"Promo","Regular")</f>
        <v>Regular</v>
      </c>
    </row>
    <row r="1256" spans="1:19" x14ac:dyDescent="0.35">
      <c r="A1256" t="s">
        <v>2169</v>
      </c>
      <c r="B1256" t="s">
        <v>1329</v>
      </c>
      <c r="C1256" s="1">
        <v>45438</v>
      </c>
      <c r="D1256" t="s">
        <v>57</v>
      </c>
      <c r="E1256" t="s">
        <v>105</v>
      </c>
      <c r="F1256" t="s">
        <v>41</v>
      </c>
      <c r="G1256" t="s">
        <v>25</v>
      </c>
      <c r="H1256" t="s">
        <v>53</v>
      </c>
      <c r="I1256" t="s">
        <v>20</v>
      </c>
      <c r="J1256">
        <v>4</v>
      </c>
      <c r="K1256">
        <v>295</v>
      </c>
      <c r="L1256">
        <v>1180</v>
      </c>
      <c r="M1256">
        <v>56</v>
      </c>
      <c r="N1256" t="s">
        <v>33</v>
      </c>
      <c r="O1256">
        <v>4.5</v>
      </c>
      <c r="P1256" s="2">
        <f>EOMONTH(Table1[[#This Row],[Order_Date]],0)</f>
        <v>45443</v>
      </c>
      <c r="Q1256" s="3">
        <f>WEEKNUM(Table1[[#This Row],[Order_Date]])</f>
        <v>22</v>
      </c>
      <c r="R1256">
        <f>YEAR(Table1[[#This Row],[Order_Date]])</f>
        <v>2024</v>
      </c>
      <c r="S1256" t="str">
        <f>IF(Table1[[#This Row],[Quantity]]&gt;=3,"Promo","Regular")</f>
        <v>Promo</v>
      </c>
    </row>
    <row r="1257" spans="1:19" x14ac:dyDescent="0.35">
      <c r="A1257" t="s">
        <v>2169</v>
      </c>
      <c r="B1257" t="s">
        <v>1330</v>
      </c>
      <c r="C1257" s="1">
        <v>45343</v>
      </c>
      <c r="D1257" t="s">
        <v>28</v>
      </c>
      <c r="E1257" t="s">
        <v>98</v>
      </c>
      <c r="F1257" t="s">
        <v>35</v>
      </c>
      <c r="G1257" t="s">
        <v>18</v>
      </c>
      <c r="H1257" t="s">
        <v>50</v>
      </c>
      <c r="I1257" t="s">
        <v>20</v>
      </c>
      <c r="J1257">
        <v>1</v>
      </c>
      <c r="K1257">
        <v>141</v>
      </c>
      <c r="L1257">
        <v>141</v>
      </c>
      <c r="M1257">
        <v>31</v>
      </c>
      <c r="N1257" t="s">
        <v>38</v>
      </c>
      <c r="O1257">
        <v>3.6</v>
      </c>
      <c r="P1257" s="2">
        <f>EOMONTH(Table1[[#This Row],[Order_Date]],0)</f>
        <v>45351</v>
      </c>
      <c r="Q1257" s="3">
        <f>WEEKNUM(Table1[[#This Row],[Order_Date]])</f>
        <v>8</v>
      </c>
      <c r="R1257">
        <f>YEAR(Table1[[#This Row],[Order_Date]])</f>
        <v>2024</v>
      </c>
      <c r="S1257" t="str">
        <f>IF(Table1[[#This Row],[Quantity]]&gt;=3,"Promo","Regular")</f>
        <v>Regular</v>
      </c>
    </row>
    <row r="1258" spans="1:19" x14ac:dyDescent="0.35">
      <c r="A1258" t="s">
        <v>2169</v>
      </c>
      <c r="B1258" t="s">
        <v>1331</v>
      </c>
      <c r="C1258" s="1">
        <v>45388</v>
      </c>
      <c r="D1258" t="s">
        <v>43</v>
      </c>
      <c r="E1258" t="s">
        <v>44</v>
      </c>
      <c r="F1258" t="s">
        <v>85</v>
      </c>
      <c r="G1258" t="s">
        <v>36</v>
      </c>
      <c r="H1258" t="s">
        <v>66</v>
      </c>
      <c r="I1258" t="s">
        <v>20</v>
      </c>
      <c r="J1258">
        <v>3</v>
      </c>
      <c r="K1258">
        <v>171</v>
      </c>
      <c r="L1258">
        <v>513</v>
      </c>
      <c r="M1258">
        <v>37</v>
      </c>
      <c r="N1258" t="s">
        <v>38</v>
      </c>
      <c r="O1258">
        <v>5</v>
      </c>
      <c r="P1258" s="2">
        <f>EOMONTH(Table1[[#This Row],[Order_Date]],0)</f>
        <v>45412</v>
      </c>
      <c r="Q1258" s="3">
        <f>WEEKNUM(Table1[[#This Row],[Order_Date]])</f>
        <v>14</v>
      </c>
      <c r="R1258">
        <f>YEAR(Table1[[#This Row],[Order_Date]])</f>
        <v>2024</v>
      </c>
      <c r="S1258" t="str">
        <f>IF(Table1[[#This Row],[Quantity]]&gt;=3,"Promo","Regular")</f>
        <v>Promo</v>
      </c>
    </row>
    <row r="1259" spans="1:19" x14ac:dyDescent="0.35">
      <c r="A1259" t="s">
        <v>2170</v>
      </c>
      <c r="B1259" t="s">
        <v>1332</v>
      </c>
      <c r="C1259" s="1">
        <v>45476</v>
      </c>
      <c r="D1259" t="s">
        <v>15</v>
      </c>
      <c r="E1259" t="s">
        <v>103</v>
      </c>
      <c r="F1259" t="s">
        <v>17</v>
      </c>
      <c r="G1259" t="s">
        <v>18</v>
      </c>
      <c r="H1259" t="s">
        <v>59</v>
      </c>
      <c r="I1259" t="s">
        <v>60</v>
      </c>
      <c r="J1259">
        <v>5</v>
      </c>
      <c r="K1259">
        <v>449</v>
      </c>
      <c r="L1259">
        <v>2245</v>
      </c>
      <c r="M1259">
        <v>51</v>
      </c>
      <c r="N1259" t="s">
        <v>38</v>
      </c>
      <c r="O1259">
        <v>3.7</v>
      </c>
      <c r="P1259" s="2">
        <f>EOMONTH(Table1[[#This Row],[Order_Date]],0)</f>
        <v>45504</v>
      </c>
      <c r="Q1259" s="3">
        <f>WEEKNUM(Table1[[#This Row],[Order_Date]])</f>
        <v>27</v>
      </c>
      <c r="R1259">
        <f>YEAR(Table1[[#This Row],[Order_Date]])</f>
        <v>2024</v>
      </c>
      <c r="S1259" t="str">
        <f>IF(Table1[[#This Row],[Quantity]]&gt;=3,"Promo","Regular")</f>
        <v>Promo</v>
      </c>
    </row>
    <row r="1260" spans="1:19" x14ac:dyDescent="0.35">
      <c r="A1260" t="s">
        <v>2170</v>
      </c>
      <c r="B1260" t="s">
        <v>1333</v>
      </c>
      <c r="C1260" s="1">
        <v>45551</v>
      </c>
      <c r="D1260" t="s">
        <v>48</v>
      </c>
      <c r="E1260" t="s">
        <v>64</v>
      </c>
      <c r="F1260" t="s">
        <v>35</v>
      </c>
      <c r="G1260" t="s">
        <v>73</v>
      </c>
      <c r="H1260" t="s">
        <v>26</v>
      </c>
      <c r="I1260" t="s">
        <v>20</v>
      </c>
      <c r="J1260">
        <v>5</v>
      </c>
      <c r="K1260">
        <v>446</v>
      </c>
      <c r="L1260">
        <v>2230</v>
      </c>
      <c r="M1260">
        <v>45</v>
      </c>
      <c r="N1260" t="s">
        <v>21</v>
      </c>
      <c r="O1260">
        <v>3.4</v>
      </c>
      <c r="P1260" s="2">
        <f>EOMONTH(Table1[[#This Row],[Order_Date]],0)</f>
        <v>45565</v>
      </c>
      <c r="Q1260" s="3">
        <f>WEEKNUM(Table1[[#This Row],[Order_Date]])</f>
        <v>38</v>
      </c>
      <c r="R1260">
        <f>YEAR(Table1[[#This Row],[Order_Date]])</f>
        <v>2024</v>
      </c>
      <c r="S1260" t="str">
        <f>IF(Table1[[#This Row],[Quantity]]&gt;=3,"Promo","Regular")</f>
        <v>Promo</v>
      </c>
    </row>
    <row r="1261" spans="1:19" x14ac:dyDescent="0.35">
      <c r="A1261" t="s">
        <v>2170</v>
      </c>
      <c r="B1261" t="s">
        <v>1334</v>
      </c>
      <c r="C1261" s="1">
        <v>45549</v>
      </c>
      <c r="D1261" t="s">
        <v>57</v>
      </c>
      <c r="E1261" t="s">
        <v>136</v>
      </c>
      <c r="F1261" t="s">
        <v>45</v>
      </c>
      <c r="G1261" t="s">
        <v>25</v>
      </c>
      <c r="H1261" t="s">
        <v>53</v>
      </c>
      <c r="I1261" t="s">
        <v>20</v>
      </c>
      <c r="J1261">
        <v>3</v>
      </c>
      <c r="K1261">
        <v>320</v>
      </c>
      <c r="L1261">
        <v>960</v>
      </c>
      <c r="M1261">
        <v>39</v>
      </c>
      <c r="N1261" t="s">
        <v>33</v>
      </c>
      <c r="O1261">
        <v>3</v>
      </c>
      <c r="P1261" s="2">
        <f>EOMONTH(Table1[[#This Row],[Order_Date]],0)</f>
        <v>45565</v>
      </c>
      <c r="Q1261" s="3">
        <f>WEEKNUM(Table1[[#This Row],[Order_Date]])</f>
        <v>37</v>
      </c>
      <c r="R1261">
        <f>YEAR(Table1[[#This Row],[Order_Date]])</f>
        <v>2024</v>
      </c>
      <c r="S1261" t="str">
        <f>IF(Table1[[#This Row],[Quantity]]&gt;=3,"Promo","Regular")</f>
        <v>Promo</v>
      </c>
    </row>
    <row r="1262" spans="1:19" x14ac:dyDescent="0.35">
      <c r="A1262" t="s">
        <v>2170</v>
      </c>
      <c r="B1262" t="s">
        <v>1335</v>
      </c>
      <c r="C1262" s="1">
        <v>45376</v>
      </c>
      <c r="D1262" t="s">
        <v>48</v>
      </c>
      <c r="E1262" t="s">
        <v>49</v>
      </c>
      <c r="F1262" t="s">
        <v>69</v>
      </c>
      <c r="G1262" t="s">
        <v>36</v>
      </c>
      <c r="H1262" t="s">
        <v>37</v>
      </c>
      <c r="I1262" t="s">
        <v>20</v>
      </c>
      <c r="J1262">
        <v>2</v>
      </c>
      <c r="K1262">
        <v>428</v>
      </c>
      <c r="L1262">
        <v>856</v>
      </c>
      <c r="M1262">
        <v>41</v>
      </c>
      <c r="N1262" t="s">
        <v>21</v>
      </c>
      <c r="O1262">
        <v>3.9</v>
      </c>
      <c r="P1262" s="2">
        <f>EOMONTH(Table1[[#This Row],[Order_Date]],0)</f>
        <v>45382</v>
      </c>
      <c r="Q1262" s="3">
        <f>WEEKNUM(Table1[[#This Row],[Order_Date]])</f>
        <v>13</v>
      </c>
      <c r="R1262">
        <f>YEAR(Table1[[#This Row],[Order_Date]])</f>
        <v>2024</v>
      </c>
      <c r="S1262" t="str">
        <f>IF(Table1[[#This Row],[Quantity]]&gt;=3,"Promo","Regular")</f>
        <v>Regular</v>
      </c>
    </row>
    <row r="1263" spans="1:19" x14ac:dyDescent="0.35">
      <c r="A1263" t="s">
        <v>2171</v>
      </c>
      <c r="B1263" t="s">
        <v>1336</v>
      </c>
      <c r="C1263" s="1">
        <v>45394</v>
      </c>
      <c r="D1263" t="s">
        <v>15</v>
      </c>
      <c r="E1263" t="s">
        <v>112</v>
      </c>
      <c r="F1263" t="s">
        <v>69</v>
      </c>
      <c r="G1263" t="s">
        <v>31</v>
      </c>
      <c r="H1263" t="s">
        <v>120</v>
      </c>
      <c r="I1263" t="s">
        <v>60</v>
      </c>
      <c r="J1263">
        <v>2</v>
      </c>
      <c r="K1263">
        <v>343</v>
      </c>
      <c r="L1263">
        <v>686</v>
      </c>
      <c r="M1263">
        <v>56</v>
      </c>
      <c r="N1263" t="s">
        <v>33</v>
      </c>
      <c r="O1263">
        <v>3.1</v>
      </c>
      <c r="P1263" s="2">
        <f>EOMONTH(Table1[[#This Row],[Order_Date]],0)</f>
        <v>45412</v>
      </c>
      <c r="Q1263" s="3">
        <f>WEEKNUM(Table1[[#This Row],[Order_Date]])</f>
        <v>15</v>
      </c>
      <c r="R1263">
        <f>YEAR(Table1[[#This Row],[Order_Date]])</f>
        <v>2024</v>
      </c>
      <c r="S1263" t="str">
        <f>IF(Table1[[#This Row],[Quantity]]&gt;=3,"Promo","Regular")</f>
        <v>Regular</v>
      </c>
    </row>
    <row r="1264" spans="1:19" x14ac:dyDescent="0.35">
      <c r="A1264" t="s">
        <v>2171</v>
      </c>
      <c r="B1264" t="s">
        <v>1337</v>
      </c>
      <c r="C1264" s="1">
        <v>45381</v>
      </c>
      <c r="D1264" t="s">
        <v>57</v>
      </c>
      <c r="E1264" t="s">
        <v>58</v>
      </c>
      <c r="F1264" t="s">
        <v>85</v>
      </c>
      <c r="G1264" t="s">
        <v>73</v>
      </c>
      <c r="H1264" t="s">
        <v>59</v>
      </c>
      <c r="I1264" t="s">
        <v>60</v>
      </c>
      <c r="J1264">
        <v>5</v>
      </c>
      <c r="K1264">
        <v>144</v>
      </c>
      <c r="L1264">
        <v>720</v>
      </c>
      <c r="M1264">
        <v>35</v>
      </c>
      <c r="N1264" t="s">
        <v>21</v>
      </c>
      <c r="O1264">
        <v>5</v>
      </c>
      <c r="P1264" s="2">
        <f>EOMONTH(Table1[[#This Row],[Order_Date]],0)</f>
        <v>45382</v>
      </c>
      <c r="Q1264" s="3">
        <f>WEEKNUM(Table1[[#This Row],[Order_Date]])</f>
        <v>13</v>
      </c>
      <c r="R1264">
        <f>YEAR(Table1[[#This Row],[Order_Date]])</f>
        <v>2024</v>
      </c>
      <c r="S1264" t="str">
        <f>IF(Table1[[#This Row],[Quantity]]&gt;=3,"Promo","Regular")</f>
        <v>Promo</v>
      </c>
    </row>
    <row r="1265" spans="1:19" x14ac:dyDescent="0.35">
      <c r="A1265" t="s">
        <v>2172</v>
      </c>
      <c r="B1265" t="s">
        <v>1338</v>
      </c>
      <c r="C1265" s="1">
        <v>45337</v>
      </c>
      <c r="D1265" t="s">
        <v>43</v>
      </c>
      <c r="E1265" t="s">
        <v>110</v>
      </c>
      <c r="F1265" t="s">
        <v>45</v>
      </c>
      <c r="G1265" t="s">
        <v>73</v>
      </c>
      <c r="H1265" t="s">
        <v>120</v>
      </c>
      <c r="I1265" t="s">
        <v>60</v>
      </c>
      <c r="J1265">
        <v>1</v>
      </c>
      <c r="K1265">
        <v>476</v>
      </c>
      <c r="L1265">
        <v>476</v>
      </c>
      <c r="M1265">
        <v>22</v>
      </c>
      <c r="N1265" t="s">
        <v>33</v>
      </c>
      <c r="O1265">
        <v>4.4000000000000004</v>
      </c>
      <c r="P1265" s="2">
        <f>EOMONTH(Table1[[#This Row],[Order_Date]],0)</f>
        <v>45351</v>
      </c>
      <c r="Q1265" s="3">
        <f>WEEKNUM(Table1[[#This Row],[Order_Date]])</f>
        <v>7</v>
      </c>
      <c r="R1265">
        <f>YEAR(Table1[[#This Row],[Order_Date]])</f>
        <v>2024</v>
      </c>
      <c r="S1265" t="str">
        <f>IF(Table1[[#This Row],[Quantity]]&gt;=3,"Promo","Regular")</f>
        <v>Regular</v>
      </c>
    </row>
    <row r="1266" spans="1:19" x14ac:dyDescent="0.35">
      <c r="A1266" t="s">
        <v>2172</v>
      </c>
      <c r="B1266" t="s">
        <v>1339</v>
      </c>
      <c r="C1266" s="1">
        <v>45404</v>
      </c>
      <c r="D1266" t="s">
        <v>48</v>
      </c>
      <c r="E1266" t="s">
        <v>68</v>
      </c>
      <c r="F1266" t="s">
        <v>45</v>
      </c>
      <c r="G1266" t="s">
        <v>18</v>
      </c>
      <c r="H1266" t="s">
        <v>66</v>
      </c>
      <c r="I1266" t="s">
        <v>20</v>
      </c>
      <c r="J1266">
        <v>1</v>
      </c>
      <c r="K1266">
        <v>421</v>
      </c>
      <c r="L1266">
        <v>421</v>
      </c>
      <c r="M1266">
        <v>20</v>
      </c>
      <c r="N1266" t="s">
        <v>33</v>
      </c>
      <c r="O1266">
        <v>4</v>
      </c>
      <c r="P1266" s="2">
        <f>EOMONTH(Table1[[#This Row],[Order_Date]],0)</f>
        <v>45412</v>
      </c>
      <c r="Q1266" s="3">
        <f>WEEKNUM(Table1[[#This Row],[Order_Date]])</f>
        <v>17</v>
      </c>
      <c r="R1266">
        <f>YEAR(Table1[[#This Row],[Order_Date]])</f>
        <v>2024</v>
      </c>
      <c r="S1266" t="str">
        <f>IF(Table1[[#This Row],[Quantity]]&gt;=3,"Promo","Regular")</f>
        <v>Regular</v>
      </c>
    </row>
    <row r="1267" spans="1:19" x14ac:dyDescent="0.35">
      <c r="A1267" t="s">
        <v>2173</v>
      </c>
      <c r="B1267" t="s">
        <v>1340</v>
      </c>
      <c r="C1267" s="1">
        <v>45404</v>
      </c>
      <c r="D1267" t="s">
        <v>48</v>
      </c>
      <c r="E1267" t="s">
        <v>49</v>
      </c>
      <c r="F1267" t="s">
        <v>17</v>
      </c>
      <c r="G1267" t="s">
        <v>31</v>
      </c>
      <c r="H1267" t="s">
        <v>55</v>
      </c>
      <c r="I1267" t="s">
        <v>20</v>
      </c>
      <c r="J1267">
        <v>5</v>
      </c>
      <c r="K1267">
        <v>305</v>
      </c>
      <c r="L1267">
        <v>1525</v>
      </c>
      <c r="M1267">
        <v>20</v>
      </c>
      <c r="N1267" t="s">
        <v>21</v>
      </c>
      <c r="O1267">
        <v>3.5</v>
      </c>
      <c r="P1267" s="2">
        <f>EOMONTH(Table1[[#This Row],[Order_Date]],0)</f>
        <v>45412</v>
      </c>
      <c r="Q1267" s="3">
        <f>WEEKNUM(Table1[[#This Row],[Order_Date]])</f>
        <v>17</v>
      </c>
      <c r="R1267">
        <f>YEAR(Table1[[#This Row],[Order_Date]])</f>
        <v>2024</v>
      </c>
      <c r="S1267" t="str">
        <f>IF(Table1[[#This Row],[Quantity]]&gt;=3,"Promo","Regular")</f>
        <v>Promo</v>
      </c>
    </row>
    <row r="1268" spans="1:19" x14ac:dyDescent="0.35">
      <c r="A1268" t="s">
        <v>2173</v>
      </c>
      <c r="B1268" t="s">
        <v>1341</v>
      </c>
      <c r="C1268" s="1">
        <v>45587</v>
      </c>
      <c r="D1268" t="s">
        <v>48</v>
      </c>
      <c r="E1268" t="s">
        <v>49</v>
      </c>
      <c r="F1268" t="s">
        <v>24</v>
      </c>
      <c r="G1268" t="s">
        <v>25</v>
      </c>
      <c r="H1268" t="s">
        <v>53</v>
      </c>
      <c r="I1268" t="s">
        <v>20</v>
      </c>
      <c r="J1268">
        <v>1</v>
      </c>
      <c r="K1268">
        <v>297</v>
      </c>
      <c r="L1268">
        <v>297</v>
      </c>
      <c r="M1268">
        <v>44</v>
      </c>
      <c r="N1268" t="s">
        <v>33</v>
      </c>
      <c r="O1268">
        <v>3.1</v>
      </c>
      <c r="P1268" s="2">
        <f>EOMONTH(Table1[[#This Row],[Order_Date]],0)</f>
        <v>45596</v>
      </c>
      <c r="Q1268" s="3">
        <f>WEEKNUM(Table1[[#This Row],[Order_Date]])</f>
        <v>43</v>
      </c>
      <c r="R1268">
        <f>YEAR(Table1[[#This Row],[Order_Date]])</f>
        <v>2024</v>
      </c>
      <c r="S1268" t="str">
        <f>IF(Table1[[#This Row],[Quantity]]&gt;=3,"Promo","Regular")</f>
        <v>Regular</v>
      </c>
    </row>
    <row r="1269" spans="1:19" x14ac:dyDescent="0.35">
      <c r="A1269" t="s">
        <v>2173</v>
      </c>
      <c r="B1269" t="s">
        <v>1342</v>
      </c>
      <c r="C1269" s="1">
        <v>45536</v>
      </c>
      <c r="D1269" t="s">
        <v>57</v>
      </c>
      <c r="E1269" t="s">
        <v>75</v>
      </c>
      <c r="F1269" t="s">
        <v>69</v>
      </c>
      <c r="G1269" t="s">
        <v>73</v>
      </c>
      <c r="H1269" t="s">
        <v>50</v>
      </c>
      <c r="I1269" t="s">
        <v>20</v>
      </c>
      <c r="J1269">
        <v>3</v>
      </c>
      <c r="K1269">
        <v>382</v>
      </c>
      <c r="L1269">
        <v>1146</v>
      </c>
      <c r="M1269">
        <v>43</v>
      </c>
      <c r="N1269" t="s">
        <v>21</v>
      </c>
      <c r="O1269">
        <v>3.9</v>
      </c>
      <c r="P1269" s="2">
        <f>EOMONTH(Table1[[#This Row],[Order_Date]],0)</f>
        <v>45565</v>
      </c>
      <c r="Q1269" s="3">
        <f>WEEKNUM(Table1[[#This Row],[Order_Date]])</f>
        <v>36</v>
      </c>
      <c r="R1269">
        <f>YEAR(Table1[[#This Row],[Order_Date]])</f>
        <v>2024</v>
      </c>
      <c r="S1269" t="str">
        <f>IF(Table1[[#This Row],[Quantity]]&gt;=3,"Promo","Regular")</f>
        <v>Promo</v>
      </c>
    </row>
    <row r="1270" spans="1:19" x14ac:dyDescent="0.35">
      <c r="A1270" t="s">
        <v>2173</v>
      </c>
      <c r="B1270" t="s">
        <v>1343</v>
      </c>
      <c r="C1270" s="1">
        <v>45509</v>
      </c>
      <c r="D1270" t="s">
        <v>15</v>
      </c>
      <c r="E1270" t="s">
        <v>112</v>
      </c>
      <c r="F1270" t="s">
        <v>72</v>
      </c>
      <c r="G1270" t="s">
        <v>73</v>
      </c>
      <c r="H1270" t="s">
        <v>19</v>
      </c>
      <c r="I1270" t="s">
        <v>20</v>
      </c>
      <c r="J1270">
        <v>2</v>
      </c>
      <c r="K1270">
        <v>145</v>
      </c>
      <c r="L1270">
        <v>290</v>
      </c>
      <c r="M1270">
        <v>24</v>
      </c>
      <c r="N1270" t="s">
        <v>33</v>
      </c>
      <c r="O1270">
        <v>3.9</v>
      </c>
      <c r="P1270" s="2">
        <f>EOMONTH(Table1[[#This Row],[Order_Date]],0)</f>
        <v>45535</v>
      </c>
      <c r="Q1270" s="3">
        <f>WEEKNUM(Table1[[#This Row],[Order_Date]])</f>
        <v>32</v>
      </c>
      <c r="R1270">
        <f>YEAR(Table1[[#This Row],[Order_Date]])</f>
        <v>2024</v>
      </c>
      <c r="S1270" t="str">
        <f>IF(Table1[[#This Row],[Quantity]]&gt;=3,"Promo","Regular")</f>
        <v>Regular</v>
      </c>
    </row>
    <row r="1271" spans="1:19" x14ac:dyDescent="0.35">
      <c r="A1271" t="s">
        <v>2173</v>
      </c>
      <c r="B1271" t="s">
        <v>1344</v>
      </c>
      <c r="C1271" s="1">
        <v>45560</v>
      </c>
      <c r="D1271" t="s">
        <v>57</v>
      </c>
      <c r="E1271" t="s">
        <v>105</v>
      </c>
      <c r="F1271" t="s">
        <v>35</v>
      </c>
      <c r="G1271" t="s">
        <v>36</v>
      </c>
      <c r="H1271" t="s">
        <v>26</v>
      </c>
      <c r="I1271" t="s">
        <v>20</v>
      </c>
      <c r="J1271">
        <v>4</v>
      </c>
      <c r="K1271">
        <v>449</v>
      </c>
      <c r="L1271">
        <v>1796</v>
      </c>
      <c r="M1271">
        <v>36</v>
      </c>
      <c r="N1271" t="s">
        <v>33</v>
      </c>
      <c r="O1271">
        <v>4.5</v>
      </c>
      <c r="P1271" s="2">
        <f>EOMONTH(Table1[[#This Row],[Order_Date]],0)</f>
        <v>45565</v>
      </c>
      <c r="Q1271" s="3">
        <f>WEEKNUM(Table1[[#This Row],[Order_Date]])</f>
        <v>39</v>
      </c>
      <c r="R1271">
        <f>YEAR(Table1[[#This Row],[Order_Date]])</f>
        <v>2024</v>
      </c>
      <c r="S1271" t="str">
        <f>IF(Table1[[#This Row],[Quantity]]&gt;=3,"Promo","Regular")</f>
        <v>Promo</v>
      </c>
    </row>
    <row r="1272" spans="1:19" x14ac:dyDescent="0.35">
      <c r="A1272" t="s">
        <v>2174</v>
      </c>
      <c r="B1272" t="s">
        <v>1345</v>
      </c>
      <c r="C1272" s="1">
        <v>45373</v>
      </c>
      <c r="D1272" t="s">
        <v>48</v>
      </c>
      <c r="E1272" t="s">
        <v>49</v>
      </c>
      <c r="F1272" t="s">
        <v>35</v>
      </c>
      <c r="G1272" t="s">
        <v>73</v>
      </c>
      <c r="H1272" t="s">
        <v>66</v>
      </c>
      <c r="I1272" t="s">
        <v>20</v>
      </c>
      <c r="J1272">
        <v>5</v>
      </c>
      <c r="K1272">
        <v>491</v>
      </c>
      <c r="L1272">
        <v>2455</v>
      </c>
      <c r="M1272">
        <v>27</v>
      </c>
      <c r="N1272" t="s">
        <v>21</v>
      </c>
      <c r="O1272">
        <v>3.4</v>
      </c>
      <c r="P1272" s="2">
        <f>EOMONTH(Table1[[#This Row],[Order_Date]],0)</f>
        <v>45382</v>
      </c>
      <c r="Q1272" s="3">
        <f>WEEKNUM(Table1[[#This Row],[Order_Date]])</f>
        <v>12</v>
      </c>
      <c r="R1272">
        <f>YEAR(Table1[[#This Row],[Order_Date]])</f>
        <v>2024</v>
      </c>
      <c r="S1272" t="str">
        <f>IF(Table1[[#This Row],[Quantity]]&gt;=3,"Promo","Regular")</f>
        <v>Promo</v>
      </c>
    </row>
    <row r="1273" spans="1:19" x14ac:dyDescent="0.35">
      <c r="A1273" t="s">
        <v>2174</v>
      </c>
      <c r="B1273" t="s">
        <v>1346</v>
      </c>
      <c r="C1273" s="1">
        <v>45551</v>
      </c>
      <c r="D1273" t="s">
        <v>57</v>
      </c>
      <c r="E1273" t="s">
        <v>58</v>
      </c>
      <c r="F1273" t="s">
        <v>85</v>
      </c>
      <c r="G1273" t="s">
        <v>31</v>
      </c>
      <c r="H1273" t="s">
        <v>53</v>
      </c>
      <c r="I1273" t="s">
        <v>20</v>
      </c>
      <c r="J1273">
        <v>2</v>
      </c>
      <c r="K1273">
        <v>233</v>
      </c>
      <c r="L1273">
        <v>466</v>
      </c>
      <c r="M1273">
        <v>55</v>
      </c>
      <c r="N1273" t="s">
        <v>33</v>
      </c>
      <c r="O1273">
        <v>3.2</v>
      </c>
      <c r="P1273" s="2">
        <f>EOMONTH(Table1[[#This Row],[Order_Date]],0)</f>
        <v>45565</v>
      </c>
      <c r="Q1273" s="3">
        <f>WEEKNUM(Table1[[#This Row],[Order_Date]])</f>
        <v>38</v>
      </c>
      <c r="R1273">
        <f>YEAR(Table1[[#This Row],[Order_Date]])</f>
        <v>2024</v>
      </c>
      <c r="S1273" t="str">
        <f>IF(Table1[[#This Row],[Quantity]]&gt;=3,"Promo","Regular")</f>
        <v>Regular</v>
      </c>
    </row>
    <row r="1274" spans="1:19" x14ac:dyDescent="0.35">
      <c r="A1274" t="s">
        <v>2175</v>
      </c>
      <c r="B1274" t="s">
        <v>1347</v>
      </c>
      <c r="C1274" s="1">
        <v>45433</v>
      </c>
      <c r="D1274" t="s">
        <v>28</v>
      </c>
      <c r="E1274" t="s">
        <v>29</v>
      </c>
      <c r="F1274" t="s">
        <v>65</v>
      </c>
      <c r="G1274" t="s">
        <v>18</v>
      </c>
      <c r="H1274" t="s">
        <v>50</v>
      </c>
      <c r="I1274" t="s">
        <v>20</v>
      </c>
      <c r="J1274">
        <v>4</v>
      </c>
      <c r="K1274">
        <v>170</v>
      </c>
      <c r="L1274">
        <v>680</v>
      </c>
      <c r="M1274">
        <v>52</v>
      </c>
      <c r="N1274" t="s">
        <v>38</v>
      </c>
      <c r="O1274">
        <v>3.8</v>
      </c>
      <c r="P1274" s="2">
        <f>EOMONTH(Table1[[#This Row],[Order_Date]],0)</f>
        <v>45443</v>
      </c>
      <c r="Q1274" s="3">
        <f>WEEKNUM(Table1[[#This Row],[Order_Date]])</f>
        <v>21</v>
      </c>
      <c r="R1274">
        <f>YEAR(Table1[[#This Row],[Order_Date]])</f>
        <v>2024</v>
      </c>
      <c r="S1274" t="str">
        <f>IF(Table1[[#This Row],[Quantity]]&gt;=3,"Promo","Regular")</f>
        <v>Promo</v>
      </c>
    </row>
    <row r="1275" spans="1:19" x14ac:dyDescent="0.35">
      <c r="A1275" t="s">
        <v>2175</v>
      </c>
      <c r="B1275" t="s">
        <v>1348</v>
      </c>
      <c r="C1275" s="1">
        <v>45365</v>
      </c>
      <c r="D1275" t="s">
        <v>28</v>
      </c>
      <c r="E1275" t="s">
        <v>40</v>
      </c>
      <c r="F1275" t="s">
        <v>41</v>
      </c>
      <c r="G1275" t="s">
        <v>46</v>
      </c>
      <c r="H1275" t="s">
        <v>19</v>
      </c>
      <c r="I1275" t="s">
        <v>20</v>
      </c>
      <c r="J1275">
        <v>3</v>
      </c>
      <c r="K1275">
        <v>136</v>
      </c>
      <c r="L1275">
        <v>408</v>
      </c>
      <c r="M1275">
        <v>52</v>
      </c>
      <c r="N1275" t="s">
        <v>33</v>
      </c>
      <c r="O1275">
        <v>4.5</v>
      </c>
      <c r="P1275" s="2">
        <f>EOMONTH(Table1[[#This Row],[Order_Date]],0)</f>
        <v>45382</v>
      </c>
      <c r="Q1275" s="3">
        <f>WEEKNUM(Table1[[#This Row],[Order_Date]])</f>
        <v>11</v>
      </c>
      <c r="R1275">
        <f>YEAR(Table1[[#This Row],[Order_Date]])</f>
        <v>2024</v>
      </c>
      <c r="S1275" t="str">
        <f>IF(Table1[[#This Row],[Quantity]]&gt;=3,"Promo","Regular")</f>
        <v>Promo</v>
      </c>
    </row>
    <row r="1276" spans="1:19" x14ac:dyDescent="0.35">
      <c r="A1276" t="s">
        <v>2175</v>
      </c>
      <c r="B1276" t="s">
        <v>1349</v>
      </c>
      <c r="C1276" s="1">
        <v>45549</v>
      </c>
      <c r="D1276" t="s">
        <v>48</v>
      </c>
      <c r="E1276" t="s">
        <v>68</v>
      </c>
      <c r="F1276" t="s">
        <v>69</v>
      </c>
      <c r="G1276" t="s">
        <v>73</v>
      </c>
      <c r="H1276" t="s">
        <v>32</v>
      </c>
      <c r="I1276" t="s">
        <v>20</v>
      </c>
      <c r="J1276">
        <v>2</v>
      </c>
      <c r="K1276">
        <v>198</v>
      </c>
      <c r="L1276">
        <v>396</v>
      </c>
      <c r="M1276">
        <v>38</v>
      </c>
      <c r="N1276" t="s">
        <v>21</v>
      </c>
      <c r="O1276">
        <v>4.0999999999999996</v>
      </c>
      <c r="P1276" s="2">
        <f>EOMONTH(Table1[[#This Row],[Order_Date]],0)</f>
        <v>45565</v>
      </c>
      <c r="Q1276" s="3">
        <f>WEEKNUM(Table1[[#This Row],[Order_Date]])</f>
        <v>37</v>
      </c>
      <c r="R1276">
        <f>YEAR(Table1[[#This Row],[Order_Date]])</f>
        <v>2024</v>
      </c>
      <c r="S1276" t="str">
        <f>IF(Table1[[#This Row],[Quantity]]&gt;=3,"Promo","Regular")</f>
        <v>Regular</v>
      </c>
    </row>
    <row r="1277" spans="1:19" x14ac:dyDescent="0.35">
      <c r="A1277" t="s">
        <v>2176</v>
      </c>
      <c r="B1277" t="s">
        <v>1350</v>
      </c>
      <c r="C1277" s="1">
        <v>45476</v>
      </c>
      <c r="D1277" t="s">
        <v>28</v>
      </c>
      <c r="E1277" t="s">
        <v>77</v>
      </c>
      <c r="F1277" t="s">
        <v>45</v>
      </c>
      <c r="G1277" t="s">
        <v>46</v>
      </c>
      <c r="H1277" t="s">
        <v>26</v>
      </c>
      <c r="I1277" t="s">
        <v>20</v>
      </c>
      <c r="J1277">
        <v>5</v>
      </c>
      <c r="K1277">
        <v>328</v>
      </c>
      <c r="L1277">
        <v>1640</v>
      </c>
      <c r="M1277">
        <v>20</v>
      </c>
      <c r="N1277" t="s">
        <v>33</v>
      </c>
      <c r="O1277">
        <v>4.7</v>
      </c>
      <c r="P1277" s="2">
        <f>EOMONTH(Table1[[#This Row],[Order_Date]],0)</f>
        <v>45504</v>
      </c>
      <c r="Q1277" s="3">
        <f>WEEKNUM(Table1[[#This Row],[Order_Date]])</f>
        <v>27</v>
      </c>
      <c r="R1277">
        <f>YEAR(Table1[[#This Row],[Order_Date]])</f>
        <v>2024</v>
      </c>
      <c r="S1277" t="str">
        <f>IF(Table1[[#This Row],[Quantity]]&gt;=3,"Promo","Regular")</f>
        <v>Promo</v>
      </c>
    </row>
    <row r="1278" spans="1:19" x14ac:dyDescent="0.35">
      <c r="A1278" t="s">
        <v>2176</v>
      </c>
      <c r="B1278" t="s">
        <v>1351</v>
      </c>
      <c r="C1278" s="1">
        <v>45586</v>
      </c>
      <c r="D1278" t="s">
        <v>48</v>
      </c>
      <c r="E1278" t="s">
        <v>64</v>
      </c>
      <c r="F1278" t="s">
        <v>30</v>
      </c>
      <c r="G1278" t="s">
        <v>36</v>
      </c>
      <c r="H1278" t="s">
        <v>66</v>
      </c>
      <c r="I1278" t="s">
        <v>20</v>
      </c>
      <c r="J1278">
        <v>2</v>
      </c>
      <c r="K1278">
        <v>159</v>
      </c>
      <c r="L1278">
        <v>318</v>
      </c>
      <c r="M1278">
        <v>53</v>
      </c>
      <c r="N1278" t="s">
        <v>38</v>
      </c>
      <c r="O1278">
        <v>3.3</v>
      </c>
      <c r="P1278" s="2">
        <f>EOMONTH(Table1[[#This Row],[Order_Date]],0)</f>
        <v>45596</v>
      </c>
      <c r="Q1278" s="3">
        <f>WEEKNUM(Table1[[#This Row],[Order_Date]])</f>
        <v>43</v>
      </c>
      <c r="R1278">
        <f>YEAR(Table1[[#This Row],[Order_Date]])</f>
        <v>2024</v>
      </c>
      <c r="S1278" t="str">
        <f>IF(Table1[[#This Row],[Quantity]]&gt;=3,"Promo","Regular")</f>
        <v>Regular</v>
      </c>
    </row>
    <row r="1279" spans="1:19" x14ac:dyDescent="0.35">
      <c r="A1279" t="s">
        <v>2176</v>
      </c>
      <c r="B1279" t="s">
        <v>1352</v>
      </c>
      <c r="C1279" s="1">
        <v>45564</v>
      </c>
      <c r="D1279" t="s">
        <v>48</v>
      </c>
      <c r="E1279" t="s">
        <v>68</v>
      </c>
      <c r="F1279" t="s">
        <v>69</v>
      </c>
      <c r="G1279" t="s">
        <v>73</v>
      </c>
      <c r="H1279" t="s">
        <v>120</v>
      </c>
      <c r="I1279" t="s">
        <v>60</v>
      </c>
      <c r="J1279">
        <v>3</v>
      </c>
      <c r="K1279">
        <v>237</v>
      </c>
      <c r="L1279">
        <v>711</v>
      </c>
      <c r="M1279">
        <v>34</v>
      </c>
      <c r="N1279" t="s">
        <v>33</v>
      </c>
      <c r="O1279">
        <v>4.4000000000000004</v>
      </c>
      <c r="P1279" s="2">
        <f>EOMONTH(Table1[[#This Row],[Order_Date]],0)</f>
        <v>45565</v>
      </c>
      <c r="Q1279" s="3">
        <f>WEEKNUM(Table1[[#This Row],[Order_Date]])</f>
        <v>40</v>
      </c>
      <c r="R1279">
        <f>YEAR(Table1[[#This Row],[Order_Date]])</f>
        <v>2024</v>
      </c>
      <c r="S1279" t="str">
        <f>IF(Table1[[#This Row],[Quantity]]&gt;=3,"Promo","Regular")</f>
        <v>Promo</v>
      </c>
    </row>
    <row r="1280" spans="1:19" x14ac:dyDescent="0.35">
      <c r="A1280" t="s">
        <v>2176</v>
      </c>
      <c r="B1280" t="s">
        <v>1353</v>
      </c>
      <c r="C1280" s="1">
        <v>45521</v>
      </c>
      <c r="D1280" t="s">
        <v>28</v>
      </c>
      <c r="E1280" t="s">
        <v>98</v>
      </c>
      <c r="F1280" t="s">
        <v>45</v>
      </c>
      <c r="G1280" t="s">
        <v>46</v>
      </c>
      <c r="H1280" t="s">
        <v>32</v>
      </c>
      <c r="I1280" t="s">
        <v>20</v>
      </c>
      <c r="J1280">
        <v>5</v>
      </c>
      <c r="K1280">
        <v>399</v>
      </c>
      <c r="L1280">
        <v>1995</v>
      </c>
      <c r="M1280">
        <v>43</v>
      </c>
      <c r="N1280" t="s">
        <v>38</v>
      </c>
      <c r="O1280">
        <v>4.2</v>
      </c>
      <c r="P1280" s="2">
        <f>EOMONTH(Table1[[#This Row],[Order_Date]],0)</f>
        <v>45535</v>
      </c>
      <c r="Q1280" s="3">
        <f>WEEKNUM(Table1[[#This Row],[Order_Date]])</f>
        <v>33</v>
      </c>
      <c r="R1280">
        <f>YEAR(Table1[[#This Row],[Order_Date]])</f>
        <v>2024</v>
      </c>
      <c r="S1280" t="str">
        <f>IF(Table1[[#This Row],[Quantity]]&gt;=3,"Promo","Regular")</f>
        <v>Promo</v>
      </c>
    </row>
    <row r="1281" spans="1:19" x14ac:dyDescent="0.35">
      <c r="A1281" t="s">
        <v>2177</v>
      </c>
      <c r="B1281" t="s">
        <v>1354</v>
      </c>
      <c r="C1281" s="1">
        <v>45546</v>
      </c>
      <c r="D1281" t="s">
        <v>57</v>
      </c>
      <c r="E1281" t="s">
        <v>136</v>
      </c>
      <c r="F1281" t="s">
        <v>65</v>
      </c>
      <c r="G1281" t="s">
        <v>31</v>
      </c>
      <c r="H1281" t="s">
        <v>66</v>
      </c>
      <c r="I1281" t="s">
        <v>20</v>
      </c>
      <c r="J1281">
        <v>5</v>
      </c>
      <c r="K1281">
        <v>213</v>
      </c>
      <c r="L1281">
        <v>1065</v>
      </c>
      <c r="M1281">
        <v>20</v>
      </c>
      <c r="N1281" t="s">
        <v>33</v>
      </c>
      <c r="O1281">
        <v>4.7</v>
      </c>
      <c r="P1281" s="2">
        <f>EOMONTH(Table1[[#This Row],[Order_Date]],0)</f>
        <v>45565</v>
      </c>
      <c r="Q1281" s="3">
        <f>WEEKNUM(Table1[[#This Row],[Order_Date]])</f>
        <v>37</v>
      </c>
      <c r="R1281">
        <f>YEAR(Table1[[#This Row],[Order_Date]])</f>
        <v>2024</v>
      </c>
      <c r="S1281" t="str">
        <f>IF(Table1[[#This Row],[Quantity]]&gt;=3,"Promo","Regular")</f>
        <v>Promo</v>
      </c>
    </row>
    <row r="1282" spans="1:19" x14ac:dyDescent="0.35">
      <c r="A1282" t="s">
        <v>2177</v>
      </c>
      <c r="B1282" t="s">
        <v>1355</v>
      </c>
      <c r="C1282" s="1">
        <v>45513</v>
      </c>
      <c r="D1282" t="s">
        <v>28</v>
      </c>
      <c r="E1282" t="s">
        <v>40</v>
      </c>
      <c r="F1282" t="s">
        <v>65</v>
      </c>
      <c r="G1282" t="s">
        <v>73</v>
      </c>
      <c r="H1282" t="s">
        <v>32</v>
      </c>
      <c r="I1282" t="s">
        <v>20</v>
      </c>
      <c r="J1282">
        <v>4</v>
      </c>
      <c r="K1282">
        <v>137</v>
      </c>
      <c r="L1282">
        <v>548</v>
      </c>
      <c r="M1282">
        <v>52</v>
      </c>
      <c r="N1282" t="s">
        <v>38</v>
      </c>
      <c r="O1282">
        <v>4.0999999999999996</v>
      </c>
      <c r="P1282" s="2">
        <f>EOMONTH(Table1[[#This Row],[Order_Date]],0)</f>
        <v>45535</v>
      </c>
      <c r="Q1282" s="3">
        <f>WEEKNUM(Table1[[#This Row],[Order_Date]])</f>
        <v>32</v>
      </c>
      <c r="R1282">
        <f>YEAR(Table1[[#This Row],[Order_Date]])</f>
        <v>2024</v>
      </c>
      <c r="S1282" t="str">
        <f>IF(Table1[[#This Row],[Quantity]]&gt;=3,"Promo","Regular")</f>
        <v>Promo</v>
      </c>
    </row>
    <row r="1283" spans="1:19" x14ac:dyDescent="0.35">
      <c r="A1283" t="s">
        <v>2177</v>
      </c>
      <c r="B1283" t="s">
        <v>1356</v>
      </c>
      <c r="C1283" s="1">
        <v>45511</v>
      </c>
      <c r="D1283" t="s">
        <v>43</v>
      </c>
      <c r="E1283" t="s">
        <v>44</v>
      </c>
      <c r="F1283" t="s">
        <v>17</v>
      </c>
      <c r="G1283" t="s">
        <v>36</v>
      </c>
      <c r="H1283" t="s">
        <v>32</v>
      </c>
      <c r="I1283" t="s">
        <v>20</v>
      </c>
      <c r="J1283">
        <v>3</v>
      </c>
      <c r="K1283">
        <v>396</v>
      </c>
      <c r="L1283">
        <v>1188</v>
      </c>
      <c r="M1283">
        <v>60</v>
      </c>
      <c r="N1283" t="s">
        <v>38</v>
      </c>
      <c r="O1283">
        <v>4.0999999999999996</v>
      </c>
      <c r="P1283" s="2">
        <f>EOMONTH(Table1[[#This Row],[Order_Date]],0)</f>
        <v>45535</v>
      </c>
      <c r="Q1283" s="3">
        <f>WEEKNUM(Table1[[#This Row],[Order_Date]])</f>
        <v>32</v>
      </c>
      <c r="R1283">
        <f>YEAR(Table1[[#This Row],[Order_Date]])</f>
        <v>2024</v>
      </c>
      <c r="S1283" t="str">
        <f>IF(Table1[[#This Row],[Quantity]]&gt;=3,"Promo","Regular")</f>
        <v>Promo</v>
      </c>
    </row>
    <row r="1284" spans="1:19" x14ac:dyDescent="0.35">
      <c r="A1284" t="s">
        <v>2178</v>
      </c>
      <c r="B1284" t="s">
        <v>1357</v>
      </c>
      <c r="C1284" s="1">
        <v>45417</v>
      </c>
      <c r="D1284" t="s">
        <v>57</v>
      </c>
      <c r="E1284" t="s">
        <v>62</v>
      </c>
      <c r="F1284" t="s">
        <v>24</v>
      </c>
      <c r="G1284" t="s">
        <v>36</v>
      </c>
      <c r="H1284" t="s">
        <v>37</v>
      </c>
      <c r="I1284" t="s">
        <v>20</v>
      </c>
      <c r="J1284">
        <v>3</v>
      </c>
      <c r="K1284">
        <v>125</v>
      </c>
      <c r="L1284">
        <v>375</v>
      </c>
      <c r="M1284">
        <v>46</v>
      </c>
      <c r="N1284" t="s">
        <v>21</v>
      </c>
      <c r="O1284">
        <v>4.5</v>
      </c>
      <c r="P1284" s="2">
        <f>EOMONTH(Table1[[#This Row],[Order_Date]],0)</f>
        <v>45443</v>
      </c>
      <c r="Q1284" s="3">
        <f>WEEKNUM(Table1[[#This Row],[Order_Date]])</f>
        <v>19</v>
      </c>
      <c r="R1284">
        <f>YEAR(Table1[[#This Row],[Order_Date]])</f>
        <v>2024</v>
      </c>
      <c r="S1284" t="str">
        <f>IF(Table1[[#This Row],[Quantity]]&gt;=3,"Promo","Regular")</f>
        <v>Promo</v>
      </c>
    </row>
    <row r="1285" spans="1:19" x14ac:dyDescent="0.35">
      <c r="A1285" t="s">
        <v>2178</v>
      </c>
      <c r="B1285" t="s">
        <v>1358</v>
      </c>
      <c r="C1285" s="1">
        <v>45470</v>
      </c>
      <c r="D1285" t="s">
        <v>57</v>
      </c>
      <c r="E1285" t="s">
        <v>105</v>
      </c>
      <c r="F1285" t="s">
        <v>24</v>
      </c>
      <c r="G1285" t="s">
        <v>18</v>
      </c>
      <c r="H1285" t="s">
        <v>50</v>
      </c>
      <c r="I1285" t="s">
        <v>20</v>
      </c>
      <c r="J1285">
        <v>4</v>
      </c>
      <c r="K1285">
        <v>460</v>
      </c>
      <c r="L1285">
        <v>1840</v>
      </c>
      <c r="M1285">
        <v>58</v>
      </c>
      <c r="N1285" t="s">
        <v>38</v>
      </c>
      <c r="O1285">
        <v>3.6</v>
      </c>
      <c r="P1285" s="2">
        <f>EOMONTH(Table1[[#This Row],[Order_Date]],0)</f>
        <v>45473</v>
      </c>
      <c r="Q1285" s="3">
        <f>WEEKNUM(Table1[[#This Row],[Order_Date]])</f>
        <v>26</v>
      </c>
      <c r="R1285">
        <f>YEAR(Table1[[#This Row],[Order_Date]])</f>
        <v>2024</v>
      </c>
      <c r="S1285" t="str">
        <f>IF(Table1[[#This Row],[Quantity]]&gt;=3,"Promo","Regular")</f>
        <v>Promo</v>
      </c>
    </row>
    <row r="1286" spans="1:19" x14ac:dyDescent="0.35">
      <c r="A1286" t="s">
        <v>2179</v>
      </c>
      <c r="B1286" t="s">
        <v>1359</v>
      </c>
      <c r="C1286" s="1">
        <v>45401</v>
      </c>
      <c r="D1286" t="s">
        <v>57</v>
      </c>
      <c r="E1286" t="s">
        <v>62</v>
      </c>
      <c r="F1286" t="s">
        <v>35</v>
      </c>
      <c r="G1286" t="s">
        <v>25</v>
      </c>
      <c r="H1286" t="s">
        <v>32</v>
      </c>
      <c r="I1286" t="s">
        <v>20</v>
      </c>
      <c r="J1286">
        <v>5</v>
      </c>
      <c r="K1286">
        <v>107</v>
      </c>
      <c r="L1286">
        <v>535</v>
      </c>
      <c r="M1286">
        <v>38</v>
      </c>
      <c r="N1286" t="s">
        <v>38</v>
      </c>
      <c r="O1286">
        <v>5</v>
      </c>
      <c r="P1286" s="2">
        <f>EOMONTH(Table1[[#This Row],[Order_Date]],0)</f>
        <v>45412</v>
      </c>
      <c r="Q1286" s="3">
        <f>WEEKNUM(Table1[[#This Row],[Order_Date]])</f>
        <v>16</v>
      </c>
      <c r="R1286">
        <f>YEAR(Table1[[#This Row],[Order_Date]])</f>
        <v>2024</v>
      </c>
      <c r="S1286" t="str">
        <f>IF(Table1[[#This Row],[Quantity]]&gt;=3,"Promo","Regular")</f>
        <v>Promo</v>
      </c>
    </row>
    <row r="1287" spans="1:19" x14ac:dyDescent="0.35">
      <c r="A1287" t="s">
        <v>2179</v>
      </c>
      <c r="B1287" t="s">
        <v>1360</v>
      </c>
      <c r="C1287" s="1">
        <v>45432</v>
      </c>
      <c r="D1287" t="s">
        <v>28</v>
      </c>
      <c r="E1287" t="s">
        <v>98</v>
      </c>
      <c r="F1287" t="s">
        <v>24</v>
      </c>
      <c r="G1287" t="s">
        <v>46</v>
      </c>
      <c r="H1287" t="s">
        <v>120</v>
      </c>
      <c r="I1287" t="s">
        <v>60</v>
      </c>
      <c r="J1287">
        <v>4</v>
      </c>
      <c r="K1287">
        <v>325</v>
      </c>
      <c r="L1287">
        <v>1300</v>
      </c>
      <c r="M1287">
        <v>29</v>
      </c>
      <c r="N1287" t="s">
        <v>33</v>
      </c>
      <c r="O1287">
        <v>3.7</v>
      </c>
      <c r="P1287" s="2">
        <f>EOMONTH(Table1[[#This Row],[Order_Date]],0)</f>
        <v>45443</v>
      </c>
      <c r="Q1287" s="3">
        <f>WEEKNUM(Table1[[#This Row],[Order_Date]])</f>
        <v>21</v>
      </c>
      <c r="R1287">
        <f>YEAR(Table1[[#This Row],[Order_Date]])</f>
        <v>2024</v>
      </c>
      <c r="S1287" t="str">
        <f>IF(Table1[[#This Row],[Quantity]]&gt;=3,"Promo","Regular")</f>
        <v>Promo</v>
      </c>
    </row>
    <row r="1288" spans="1:19" x14ac:dyDescent="0.35">
      <c r="A1288" t="s">
        <v>2179</v>
      </c>
      <c r="B1288" t="s">
        <v>1361</v>
      </c>
      <c r="C1288" s="1">
        <v>45570</v>
      </c>
      <c r="D1288" t="s">
        <v>15</v>
      </c>
      <c r="E1288" t="s">
        <v>23</v>
      </c>
      <c r="F1288" t="s">
        <v>65</v>
      </c>
      <c r="G1288" t="s">
        <v>73</v>
      </c>
      <c r="H1288" t="s">
        <v>50</v>
      </c>
      <c r="I1288" t="s">
        <v>20</v>
      </c>
      <c r="J1288">
        <v>1</v>
      </c>
      <c r="K1288">
        <v>236</v>
      </c>
      <c r="L1288">
        <v>236</v>
      </c>
      <c r="M1288">
        <v>41</v>
      </c>
      <c r="N1288" t="s">
        <v>33</v>
      </c>
      <c r="O1288">
        <v>3.4</v>
      </c>
      <c r="P1288" s="2">
        <f>EOMONTH(Table1[[#This Row],[Order_Date]],0)</f>
        <v>45596</v>
      </c>
      <c r="Q1288" s="3">
        <f>WEEKNUM(Table1[[#This Row],[Order_Date]])</f>
        <v>40</v>
      </c>
      <c r="R1288">
        <f>YEAR(Table1[[#This Row],[Order_Date]])</f>
        <v>2024</v>
      </c>
      <c r="S1288" t="str">
        <f>IF(Table1[[#This Row],[Quantity]]&gt;=3,"Promo","Regular")</f>
        <v>Regular</v>
      </c>
    </row>
    <row r="1289" spans="1:19" x14ac:dyDescent="0.35">
      <c r="A1289" t="s">
        <v>2180</v>
      </c>
      <c r="B1289" t="s">
        <v>1362</v>
      </c>
      <c r="C1289" s="1">
        <v>45453</v>
      </c>
      <c r="D1289" t="s">
        <v>28</v>
      </c>
      <c r="E1289" t="s">
        <v>77</v>
      </c>
      <c r="F1289" t="s">
        <v>24</v>
      </c>
      <c r="G1289" t="s">
        <v>73</v>
      </c>
      <c r="H1289" t="s">
        <v>26</v>
      </c>
      <c r="I1289" t="s">
        <v>20</v>
      </c>
      <c r="J1289">
        <v>1</v>
      </c>
      <c r="K1289">
        <v>449</v>
      </c>
      <c r="L1289">
        <v>449</v>
      </c>
      <c r="M1289">
        <v>43</v>
      </c>
      <c r="N1289" t="s">
        <v>33</v>
      </c>
      <c r="O1289">
        <v>3</v>
      </c>
      <c r="P1289" s="2">
        <f>EOMONTH(Table1[[#This Row],[Order_Date]],0)</f>
        <v>45473</v>
      </c>
      <c r="Q1289" s="3">
        <f>WEEKNUM(Table1[[#This Row],[Order_Date]])</f>
        <v>24</v>
      </c>
      <c r="R1289">
        <f>YEAR(Table1[[#This Row],[Order_Date]])</f>
        <v>2024</v>
      </c>
      <c r="S1289" t="str">
        <f>IF(Table1[[#This Row],[Quantity]]&gt;=3,"Promo","Regular")</f>
        <v>Regular</v>
      </c>
    </row>
    <row r="1290" spans="1:19" x14ac:dyDescent="0.35">
      <c r="A1290" t="s">
        <v>2180</v>
      </c>
      <c r="B1290" t="s">
        <v>1363</v>
      </c>
      <c r="C1290" s="1">
        <v>45543</v>
      </c>
      <c r="D1290" t="s">
        <v>48</v>
      </c>
      <c r="E1290" t="s">
        <v>132</v>
      </c>
      <c r="F1290" t="s">
        <v>85</v>
      </c>
      <c r="G1290" t="s">
        <v>31</v>
      </c>
      <c r="H1290" t="s">
        <v>32</v>
      </c>
      <c r="I1290" t="s">
        <v>20</v>
      </c>
      <c r="J1290">
        <v>4</v>
      </c>
      <c r="K1290">
        <v>348</v>
      </c>
      <c r="L1290">
        <v>1392</v>
      </c>
      <c r="M1290">
        <v>23</v>
      </c>
      <c r="N1290" t="s">
        <v>33</v>
      </c>
      <c r="O1290">
        <v>3.9</v>
      </c>
      <c r="P1290" s="2">
        <f>EOMONTH(Table1[[#This Row],[Order_Date]],0)</f>
        <v>45565</v>
      </c>
      <c r="Q1290" s="3">
        <f>WEEKNUM(Table1[[#This Row],[Order_Date]])</f>
        <v>37</v>
      </c>
      <c r="R1290">
        <f>YEAR(Table1[[#This Row],[Order_Date]])</f>
        <v>2024</v>
      </c>
      <c r="S1290" t="str">
        <f>IF(Table1[[#This Row],[Quantity]]&gt;=3,"Promo","Regular")</f>
        <v>Promo</v>
      </c>
    </row>
    <row r="1291" spans="1:19" x14ac:dyDescent="0.35">
      <c r="A1291" t="s">
        <v>2181</v>
      </c>
      <c r="B1291" t="s">
        <v>1364</v>
      </c>
      <c r="C1291" s="1">
        <v>45477</v>
      </c>
      <c r="D1291" t="s">
        <v>48</v>
      </c>
      <c r="E1291" t="s">
        <v>68</v>
      </c>
      <c r="F1291" t="s">
        <v>35</v>
      </c>
      <c r="G1291" t="s">
        <v>73</v>
      </c>
      <c r="H1291" t="s">
        <v>26</v>
      </c>
      <c r="I1291" t="s">
        <v>20</v>
      </c>
      <c r="J1291">
        <v>1</v>
      </c>
      <c r="K1291">
        <v>276</v>
      </c>
      <c r="L1291">
        <v>276</v>
      </c>
      <c r="M1291">
        <v>45</v>
      </c>
      <c r="N1291" t="s">
        <v>33</v>
      </c>
      <c r="O1291">
        <v>3.1</v>
      </c>
      <c r="P1291" s="2">
        <f>EOMONTH(Table1[[#This Row],[Order_Date]],0)</f>
        <v>45504</v>
      </c>
      <c r="Q1291" s="3">
        <f>WEEKNUM(Table1[[#This Row],[Order_Date]])</f>
        <v>27</v>
      </c>
      <c r="R1291">
        <f>YEAR(Table1[[#This Row],[Order_Date]])</f>
        <v>2024</v>
      </c>
      <c r="S1291" t="str">
        <f>IF(Table1[[#This Row],[Quantity]]&gt;=3,"Promo","Regular")</f>
        <v>Regular</v>
      </c>
    </row>
    <row r="1292" spans="1:19" x14ac:dyDescent="0.35">
      <c r="A1292" t="s">
        <v>2181</v>
      </c>
      <c r="B1292" t="s">
        <v>1365</v>
      </c>
      <c r="C1292" s="1">
        <v>45369</v>
      </c>
      <c r="D1292" t="s">
        <v>15</v>
      </c>
      <c r="E1292" t="s">
        <v>23</v>
      </c>
      <c r="F1292" t="s">
        <v>85</v>
      </c>
      <c r="G1292" t="s">
        <v>31</v>
      </c>
      <c r="H1292" t="s">
        <v>55</v>
      </c>
      <c r="I1292" t="s">
        <v>20</v>
      </c>
      <c r="J1292">
        <v>3</v>
      </c>
      <c r="K1292">
        <v>133</v>
      </c>
      <c r="L1292">
        <v>399</v>
      </c>
      <c r="M1292">
        <v>47</v>
      </c>
      <c r="N1292" t="s">
        <v>38</v>
      </c>
      <c r="O1292">
        <v>5</v>
      </c>
      <c r="P1292" s="2">
        <f>EOMONTH(Table1[[#This Row],[Order_Date]],0)</f>
        <v>45382</v>
      </c>
      <c r="Q1292" s="3">
        <f>WEEKNUM(Table1[[#This Row],[Order_Date]])</f>
        <v>12</v>
      </c>
      <c r="R1292">
        <f>YEAR(Table1[[#This Row],[Order_Date]])</f>
        <v>2024</v>
      </c>
      <c r="S1292" t="str">
        <f>IF(Table1[[#This Row],[Quantity]]&gt;=3,"Promo","Regular")</f>
        <v>Promo</v>
      </c>
    </row>
    <row r="1293" spans="1:19" x14ac:dyDescent="0.35">
      <c r="A1293" t="s">
        <v>2181</v>
      </c>
      <c r="B1293" t="s">
        <v>1366</v>
      </c>
      <c r="C1293" s="1">
        <v>45507</v>
      </c>
      <c r="D1293" t="s">
        <v>43</v>
      </c>
      <c r="E1293" t="s">
        <v>52</v>
      </c>
      <c r="F1293" t="s">
        <v>69</v>
      </c>
      <c r="G1293" t="s">
        <v>36</v>
      </c>
      <c r="H1293" t="s">
        <v>32</v>
      </c>
      <c r="I1293" t="s">
        <v>20</v>
      </c>
      <c r="J1293">
        <v>3</v>
      </c>
      <c r="K1293">
        <v>269</v>
      </c>
      <c r="L1293">
        <v>807</v>
      </c>
      <c r="M1293">
        <v>49</v>
      </c>
      <c r="N1293" t="s">
        <v>21</v>
      </c>
      <c r="O1293">
        <v>4.4000000000000004</v>
      </c>
      <c r="P1293" s="2">
        <f>EOMONTH(Table1[[#This Row],[Order_Date]],0)</f>
        <v>45535</v>
      </c>
      <c r="Q1293" s="3">
        <f>WEEKNUM(Table1[[#This Row],[Order_Date]])</f>
        <v>31</v>
      </c>
      <c r="R1293">
        <f>YEAR(Table1[[#This Row],[Order_Date]])</f>
        <v>2024</v>
      </c>
      <c r="S1293" t="str">
        <f>IF(Table1[[#This Row],[Quantity]]&gt;=3,"Promo","Regular")</f>
        <v>Promo</v>
      </c>
    </row>
    <row r="1294" spans="1:19" x14ac:dyDescent="0.35">
      <c r="A1294" t="s">
        <v>2181</v>
      </c>
      <c r="B1294" t="s">
        <v>1367</v>
      </c>
      <c r="C1294" s="1">
        <v>45539</v>
      </c>
      <c r="D1294" t="s">
        <v>28</v>
      </c>
      <c r="E1294" t="s">
        <v>98</v>
      </c>
      <c r="F1294" t="s">
        <v>30</v>
      </c>
      <c r="G1294" t="s">
        <v>46</v>
      </c>
      <c r="H1294" t="s">
        <v>53</v>
      </c>
      <c r="I1294" t="s">
        <v>20</v>
      </c>
      <c r="J1294">
        <v>1</v>
      </c>
      <c r="K1294">
        <v>166</v>
      </c>
      <c r="L1294">
        <v>166</v>
      </c>
      <c r="M1294">
        <v>53</v>
      </c>
      <c r="N1294" t="s">
        <v>38</v>
      </c>
      <c r="O1294">
        <v>4</v>
      </c>
      <c r="P1294" s="2">
        <f>EOMONTH(Table1[[#This Row],[Order_Date]],0)</f>
        <v>45565</v>
      </c>
      <c r="Q1294" s="3">
        <f>WEEKNUM(Table1[[#This Row],[Order_Date]])</f>
        <v>36</v>
      </c>
      <c r="R1294">
        <f>YEAR(Table1[[#This Row],[Order_Date]])</f>
        <v>2024</v>
      </c>
      <c r="S1294" t="str">
        <f>IF(Table1[[#This Row],[Quantity]]&gt;=3,"Promo","Regular")</f>
        <v>Regular</v>
      </c>
    </row>
    <row r="1295" spans="1:19" x14ac:dyDescent="0.35">
      <c r="A1295" t="s">
        <v>2181</v>
      </c>
      <c r="B1295" t="s">
        <v>1368</v>
      </c>
      <c r="C1295" s="1">
        <v>45304</v>
      </c>
      <c r="D1295" t="s">
        <v>43</v>
      </c>
      <c r="E1295" t="s">
        <v>93</v>
      </c>
      <c r="F1295" t="s">
        <v>30</v>
      </c>
      <c r="G1295" t="s">
        <v>31</v>
      </c>
      <c r="H1295" t="s">
        <v>53</v>
      </c>
      <c r="I1295" t="s">
        <v>20</v>
      </c>
      <c r="J1295">
        <v>2</v>
      </c>
      <c r="K1295">
        <v>149</v>
      </c>
      <c r="L1295">
        <v>298</v>
      </c>
      <c r="M1295">
        <v>53</v>
      </c>
      <c r="N1295" t="s">
        <v>21</v>
      </c>
      <c r="O1295">
        <v>3.5</v>
      </c>
      <c r="P1295" s="2">
        <f>EOMONTH(Table1[[#This Row],[Order_Date]],0)</f>
        <v>45322</v>
      </c>
      <c r="Q1295" s="3">
        <f>WEEKNUM(Table1[[#This Row],[Order_Date]])</f>
        <v>2</v>
      </c>
      <c r="R1295">
        <f>YEAR(Table1[[#This Row],[Order_Date]])</f>
        <v>2024</v>
      </c>
      <c r="S1295" t="str">
        <f>IF(Table1[[#This Row],[Quantity]]&gt;=3,"Promo","Regular")</f>
        <v>Regular</v>
      </c>
    </row>
    <row r="1296" spans="1:19" x14ac:dyDescent="0.35">
      <c r="A1296" t="s">
        <v>2182</v>
      </c>
      <c r="B1296" t="s">
        <v>1369</v>
      </c>
      <c r="C1296" s="1">
        <v>45430</v>
      </c>
      <c r="D1296" t="s">
        <v>57</v>
      </c>
      <c r="E1296" t="s">
        <v>105</v>
      </c>
      <c r="F1296" t="s">
        <v>24</v>
      </c>
      <c r="G1296" t="s">
        <v>31</v>
      </c>
      <c r="H1296" t="s">
        <v>53</v>
      </c>
      <c r="I1296" t="s">
        <v>20</v>
      </c>
      <c r="J1296">
        <v>3</v>
      </c>
      <c r="K1296">
        <v>194</v>
      </c>
      <c r="L1296">
        <v>582</v>
      </c>
      <c r="M1296">
        <v>23</v>
      </c>
      <c r="N1296" t="s">
        <v>38</v>
      </c>
      <c r="O1296">
        <v>3.1</v>
      </c>
      <c r="P1296" s="2">
        <f>EOMONTH(Table1[[#This Row],[Order_Date]],0)</f>
        <v>45443</v>
      </c>
      <c r="Q1296" s="3">
        <f>WEEKNUM(Table1[[#This Row],[Order_Date]])</f>
        <v>20</v>
      </c>
      <c r="R1296">
        <f>YEAR(Table1[[#This Row],[Order_Date]])</f>
        <v>2024</v>
      </c>
      <c r="S1296" t="str">
        <f>IF(Table1[[#This Row],[Quantity]]&gt;=3,"Promo","Regular")</f>
        <v>Promo</v>
      </c>
    </row>
    <row r="1297" spans="1:19" x14ac:dyDescent="0.35">
      <c r="A1297" t="s">
        <v>2182</v>
      </c>
      <c r="B1297" t="s">
        <v>1370</v>
      </c>
      <c r="C1297" s="1">
        <v>45484</v>
      </c>
      <c r="D1297" t="s">
        <v>48</v>
      </c>
      <c r="E1297" t="s">
        <v>127</v>
      </c>
      <c r="F1297" t="s">
        <v>65</v>
      </c>
      <c r="G1297" t="s">
        <v>18</v>
      </c>
      <c r="H1297" t="s">
        <v>53</v>
      </c>
      <c r="I1297" t="s">
        <v>20</v>
      </c>
      <c r="J1297">
        <v>5</v>
      </c>
      <c r="K1297">
        <v>113</v>
      </c>
      <c r="L1297">
        <v>565</v>
      </c>
      <c r="M1297">
        <v>54</v>
      </c>
      <c r="N1297" t="s">
        <v>33</v>
      </c>
      <c r="O1297">
        <v>3.9</v>
      </c>
      <c r="P1297" s="2">
        <f>EOMONTH(Table1[[#This Row],[Order_Date]],0)</f>
        <v>45504</v>
      </c>
      <c r="Q1297" s="3">
        <f>WEEKNUM(Table1[[#This Row],[Order_Date]])</f>
        <v>28</v>
      </c>
      <c r="R1297">
        <f>YEAR(Table1[[#This Row],[Order_Date]])</f>
        <v>2024</v>
      </c>
      <c r="S1297" t="str">
        <f>IF(Table1[[#This Row],[Quantity]]&gt;=3,"Promo","Regular")</f>
        <v>Promo</v>
      </c>
    </row>
    <row r="1298" spans="1:19" x14ac:dyDescent="0.35">
      <c r="A1298" t="s">
        <v>2182</v>
      </c>
      <c r="B1298" t="s">
        <v>1371</v>
      </c>
      <c r="C1298" s="1">
        <v>45582</v>
      </c>
      <c r="D1298" t="s">
        <v>15</v>
      </c>
      <c r="E1298" t="s">
        <v>103</v>
      </c>
      <c r="F1298" t="s">
        <v>45</v>
      </c>
      <c r="G1298" t="s">
        <v>18</v>
      </c>
      <c r="H1298" t="s">
        <v>26</v>
      </c>
      <c r="I1298" t="s">
        <v>20</v>
      </c>
      <c r="J1298">
        <v>1</v>
      </c>
      <c r="K1298">
        <v>362</v>
      </c>
      <c r="L1298">
        <v>362</v>
      </c>
      <c r="M1298">
        <v>38</v>
      </c>
      <c r="N1298" t="s">
        <v>33</v>
      </c>
      <c r="O1298">
        <v>3.9</v>
      </c>
      <c r="P1298" s="2">
        <f>EOMONTH(Table1[[#This Row],[Order_Date]],0)</f>
        <v>45596</v>
      </c>
      <c r="Q1298" s="3">
        <f>WEEKNUM(Table1[[#This Row],[Order_Date]])</f>
        <v>42</v>
      </c>
      <c r="R1298">
        <f>YEAR(Table1[[#This Row],[Order_Date]])</f>
        <v>2024</v>
      </c>
      <c r="S1298" t="str">
        <f>IF(Table1[[#This Row],[Quantity]]&gt;=3,"Promo","Regular")</f>
        <v>Regular</v>
      </c>
    </row>
    <row r="1299" spans="1:19" x14ac:dyDescent="0.35">
      <c r="A1299" t="s">
        <v>2183</v>
      </c>
      <c r="B1299" t="s">
        <v>1372</v>
      </c>
      <c r="C1299" s="1">
        <v>45540</v>
      </c>
      <c r="D1299" t="s">
        <v>15</v>
      </c>
      <c r="E1299" t="s">
        <v>112</v>
      </c>
      <c r="F1299" t="s">
        <v>69</v>
      </c>
      <c r="G1299" t="s">
        <v>18</v>
      </c>
      <c r="H1299" t="s">
        <v>50</v>
      </c>
      <c r="I1299" t="s">
        <v>20</v>
      </c>
      <c r="J1299">
        <v>4</v>
      </c>
      <c r="K1299">
        <v>207</v>
      </c>
      <c r="L1299">
        <v>828</v>
      </c>
      <c r="M1299">
        <v>49</v>
      </c>
      <c r="N1299" t="s">
        <v>38</v>
      </c>
      <c r="O1299">
        <v>4.5</v>
      </c>
      <c r="P1299" s="2">
        <f>EOMONTH(Table1[[#This Row],[Order_Date]],0)</f>
        <v>45565</v>
      </c>
      <c r="Q1299" s="3">
        <f>WEEKNUM(Table1[[#This Row],[Order_Date]])</f>
        <v>36</v>
      </c>
      <c r="R1299">
        <f>YEAR(Table1[[#This Row],[Order_Date]])</f>
        <v>2024</v>
      </c>
      <c r="S1299" t="str">
        <f>IF(Table1[[#This Row],[Quantity]]&gt;=3,"Promo","Regular")</f>
        <v>Promo</v>
      </c>
    </row>
    <row r="1300" spans="1:19" x14ac:dyDescent="0.35">
      <c r="A1300" t="s">
        <v>2183</v>
      </c>
      <c r="B1300" t="s">
        <v>1373</v>
      </c>
      <c r="C1300" s="1">
        <v>45592</v>
      </c>
      <c r="D1300" t="s">
        <v>57</v>
      </c>
      <c r="E1300" t="s">
        <v>75</v>
      </c>
      <c r="F1300" t="s">
        <v>24</v>
      </c>
      <c r="G1300" t="s">
        <v>18</v>
      </c>
      <c r="H1300" t="s">
        <v>50</v>
      </c>
      <c r="I1300" t="s">
        <v>20</v>
      </c>
      <c r="J1300">
        <v>1</v>
      </c>
      <c r="K1300">
        <v>104</v>
      </c>
      <c r="L1300">
        <v>104</v>
      </c>
      <c r="M1300">
        <v>47</v>
      </c>
      <c r="N1300" t="s">
        <v>21</v>
      </c>
      <c r="O1300">
        <v>3.4</v>
      </c>
      <c r="P1300" s="2">
        <f>EOMONTH(Table1[[#This Row],[Order_Date]],0)</f>
        <v>45596</v>
      </c>
      <c r="Q1300" s="3">
        <f>WEEKNUM(Table1[[#This Row],[Order_Date]])</f>
        <v>44</v>
      </c>
      <c r="R1300">
        <f>YEAR(Table1[[#This Row],[Order_Date]])</f>
        <v>2024</v>
      </c>
      <c r="S1300" t="str">
        <f>IF(Table1[[#This Row],[Quantity]]&gt;=3,"Promo","Regular")</f>
        <v>Regular</v>
      </c>
    </row>
    <row r="1301" spans="1:19" x14ac:dyDescent="0.35">
      <c r="A1301" t="s">
        <v>2183</v>
      </c>
      <c r="B1301" t="s">
        <v>1374</v>
      </c>
      <c r="C1301" s="1">
        <v>45504</v>
      </c>
      <c r="D1301" t="s">
        <v>57</v>
      </c>
      <c r="E1301" t="s">
        <v>75</v>
      </c>
      <c r="F1301" t="s">
        <v>30</v>
      </c>
      <c r="G1301" t="s">
        <v>73</v>
      </c>
      <c r="H1301" t="s">
        <v>37</v>
      </c>
      <c r="I1301" t="s">
        <v>20</v>
      </c>
      <c r="J1301">
        <v>2</v>
      </c>
      <c r="K1301">
        <v>298</v>
      </c>
      <c r="L1301">
        <v>596</v>
      </c>
      <c r="M1301">
        <v>59</v>
      </c>
      <c r="N1301" t="s">
        <v>21</v>
      </c>
      <c r="O1301">
        <v>3.2</v>
      </c>
      <c r="P1301" s="2">
        <f>EOMONTH(Table1[[#This Row],[Order_Date]],0)</f>
        <v>45504</v>
      </c>
      <c r="Q1301" s="3">
        <f>WEEKNUM(Table1[[#This Row],[Order_Date]])</f>
        <v>31</v>
      </c>
      <c r="R1301">
        <f>YEAR(Table1[[#This Row],[Order_Date]])</f>
        <v>2024</v>
      </c>
      <c r="S1301" t="str">
        <f>IF(Table1[[#This Row],[Quantity]]&gt;=3,"Promo","Regular")</f>
        <v>Regular</v>
      </c>
    </row>
    <row r="1302" spans="1:19" x14ac:dyDescent="0.35">
      <c r="A1302" t="s">
        <v>2184</v>
      </c>
      <c r="B1302" t="s">
        <v>1375</v>
      </c>
      <c r="C1302" s="1">
        <v>45455</v>
      </c>
      <c r="D1302" t="s">
        <v>43</v>
      </c>
      <c r="E1302" t="s">
        <v>44</v>
      </c>
      <c r="F1302" t="s">
        <v>35</v>
      </c>
      <c r="G1302" t="s">
        <v>46</v>
      </c>
      <c r="H1302" t="s">
        <v>55</v>
      </c>
      <c r="I1302" t="s">
        <v>20</v>
      </c>
      <c r="J1302">
        <v>5</v>
      </c>
      <c r="K1302">
        <v>252</v>
      </c>
      <c r="L1302">
        <v>1260</v>
      </c>
      <c r="M1302">
        <v>54</v>
      </c>
      <c r="N1302" t="s">
        <v>21</v>
      </c>
      <c r="O1302">
        <v>3.8</v>
      </c>
      <c r="P1302" s="2">
        <f>EOMONTH(Table1[[#This Row],[Order_Date]],0)</f>
        <v>45473</v>
      </c>
      <c r="Q1302" s="3">
        <f>WEEKNUM(Table1[[#This Row],[Order_Date]])</f>
        <v>24</v>
      </c>
      <c r="R1302">
        <f>YEAR(Table1[[#This Row],[Order_Date]])</f>
        <v>2024</v>
      </c>
      <c r="S1302" t="str">
        <f>IF(Table1[[#This Row],[Quantity]]&gt;=3,"Promo","Regular")</f>
        <v>Promo</v>
      </c>
    </row>
    <row r="1303" spans="1:19" x14ac:dyDescent="0.35">
      <c r="A1303" t="s">
        <v>2184</v>
      </c>
      <c r="B1303" t="s">
        <v>1376</v>
      </c>
      <c r="C1303" s="1">
        <v>45343</v>
      </c>
      <c r="D1303" t="s">
        <v>43</v>
      </c>
      <c r="E1303" t="s">
        <v>82</v>
      </c>
      <c r="F1303" t="s">
        <v>69</v>
      </c>
      <c r="G1303" t="s">
        <v>46</v>
      </c>
      <c r="H1303" t="s">
        <v>37</v>
      </c>
      <c r="I1303" t="s">
        <v>20</v>
      </c>
      <c r="J1303">
        <v>1</v>
      </c>
      <c r="K1303">
        <v>298</v>
      </c>
      <c r="L1303">
        <v>298</v>
      </c>
      <c r="M1303">
        <v>26</v>
      </c>
      <c r="N1303" t="s">
        <v>38</v>
      </c>
      <c r="O1303">
        <v>4.5</v>
      </c>
      <c r="P1303" s="2">
        <f>EOMONTH(Table1[[#This Row],[Order_Date]],0)</f>
        <v>45351</v>
      </c>
      <c r="Q1303" s="3">
        <f>WEEKNUM(Table1[[#This Row],[Order_Date]])</f>
        <v>8</v>
      </c>
      <c r="R1303">
        <f>YEAR(Table1[[#This Row],[Order_Date]])</f>
        <v>2024</v>
      </c>
      <c r="S1303" t="str">
        <f>IF(Table1[[#This Row],[Quantity]]&gt;=3,"Promo","Regular")</f>
        <v>Regular</v>
      </c>
    </row>
    <row r="1304" spans="1:19" x14ac:dyDescent="0.35">
      <c r="A1304" t="s">
        <v>2185</v>
      </c>
      <c r="B1304" t="s">
        <v>1377</v>
      </c>
      <c r="C1304" s="1">
        <v>45308</v>
      </c>
      <c r="D1304" t="s">
        <v>28</v>
      </c>
      <c r="E1304" t="s">
        <v>77</v>
      </c>
      <c r="F1304" t="s">
        <v>35</v>
      </c>
      <c r="G1304" t="s">
        <v>25</v>
      </c>
      <c r="H1304" t="s">
        <v>120</v>
      </c>
      <c r="I1304" t="s">
        <v>60</v>
      </c>
      <c r="J1304">
        <v>2</v>
      </c>
      <c r="K1304">
        <v>292</v>
      </c>
      <c r="L1304">
        <v>584</v>
      </c>
      <c r="M1304">
        <v>45</v>
      </c>
      <c r="N1304" t="s">
        <v>38</v>
      </c>
      <c r="O1304">
        <v>4.0999999999999996</v>
      </c>
      <c r="P1304" s="2">
        <f>EOMONTH(Table1[[#This Row],[Order_Date]],0)</f>
        <v>45322</v>
      </c>
      <c r="Q1304" s="3">
        <f>WEEKNUM(Table1[[#This Row],[Order_Date]])</f>
        <v>3</v>
      </c>
      <c r="R1304">
        <f>YEAR(Table1[[#This Row],[Order_Date]])</f>
        <v>2024</v>
      </c>
      <c r="S1304" t="str">
        <f>IF(Table1[[#This Row],[Quantity]]&gt;=3,"Promo","Regular")</f>
        <v>Regular</v>
      </c>
    </row>
    <row r="1305" spans="1:19" x14ac:dyDescent="0.35">
      <c r="A1305" t="s">
        <v>2185</v>
      </c>
      <c r="B1305" t="s">
        <v>1378</v>
      </c>
      <c r="C1305" s="1">
        <v>45381</v>
      </c>
      <c r="D1305" t="s">
        <v>43</v>
      </c>
      <c r="E1305" t="s">
        <v>82</v>
      </c>
      <c r="F1305" t="s">
        <v>85</v>
      </c>
      <c r="G1305" t="s">
        <v>46</v>
      </c>
      <c r="H1305" t="s">
        <v>37</v>
      </c>
      <c r="I1305" t="s">
        <v>20</v>
      </c>
      <c r="J1305">
        <v>5</v>
      </c>
      <c r="K1305">
        <v>154</v>
      </c>
      <c r="L1305">
        <v>770</v>
      </c>
      <c r="M1305">
        <v>36</v>
      </c>
      <c r="N1305" t="s">
        <v>33</v>
      </c>
      <c r="O1305">
        <v>4.7</v>
      </c>
      <c r="P1305" s="2">
        <f>EOMONTH(Table1[[#This Row],[Order_Date]],0)</f>
        <v>45382</v>
      </c>
      <c r="Q1305" s="3">
        <f>WEEKNUM(Table1[[#This Row],[Order_Date]])</f>
        <v>13</v>
      </c>
      <c r="R1305">
        <f>YEAR(Table1[[#This Row],[Order_Date]])</f>
        <v>2024</v>
      </c>
      <c r="S1305" t="str">
        <f>IF(Table1[[#This Row],[Quantity]]&gt;=3,"Promo","Regular")</f>
        <v>Promo</v>
      </c>
    </row>
    <row r="1306" spans="1:19" x14ac:dyDescent="0.35">
      <c r="A1306" t="s">
        <v>2185</v>
      </c>
      <c r="B1306" t="s">
        <v>1379</v>
      </c>
      <c r="C1306" s="1">
        <v>45550</v>
      </c>
      <c r="D1306" t="s">
        <v>57</v>
      </c>
      <c r="E1306" t="s">
        <v>58</v>
      </c>
      <c r="F1306" t="s">
        <v>24</v>
      </c>
      <c r="G1306" t="s">
        <v>46</v>
      </c>
      <c r="H1306" t="s">
        <v>66</v>
      </c>
      <c r="I1306" t="s">
        <v>20</v>
      </c>
      <c r="J1306">
        <v>5</v>
      </c>
      <c r="K1306">
        <v>330</v>
      </c>
      <c r="L1306">
        <v>1650</v>
      </c>
      <c r="M1306">
        <v>56</v>
      </c>
      <c r="N1306" t="s">
        <v>33</v>
      </c>
      <c r="O1306">
        <v>3.3</v>
      </c>
      <c r="P1306" s="2">
        <f>EOMONTH(Table1[[#This Row],[Order_Date]],0)</f>
        <v>45565</v>
      </c>
      <c r="Q1306" s="3">
        <f>WEEKNUM(Table1[[#This Row],[Order_Date]])</f>
        <v>38</v>
      </c>
      <c r="R1306">
        <f>YEAR(Table1[[#This Row],[Order_Date]])</f>
        <v>2024</v>
      </c>
      <c r="S1306" t="str">
        <f>IF(Table1[[#This Row],[Quantity]]&gt;=3,"Promo","Regular")</f>
        <v>Promo</v>
      </c>
    </row>
    <row r="1307" spans="1:19" x14ac:dyDescent="0.35">
      <c r="A1307" t="s">
        <v>2185</v>
      </c>
      <c r="B1307" t="s">
        <v>1380</v>
      </c>
      <c r="C1307" s="1">
        <v>45475</v>
      </c>
      <c r="D1307" t="s">
        <v>43</v>
      </c>
      <c r="E1307" t="s">
        <v>44</v>
      </c>
      <c r="F1307" t="s">
        <v>85</v>
      </c>
      <c r="G1307" t="s">
        <v>25</v>
      </c>
      <c r="H1307" t="s">
        <v>53</v>
      </c>
      <c r="I1307" t="s">
        <v>20</v>
      </c>
      <c r="J1307">
        <v>3</v>
      </c>
      <c r="K1307">
        <v>381</v>
      </c>
      <c r="L1307">
        <v>1143</v>
      </c>
      <c r="M1307">
        <v>20</v>
      </c>
      <c r="N1307" t="s">
        <v>33</v>
      </c>
      <c r="O1307">
        <v>4.4000000000000004</v>
      </c>
      <c r="P1307" s="2">
        <f>EOMONTH(Table1[[#This Row],[Order_Date]],0)</f>
        <v>45504</v>
      </c>
      <c r="Q1307" s="3">
        <f>WEEKNUM(Table1[[#This Row],[Order_Date]])</f>
        <v>27</v>
      </c>
      <c r="R1307">
        <f>YEAR(Table1[[#This Row],[Order_Date]])</f>
        <v>2024</v>
      </c>
      <c r="S1307" t="str">
        <f>IF(Table1[[#This Row],[Quantity]]&gt;=3,"Promo","Regular")</f>
        <v>Promo</v>
      </c>
    </row>
    <row r="1308" spans="1:19" x14ac:dyDescent="0.35">
      <c r="A1308" t="s">
        <v>2185</v>
      </c>
      <c r="B1308" t="s">
        <v>1381</v>
      </c>
      <c r="C1308" s="1">
        <v>45315</v>
      </c>
      <c r="D1308" t="s">
        <v>28</v>
      </c>
      <c r="E1308" t="s">
        <v>29</v>
      </c>
      <c r="F1308" t="s">
        <v>30</v>
      </c>
      <c r="G1308" t="s">
        <v>31</v>
      </c>
      <c r="H1308" t="s">
        <v>37</v>
      </c>
      <c r="I1308" t="s">
        <v>20</v>
      </c>
      <c r="J1308">
        <v>4</v>
      </c>
      <c r="K1308">
        <v>214</v>
      </c>
      <c r="L1308">
        <v>856</v>
      </c>
      <c r="M1308">
        <v>32</v>
      </c>
      <c r="N1308" t="s">
        <v>33</v>
      </c>
      <c r="O1308">
        <v>4.2</v>
      </c>
      <c r="P1308" s="2">
        <f>EOMONTH(Table1[[#This Row],[Order_Date]],0)</f>
        <v>45322</v>
      </c>
      <c r="Q1308" s="3">
        <f>WEEKNUM(Table1[[#This Row],[Order_Date]])</f>
        <v>4</v>
      </c>
      <c r="R1308">
        <f>YEAR(Table1[[#This Row],[Order_Date]])</f>
        <v>2024</v>
      </c>
      <c r="S1308" t="str">
        <f>IF(Table1[[#This Row],[Quantity]]&gt;=3,"Promo","Regular")</f>
        <v>Promo</v>
      </c>
    </row>
    <row r="1309" spans="1:19" x14ac:dyDescent="0.35">
      <c r="A1309" t="s">
        <v>2186</v>
      </c>
      <c r="B1309" t="s">
        <v>1382</v>
      </c>
      <c r="C1309" s="1">
        <v>45427</v>
      </c>
      <c r="D1309" t="s">
        <v>48</v>
      </c>
      <c r="E1309" t="s">
        <v>64</v>
      </c>
      <c r="F1309" t="s">
        <v>41</v>
      </c>
      <c r="G1309" t="s">
        <v>25</v>
      </c>
      <c r="H1309" t="s">
        <v>32</v>
      </c>
      <c r="I1309" t="s">
        <v>20</v>
      </c>
      <c r="J1309">
        <v>4</v>
      </c>
      <c r="K1309">
        <v>326</v>
      </c>
      <c r="L1309">
        <v>1304</v>
      </c>
      <c r="M1309">
        <v>52</v>
      </c>
      <c r="N1309" t="s">
        <v>21</v>
      </c>
      <c r="O1309">
        <v>4.7</v>
      </c>
      <c r="P1309" s="2">
        <f>EOMONTH(Table1[[#This Row],[Order_Date]],0)</f>
        <v>45443</v>
      </c>
      <c r="Q1309" s="3">
        <f>WEEKNUM(Table1[[#This Row],[Order_Date]])</f>
        <v>20</v>
      </c>
      <c r="R1309">
        <f>YEAR(Table1[[#This Row],[Order_Date]])</f>
        <v>2024</v>
      </c>
      <c r="S1309" t="str">
        <f>IF(Table1[[#This Row],[Quantity]]&gt;=3,"Promo","Regular")</f>
        <v>Promo</v>
      </c>
    </row>
    <row r="1310" spans="1:19" x14ac:dyDescent="0.35">
      <c r="A1310" t="s">
        <v>2186</v>
      </c>
      <c r="B1310" t="s">
        <v>1383</v>
      </c>
      <c r="C1310" s="1">
        <v>45447</v>
      </c>
      <c r="D1310" t="s">
        <v>57</v>
      </c>
      <c r="E1310" t="s">
        <v>136</v>
      </c>
      <c r="F1310" t="s">
        <v>65</v>
      </c>
      <c r="G1310" t="s">
        <v>25</v>
      </c>
      <c r="H1310" t="s">
        <v>53</v>
      </c>
      <c r="I1310" t="s">
        <v>20</v>
      </c>
      <c r="J1310">
        <v>2</v>
      </c>
      <c r="K1310">
        <v>437</v>
      </c>
      <c r="L1310">
        <v>874</v>
      </c>
      <c r="M1310">
        <v>34</v>
      </c>
      <c r="N1310" t="s">
        <v>33</v>
      </c>
      <c r="O1310">
        <v>4.0999999999999996</v>
      </c>
      <c r="P1310" s="2">
        <f>EOMONTH(Table1[[#This Row],[Order_Date]],0)</f>
        <v>45473</v>
      </c>
      <c r="Q1310" s="3">
        <f>WEEKNUM(Table1[[#This Row],[Order_Date]])</f>
        <v>23</v>
      </c>
      <c r="R1310">
        <f>YEAR(Table1[[#This Row],[Order_Date]])</f>
        <v>2024</v>
      </c>
      <c r="S1310" t="str">
        <f>IF(Table1[[#This Row],[Quantity]]&gt;=3,"Promo","Regular")</f>
        <v>Regular</v>
      </c>
    </row>
    <row r="1311" spans="1:19" x14ac:dyDescent="0.35">
      <c r="A1311" t="s">
        <v>2186</v>
      </c>
      <c r="B1311" t="s">
        <v>1384</v>
      </c>
      <c r="C1311" s="1">
        <v>45511</v>
      </c>
      <c r="D1311" t="s">
        <v>15</v>
      </c>
      <c r="E1311" t="s">
        <v>103</v>
      </c>
      <c r="F1311" t="s">
        <v>85</v>
      </c>
      <c r="G1311" t="s">
        <v>73</v>
      </c>
      <c r="H1311" t="s">
        <v>59</v>
      </c>
      <c r="I1311" t="s">
        <v>60</v>
      </c>
      <c r="J1311">
        <v>3</v>
      </c>
      <c r="K1311">
        <v>481</v>
      </c>
      <c r="L1311">
        <v>1443</v>
      </c>
      <c r="M1311">
        <v>31</v>
      </c>
      <c r="N1311" t="s">
        <v>21</v>
      </c>
      <c r="O1311">
        <v>4.0999999999999996</v>
      </c>
      <c r="P1311" s="2">
        <f>EOMONTH(Table1[[#This Row],[Order_Date]],0)</f>
        <v>45535</v>
      </c>
      <c r="Q1311" s="3">
        <f>WEEKNUM(Table1[[#This Row],[Order_Date]])</f>
        <v>32</v>
      </c>
      <c r="R1311">
        <f>YEAR(Table1[[#This Row],[Order_Date]])</f>
        <v>2024</v>
      </c>
      <c r="S1311" t="str">
        <f>IF(Table1[[#This Row],[Quantity]]&gt;=3,"Promo","Regular")</f>
        <v>Promo</v>
      </c>
    </row>
    <row r="1312" spans="1:19" x14ac:dyDescent="0.35">
      <c r="A1312" t="s">
        <v>2186</v>
      </c>
      <c r="B1312" t="s">
        <v>1385</v>
      </c>
      <c r="C1312" s="1">
        <v>45529</v>
      </c>
      <c r="D1312" t="s">
        <v>48</v>
      </c>
      <c r="E1312" t="s">
        <v>132</v>
      </c>
      <c r="F1312" t="s">
        <v>85</v>
      </c>
      <c r="G1312" t="s">
        <v>25</v>
      </c>
      <c r="H1312" t="s">
        <v>55</v>
      </c>
      <c r="I1312" t="s">
        <v>20</v>
      </c>
      <c r="J1312">
        <v>1</v>
      </c>
      <c r="K1312">
        <v>230</v>
      </c>
      <c r="L1312">
        <v>230</v>
      </c>
      <c r="M1312">
        <v>44</v>
      </c>
      <c r="N1312" t="s">
        <v>33</v>
      </c>
      <c r="O1312">
        <v>4.5</v>
      </c>
      <c r="P1312" s="2">
        <f>EOMONTH(Table1[[#This Row],[Order_Date]],0)</f>
        <v>45535</v>
      </c>
      <c r="Q1312" s="3">
        <f>WEEKNUM(Table1[[#This Row],[Order_Date]])</f>
        <v>35</v>
      </c>
      <c r="R1312">
        <f>YEAR(Table1[[#This Row],[Order_Date]])</f>
        <v>2024</v>
      </c>
      <c r="S1312" t="str">
        <f>IF(Table1[[#This Row],[Quantity]]&gt;=3,"Promo","Regular")</f>
        <v>Regular</v>
      </c>
    </row>
    <row r="1313" spans="1:19" x14ac:dyDescent="0.35">
      <c r="A1313" t="s">
        <v>2187</v>
      </c>
      <c r="B1313" t="s">
        <v>1386</v>
      </c>
      <c r="C1313" s="1">
        <v>45547</v>
      </c>
      <c r="D1313" t="s">
        <v>48</v>
      </c>
      <c r="E1313" t="s">
        <v>68</v>
      </c>
      <c r="F1313" t="s">
        <v>24</v>
      </c>
      <c r="G1313" t="s">
        <v>73</v>
      </c>
      <c r="H1313" t="s">
        <v>120</v>
      </c>
      <c r="I1313" t="s">
        <v>60</v>
      </c>
      <c r="J1313">
        <v>5</v>
      </c>
      <c r="K1313">
        <v>251</v>
      </c>
      <c r="L1313">
        <v>1255</v>
      </c>
      <c r="M1313">
        <v>31</v>
      </c>
      <c r="N1313" t="s">
        <v>38</v>
      </c>
      <c r="O1313">
        <v>3.6</v>
      </c>
      <c r="P1313" s="2">
        <f>EOMONTH(Table1[[#This Row],[Order_Date]],0)</f>
        <v>45565</v>
      </c>
      <c r="Q1313" s="3">
        <f>WEEKNUM(Table1[[#This Row],[Order_Date]])</f>
        <v>37</v>
      </c>
      <c r="R1313">
        <f>YEAR(Table1[[#This Row],[Order_Date]])</f>
        <v>2024</v>
      </c>
      <c r="S1313" t="str">
        <f>IF(Table1[[#This Row],[Quantity]]&gt;=3,"Promo","Regular")</f>
        <v>Promo</v>
      </c>
    </row>
    <row r="1314" spans="1:19" x14ac:dyDescent="0.35">
      <c r="A1314" t="s">
        <v>2187</v>
      </c>
      <c r="B1314" t="s">
        <v>1387</v>
      </c>
      <c r="C1314" s="1">
        <v>45295</v>
      </c>
      <c r="D1314" t="s">
        <v>57</v>
      </c>
      <c r="E1314" t="s">
        <v>62</v>
      </c>
      <c r="F1314" t="s">
        <v>41</v>
      </c>
      <c r="G1314" t="s">
        <v>25</v>
      </c>
      <c r="H1314" t="s">
        <v>53</v>
      </c>
      <c r="I1314" t="s">
        <v>20</v>
      </c>
      <c r="J1314">
        <v>1</v>
      </c>
      <c r="K1314">
        <v>161</v>
      </c>
      <c r="L1314">
        <v>161</v>
      </c>
      <c r="M1314">
        <v>20</v>
      </c>
      <c r="N1314" t="s">
        <v>38</v>
      </c>
      <c r="O1314">
        <v>5</v>
      </c>
      <c r="P1314" s="2">
        <f>EOMONTH(Table1[[#This Row],[Order_Date]],0)</f>
        <v>45322</v>
      </c>
      <c r="Q1314" s="3">
        <f>WEEKNUM(Table1[[#This Row],[Order_Date]])</f>
        <v>1</v>
      </c>
      <c r="R1314">
        <f>YEAR(Table1[[#This Row],[Order_Date]])</f>
        <v>2024</v>
      </c>
      <c r="S1314" t="str">
        <f>IF(Table1[[#This Row],[Quantity]]&gt;=3,"Promo","Regular")</f>
        <v>Regular</v>
      </c>
    </row>
    <row r="1315" spans="1:19" x14ac:dyDescent="0.35">
      <c r="A1315" t="s">
        <v>2187</v>
      </c>
      <c r="B1315" t="s">
        <v>1388</v>
      </c>
      <c r="C1315" s="1">
        <v>45499</v>
      </c>
      <c r="D1315" t="s">
        <v>28</v>
      </c>
      <c r="E1315" t="s">
        <v>98</v>
      </c>
      <c r="F1315" t="s">
        <v>24</v>
      </c>
      <c r="G1315" t="s">
        <v>18</v>
      </c>
      <c r="H1315" t="s">
        <v>19</v>
      </c>
      <c r="I1315" t="s">
        <v>20</v>
      </c>
      <c r="J1315">
        <v>5</v>
      </c>
      <c r="K1315">
        <v>355</v>
      </c>
      <c r="L1315">
        <v>1775</v>
      </c>
      <c r="M1315">
        <v>55</v>
      </c>
      <c r="N1315" t="s">
        <v>38</v>
      </c>
      <c r="O1315">
        <v>3.7</v>
      </c>
      <c r="P1315" s="2">
        <f>EOMONTH(Table1[[#This Row],[Order_Date]],0)</f>
        <v>45504</v>
      </c>
      <c r="Q1315" s="3">
        <f>WEEKNUM(Table1[[#This Row],[Order_Date]])</f>
        <v>30</v>
      </c>
      <c r="R1315">
        <f>YEAR(Table1[[#This Row],[Order_Date]])</f>
        <v>2024</v>
      </c>
      <c r="S1315" t="str">
        <f>IF(Table1[[#This Row],[Quantity]]&gt;=3,"Promo","Regular")</f>
        <v>Promo</v>
      </c>
    </row>
    <row r="1316" spans="1:19" x14ac:dyDescent="0.35">
      <c r="A1316" t="s">
        <v>2187</v>
      </c>
      <c r="B1316" t="s">
        <v>1389</v>
      </c>
      <c r="C1316" s="1">
        <v>45516</v>
      </c>
      <c r="D1316" t="s">
        <v>28</v>
      </c>
      <c r="E1316" t="s">
        <v>77</v>
      </c>
      <c r="F1316" t="s">
        <v>65</v>
      </c>
      <c r="G1316" t="s">
        <v>25</v>
      </c>
      <c r="H1316" t="s">
        <v>19</v>
      </c>
      <c r="I1316" t="s">
        <v>20</v>
      </c>
      <c r="J1316">
        <v>1</v>
      </c>
      <c r="K1316">
        <v>170</v>
      </c>
      <c r="L1316">
        <v>170</v>
      </c>
      <c r="M1316">
        <v>39</v>
      </c>
      <c r="N1316" t="s">
        <v>21</v>
      </c>
      <c r="O1316">
        <v>3.4</v>
      </c>
      <c r="P1316" s="2">
        <f>EOMONTH(Table1[[#This Row],[Order_Date]],0)</f>
        <v>45535</v>
      </c>
      <c r="Q1316" s="3">
        <f>WEEKNUM(Table1[[#This Row],[Order_Date]])</f>
        <v>33</v>
      </c>
      <c r="R1316">
        <f>YEAR(Table1[[#This Row],[Order_Date]])</f>
        <v>2024</v>
      </c>
      <c r="S1316" t="str">
        <f>IF(Table1[[#This Row],[Quantity]]&gt;=3,"Promo","Regular")</f>
        <v>Regular</v>
      </c>
    </row>
    <row r="1317" spans="1:19" x14ac:dyDescent="0.35">
      <c r="A1317" t="s">
        <v>2187</v>
      </c>
      <c r="B1317" t="s">
        <v>1390</v>
      </c>
      <c r="C1317" s="1">
        <v>45523</v>
      </c>
      <c r="D1317" t="s">
        <v>43</v>
      </c>
      <c r="E1317" t="s">
        <v>110</v>
      </c>
      <c r="F1317" t="s">
        <v>17</v>
      </c>
      <c r="G1317" t="s">
        <v>25</v>
      </c>
      <c r="H1317" t="s">
        <v>53</v>
      </c>
      <c r="I1317" t="s">
        <v>20</v>
      </c>
      <c r="J1317">
        <v>5</v>
      </c>
      <c r="K1317">
        <v>331</v>
      </c>
      <c r="L1317">
        <v>1655</v>
      </c>
      <c r="M1317">
        <v>50</v>
      </c>
      <c r="N1317" t="s">
        <v>21</v>
      </c>
      <c r="O1317">
        <v>3</v>
      </c>
      <c r="P1317" s="2">
        <f>EOMONTH(Table1[[#This Row],[Order_Date]],0)</f>
        <v>45535</v>
      </c>
      <c r="Q1317" s="3">
        <f>WEEKNUM(Table1[[#This Row],[Order_Date]])</f>
        <v>34</v>
      </c>
      <c r="R1317">
        <f>YEAR(Table1[[#This Row],[Order_Date]])</f>
        <v>2024</v>
      </c>
      <c r="S1317" t="str">
        <f>IF(Table1[[#This Row],[Quantity]]&gt;=3,"Promo","Regular")</f>
        <v>Promo</v>
      </c>
    </row>
    <row r="1318" spans="1:19" x14ac:dyDescent="0.35">
      <c r="A1318" t="s">
        <v>2188</v>
      </c>
      <c r="B1318" t="s">
        <v>1391</v>
      </c>
      <c r="C1318" s="1">
        <v>45544</v>
      </c>
      <c r="D1318" t="s">
        <v>57</v>
      </c>
      <c r="E1318" t="s">
        <v>58</v>
      </c>
      <c r="F1318" t="s">
        <v>41</v>
      </c>
      <c r="G1318" t="s">
        <v>25</v>
      </c>
      <c r="H1318" t="s">
        <v>19</v>
      </c>
      <c r="I1318" t="s">
        <v>20</v>
      </c>
      <c r="J1318">
        <v>3</v>
      </c>
      <c r="K1318">
        <v>372</v>
      </c>
      <c r="L1318">
        <v>1116</v>
      </c>
      <c r="M1318">
        <v>37</v>
      </c>
      <c r="N1318" t="s">
        <v>38</v>
      </c>
      <c r="O1318">
        <v>3.9</v>
      </c>
      <c r="P1318" s="2">
        <f>EOMONTH(Table1[[#This Row],[Order_Date]],0)</f>
        <v>45565</v>
      </c>
      <c r="Q1318" s="3">
        <f>WEEKNUM(Table1[[#This Row],[Order_Date]])</f>
        <v>37</v>
      </c>
      <c r="R1318">
        <f>YEAR(Table1[[#This Row],[Order_Date]])</f>
        <v>2024</v>
      </c>
      <c r="S1318" t="str">
        <f>IF(Table1[[#This Row],[Quantity]]&gt;=3,"Promo","Regular")</f>
        <v>Promo</v>
      </c>
    </row>
    <row r="1319" spans="1:19" x14ac:dyDescent="0.35">
      <c r="A1319" t="s">
        <v>2188</v>
      </c>
      <c r="B1319" t="s">
        <v>1392</v>
      </c>
      <c r="C1319" s="1">
        <v>45526</v>
      </c>
      <c r="D1319" t="s">
        <v>28</v>
      </c>
      <c r="E1319" t="s">
        <v>77</v>
      </c>
      <c r="F1319" t="s">
        <v>35</v>
      </c>
      <c r="G1319" t="s">
        <v>36</v>
      </c>
      <c r="H1319" t="s">
        <v>66</v>
      </c>
      <c r="I1319" t="s">
        <v>20</v>
      </c>
      <c r="J1319">
        <v>2</v>
      </c>
      <c r="K1319">
        <v>134</v>
      </c>
      <c r="L1319">
        <v>268</v>
      </c>
      <c r="M1319">
        <v>32</v>
      </c>
      <c r="N1319" t="s">
        <v>33</v>
      </c>
      <c r="O1319">
        <v>3.1</v>
      </c>
      <c r="P1319" s="2">
        <f>EOMONTH(Table1[[#This Row],[Order_Date]],0)</f>
        <v>45535</v>
      </c>
      <c r="Q1319" s="3">
        <f>WEEKNUM(Table1[[#This Row],[Order_Date]])</f>
        <v>34</v>
      </c>
      <c r="R1319">
        <f>YEAR(Table1[[#This Row],[Order_Date]])</f>
        <v>2024</v>
      </c>
      <c r="S1319" t="str">
        <f>IF(Table1[[#This Row],[Quantity]]&gt;=3,"Promo","Regular")</f>
        <v>Regular</v>
      </c>
    </row>
    <row r="1320" spans="1:19" x14ac:dyDescent="0.35">
      <c r="A1320" t="s">
        <v>2189</v>
      </c>
      <c r="B1320" t="s">
        <v>1393</v>
      </c>
      <c r="C1320" s="1">
        <v>45354</v>
      </c>
      <c r="D1320" t="s">
        <v>28</v>
      </c>
      <c r="E1320" t="s">
        <v>29</v>
      </c>
      <c r="F1320" t="s">
        <v>30</v>
      </c>
      <c r="G1320" t="s">
        <v>46</v>
      </c>
      <c r="H1320" t="s">
        <v>32</v>
      </c>
      <c r="I1320" t="s">
        <v>20</v>
      </c>
      <c r="J1320">
        <v>1</v>
      </c>
      <c r="K1320">
        <v>132</v>
      </c>
      <c r="L1320">
        <v>132</v>
      </c>
      <c r="M1320">
        <v>35</v>
      </c>
      <c r="N1320" t="s">
        <v>38</v>
      </c>
      <c r="O1320">
        <v>5</v>
      </c>
      <c r="P1320" s="2">
        <f>EOMONTH(Table1[[#This Row],[Order_Date]],0)</f>
        <v>45382</v>
      </c>
      <c r="Q1320" s="3">
        <f>WEEKNUM(Table1[[#This Row],[Order_Date]])</f>
        <v>10</v>
      </c>
      <c r="R1320">
        <f>YEAR(Table1[[#This Row],[Order_Date]])</f>
        <v>2024</v>
      </c>
      <c r="S1320" t="str">
        <f>IF(Table1[[#This Row],[Quantity]]&gt;=3,"Promo","Regular")</f>
        <v>Regular</v>
      </c>
    </row>
    <row r="1321" spans="1:19" x14ac:dyDescent="0.35">
      <c r="A1321" t="s">
        <v>2189</v>
      </c>
      <c r="B1321" t="s">
        <v>1394</v>
      </c>
      <c r="C1321" s="1">
        <v>45363</v>
      </c>
      <c r="D1321" t="s">
        <v>48</v>
      </c>
      <c r="E1321" t="s">
        <v>132</v>
      </c>
      <c r="F1321" t="s">
        <v>30</v>
      </c>
      <c r="G1321" t="s">
        <v>25</v>
      </c>
      <c r="H1321" t="s">
        <v>53</v>
      </c>
      <c r="I1321" t="s">
        <v>20</v>
      </c>
      <c r="J1321">
        <v>5</v>
      </c>
      <c r="K1321">
        <v>412</v>
      </c>
      <c r="L1321">
        <v>2060</v>
      </c>
      <c r="M1321">
        <v>44</v>
      </c>
      <c r="N1321" t="s">
        <v>33</v>
      </c>
      <c r="O1321">
        <v>4.4000000000000004</v>
      </c>
      <c r="P1321" s="2">
        <f>EOMONTH(Table1[[#This Row],[Order_Date]],0)</f>
        <v>45382</v>
      </c>
      <c r="Q1321" s="3">
        <f>WEEKNUM(Table1[[#This Row],[Order_Date]])</f>
        <v>11</v>
      </c>
      <c r="R1321">
        <f>YEAR(Table1[[#This Row],[Order_Date]])</f>
        <v>2024</v>
      </c>
      <c r="S1321" t="str">
        <f>IF(Table1[[#This Row],[Quantity]]&gt;=3,"Promo","Regular")</f>
        <v>Promo</v>
      </c>
    </row>
    <row r="1322" spans="1:19" x14ac:dyDescent="0.35">
      <c r="A1322" t="s">
        <v>2189</v>
      </c>
      <c r="B1322" t="s">
        <v>1395</v>
      </c>
      <c r="C1322" s="1">
        <v>45386</v>
      </c>
      <c r="D1322" t="s">
        <v>57</v>
      </c>
      <c r="E1322" t="s">
        <v>62</v>
      </c>
      <c r="F1322" t="s">
        <v>41</v>
      </c>
      <c r="G1322" t="s">
        <v>31</v>
      </c>
      <c r="H1322" t="s">
        <v>66</v>
      </c>
      <c r="I1322" t="s">
        <v>20</v>
      </c>
      <c r="J1322">
        <v>1</v>
      </c>
      <c r="K1322">
        <v>463</v>
      </c>
      <c r="L1322">
        <v>463</v>
      </c>
      <c r="M1322">
        <v>26</v>
      </c>
      <c r="N1322" t="s">
        <v>33</v>
      </c>
      <c r="O1322">
        <v>4</v>
      </c>
      <c r="P1322" s="2">
        <f>EOMONTH(Table1[[#This Row],[Order_Date]],0)</f>
        <v>45412</v>
      </c>
      <c r="Q1322" s="3">
        <f>WEEKNUM(Table1[[#This Row],[Order_Date]])</f>
        <v>14</v>
      </c>
      <c r="R1322">
        <f>YEAR(Table1[[#This Row],[Order_Date]])</f>
        <v>2024</v>
      </c>
      <c r="S1322" t="str">
        <f>IF(Table1[[#This Row],[Quantity]]&gt;=3,"Promo","Regular")</f>
        <v>Regular</v>
      </c>
    </row>
    <row r="1323" spans="1:19" x14ac:dyDescent="0.35">
      <c r="A1323" t="s">
        <v>2189</v>
      </c>
      <c r="B1323" t="s">
        <v>1396</v>
      </c>
      <c r="C1323" s="1">
        <v>45507</v>
      </c>
      <c r="D1323" t="s">
        <v>28</v>
      </c>
      <c r="E1323" t="s">
        <v>40</v>
      </c>
      <c r="F1323" t="s">
        <v>35</v>
      </c>
      <c r="G1323" t="s">
        <v>73</v>
      </c>
      <c r="H1323" t="s">
        <v>19</v>
      </c>
      <c r="I1323" t="s">
        <v>20</v>
      </c>
      <c r="J1323">
        <v>4</v>
      </c>
      <c r="K1323">
        <v>487</v>
      </c>
      <c r="L1323">
        <v>1948</v>
      </c>
      <c r="M1323">
        <v>20</v>
      </c>
      <c r="N1323" t="s">
        <v>21</v>
      </c>
      <c r="O1323">
        <v>3.5</v>
      </c>
      <c r="P1323" s="2">
        <f>EOMONTH(Table1[[#This Row],[Order_Date]],0)</f>
        <v>45535</v>
      </c>
      <c r="Q1323" s="3">
        <f>WEEKNUM(Table1[[#This Row],[Order_Date]])</f>
        <v>31</v>
      </c>
      <c r="R1323">
        <f>YEAR(Table1[[#This Row],[Order_Date]])</f>
        <v>2024</v>
      </c>
      <c r="S1323" t="str">
        <f>IF(Table1[[#This Row],[Quantity]]&gt;=3,"Promo","Regular")</f>
        <v>Promo</v>
      </c>
    </row>
    <row r="1324" spans="1:19" x14ac:dyDescent="0.35">
      <c r="A1324" t="s">
        <v>2189</v>
      </c>
      <c r="B1324" t="s">
        <v>1397</v>
      </c>
      <c r="C1324" s="1">
        <v>45324</v>
      </c>
      <c r="D1324" t="s">
        <v>57</v>
      </c>
      <c r="E1324" t="s">
        <v>105</v>
      </c>
      <c r="F1324" t="s">
        <v>72</v>
      </c>
      <c r="G1324" t="s">
        <v>25</v>
      </c>
      <c r="H1324" t="s">
        <v>120</v>
      </c>
      <c r="I1324" t="s">
        <v>60</v>
      </c>
      <c r="J1324">
        <v>5</v>
      </c>
      <c r="K1324">
        <v>158</v>
      </c>
      <c r="L1324">
        <v>790</v>
      </c>
      <c r="M1324">
        <v>56</v>
      </c>
      <c r="N1324" t="s">
        <v>33</v>
      </c>
      <c r="O1324">
        <v>3.1</v>
      </c>
      <c r="P1324" s="2">
        <f>EOMONTH(Table1[[#This Row],[Order_Date]],0)</f>
        <v>45351</v>
      </c>
      <c r="Q1324" s="3">
        <f>WEEKNUM(Table1[[#This Row],[Order_Date]])</f>
        <v>5</v>
      </c>
      <c r="R1324">
        <f>YEAR(Table1[[#This Row],[Order_Date]])</f>
        <v>2024</v>
      </c>
      <c r="S1324" t="str">
        <f>IF(Table1[[#This Row],[Quantity]]&gt;=3,"Promo","Regular")</f>
        <v>Promo</v>
      </c>
    </row>
    <row r="1325" spans="1:19" x14ac:dyDescent="0.35">
      <c r="A1325" t="s">
        <v>2190</v>
      </c>
      <c r="B1325" t="s">
        <v>1398</v>
      </c>
      <c r="C1325" s="1">
        <v>45346</v>
      </c>
      <c r="D1325" t="s">
        <v>57</v>
      </c>
      <c r="E1325" t="s">
        <v>75</v>
      </c>
      <c r="F1325" t="s">
        <v>30</v>
      </c>
      <c r="G1325" t="s">
        <v>73</v>
      </c>
      <c r="H1325" t="s">
        <v>59</v>
      </c>
      <c r="I1325" t="s">
        <v>60</v>
      </c>
      <c r="J1325">
        <v>2</v>
      </c>
      <c r="K1325">
        <v>246</v>
      </c>
      <c r="L1325">
        <v>492</v>
      </c>
      <c r="M1325">
        <v>37</v>
      </c>
      <c r="N1325" t="s">
        <v>38</v>
      </c>
      <c r="O1325">
        <v>3.9</v>
      </c>
      <c r="P1325" s="2">
        <f>EOMONTH(Table1[[#This Row],[Order_Date]],0)</f>
        <v>45351</v>
      </c>
      <c r="Q1325" s="3">
        <f>WEEKNUM(Table1[[#This Row],[Order_Date]])</f>
        <v>8</v>
      </c>
      <c r="R1325">
        <f>YEAR(Table1[[#This Row],[Order_Date]])</f>
        <v>2024</v>
      </c>
      <c r="S1325" t="str">
        <f>IF(Table1[[#This Row],[Quantity]]&gt;=3,"Promo","Regular")</f>
        <v>Regular</v>
      </c>
    </row>
    <row r="1326" spans="1:19" x14ac:dyDescent="0.35">
      <c r="A1326" t="s">
        <v>2190</v>
      </c>
      <c r="B1326" t="s">
        <v>1399</v>
      </c>
      <c r="C1326" s="1">
        <v>45373</v>
      </c>
      <c r="D1326" t="s">
        <v>43</v>
      </c>
      <c r="E1326" t="s">
        <v>52</v>
      </c>
      <c r="F1326" t="s">
        <v>65</v>
      </c>
      <c r="G1326" t="s">
        <v>18</v>
      </c>
      <c r="H1326" t="s">
        <v>19</v>
      </c>
      <c r="I1326" t="s">
        <v>20</v>
      </c>
      <c r="J1326">
        <v>5</v>
      </c>
      <c r="K1326">
        <v>248</v>
      </c>
      <c r="L1326">
        <v>1240</v>
      </c>
      <c r="M1326">
        <v>45</v>
      </c>
      <c r="N1326" t="s">
        <v>33</v>
      </c>
      <c r="O1326">
        <v>3.9</v>
      </c>
      <c r="P1326" s="2">
        <f>EOMONTH(Table1[[#This Row],[Order_Date]],0)</f>
        <v>45382</v>
      </c>
      <c r="Q1326" s="3">
        <f>WEEKNUM(Table1[[#This Row],[Order_Date]])</f>
        <v>12</v>
      </c>
      <c r="R1326">
        <f>YEAR(Table1[[#This Row],[Order_Date]])</f>
        <v>2024</v>
      </c>
      <c r="S1326" t="str">
        <f>IF(Table1[[#This Row],[Quantity]]&gt;=3,"Promo","Regular")</f>
        <v>Promo</v>
      </c>
    </row>
    <row r="1327" spans="1:19" x14ac:dyDescent="0.35">
      <c r="A1327" t="s">
        <v>2191</v>
      </c>
      <c r="B1327" t="s">
        <v>1400</v>
      </c>
      <c r="C1327" s="1">
        <v>45414</v>
      </c>
      <c r="D1327" t="s">
        <v>43</v>
      </c>
      <c r="E1327" t="s">
        <v>82</v>
      </c>
      <c r="F1327" t="s">
        <v>30</v>
      </c>
      <c r="G1327" t="s">
        <v>73</v>
      </c>
      <c r="H1327" t="s">
        <v>37</v>
      </c>
      <c r="I1327" t="s">
        <v>20</v>
      </c>
      <c r="J1327">
        <v>4</v>
      </c>
      <c r="K1327">
        <v>195</v>
      </c>
      <c r="L1327">
        <v>780</v>
      </c>
      <c r="M1327">
        <v>38</v>
      </c>
      <c r="N1327" t="s">
        <v>21</v>
      </c>
      <c r="O1327">
        <v>4.5</v>
      </c>
      <c r="P1327" s="2">
        <f>EOMONTH(Table1[[#This Row],[Order_Date]],0)</f>
        <v>45443</v>
      </c>
      <c r="Q1327" s="3">
        <f>WEEKNUM(Table1[[#This Row],[Order_Date]])</f>
        <v>18</v>
      </c>
      <c r="R1327">
        <f>YEAR(Table1[[#This Row],[Order_Date]])</f>
        <v>2024</v>
      </c>
      <c r="S1327" t="str">
        <f>IF(Table1[[#This Row],[Quantity]]&gt;=3,"Promo","Regular")</f>
        <v>Promo</v>
      </c>
    </row>
    <row r="1328" spans="1:19" x14ac:dyDescent="0.35">
      <c r="A1328" t="s">
        <v>2191</v>
      </c>
      <c r="B1328" t="s">
        <v>1401</v>
      </c>
      <c r="C1328" s="1">
        <v>45531</v>
      </c>
      <c r="D1328" t="s">
        <v>57</v>
      </c>
      <c r="E1328" t="s">
        <v>62</v>
      </c>
      <c r="F1328" t="s">
        <v>69</v>
      </c>
      <c r="G1328" t="s">
        <v>31</v>
      </c>
      <c r="H1328" t="s">
        <v>59</v>
      </c>
      <c r="I1328" t="s">
        <v>60</v>
      </c>
      <c r="J1328">
        <v>4</v>
      </c>
      <c r="K1328">
        <v>173</v>
      </c>
      <c r="L1328">
        <v>692</v>
      </c>
      <c r="M1328">
        <v>49</v>
      </c>
      <c r="N1328" t="s">
        <v>21</v>
      </c>
      <c r="O1328">
        <v>3.4</v>
      </c>
      <c r="P1328" s="2">
        <f>EOMONTH(Table1[[#This Row],[Order_Date]],0)</f>
        <v>45535</v>
      </c>
      <c r="Q1328" s="3">
        <f>WEEKNUM(Table1[[#This Row],[Order_Date]])</f>
        <v>35</v>
      </c>
      <c r="R1328">
        <f>YEAR(Table1[[#This Row],[Order_Date]])</f>
        <v>2024</v>
      </c>
      <c r="S1328" t="str">
        <f>IF(Table1[[#This Row],[Quantity]]&gt;=3,"Promo","Regular")</f>
        <v>Promo</v>
      </c>
    </row>
    <row r="1329" spans="1:19" x14ac:dyDescent="0.35">
      <c r="A1329" t="s">
        <v>2191</v>
      </c>
      <c r="B1329" t="s">
        <v>1402</v>
      </c>
      <c r="C1329" s="1">
        <v>45307</v>
      </c>
      <c r="D1329" t="s">
        <v>48</v>
      </c>
      <c r="E1329" t="s">
        <v>127</v>
      </c>
      <c r="F1329" t="s">
        <v>85</v>
      </c>
      <c r="G1329" t="s">
        <v>36</v>
      </c>
      <c r="H1329" t="s">
        <v>32</v>
      </c>
      <c r="I1329" t="s">
        <v>20</v>
      </c>
      <c r="J1329">
        <v>3</v>
      </c>
      <c r="K1329">
        <v>299</v>
      </c>
      <c r="L1329">
        <v>897</v>
      </c>
      <c r="M1329">
        <v>28</v>
      </c>
      <c r="N1329" t="s">
        <v>33</v>
      </c>
      <c r="O1329">
        <v>3.2</v>
      </c>
      <c r="P1329" s="2">
        <f>EOMONTH(Table1[[#This Row],[Order_Date]],0)</f>
        <v>45322</v>
      </c>
      <c r="Q1329" s="3">
        <f>WEEKNUM(Table1[[#This Row],[Order_Date]])</f>
        <v>3</v>
      </c>
      <c r="R1329">
        <f>YEAR(Table1[[#This Row],[Order_Date]])</f>
        <v>2024</v>
      </c>
      <c r="S1329" t="str">
        <f>IF(Table1[[#This Row],[Quantity]]&gt;=3,"Promo","Regular")</f>
        <v>Promo</v>
      </c>
    </row>
    <row r="1330" spans="1:19" x14ac:dyDescent="0.35">
      <c r="A1330" t="s">
        <v>2191</v>
      </c>
      <c r="B1330" t="s">
        <v>1403</v>
      </c>
      <c r="C1330" s="1">
        <v>45503</v>
      </c>
      <c r="D1330" t="s">
        <v>57</v>
      </c>
      <c r="E1330" t="s">
        <v>75</v>
      </c>
      <c r="F1330" t="s">
        <v>30</v>
      </c>
      <c r="G1330" t="s">
        <v>46</v>
      </c>
      <c r="H1330" t="s">
        <v>55</v>
      </c>
      <c r="I1330" t="s">
        <v>20</v>
      </c>
      <c r="J1330">
        <v>5</v>
      </c>
      <c r="K1330">
        <v>372</v>
      </c>
      <c r="L1330">
        <v>1860</v>
      </c>
      <c r="M1330">
        <v>55</v>
      </c>
      <c r="N1330" t="s">
        <v>21</v>
      </c>
      <c r="O1330">
        <v>3.8</v>
      </c>
      <c r="P1330" s="2">
        <f>EOMONTH(Table1[[#This Row],[Order_Date]],0)</f>
        <v>45504</v>
      </c>
      <c r="Q1330" s="3">
        <f>WEEKNUM(Table1[[#This Row],[Order_Date]])</f>
        <v>31</v>
      </c>
      <c r="R1330">
        <f>YEAR(Table1[[#This Row],[Order_Date]])</f>
        <v>2024</v>
      </c>
      <c r="S1330" t="str">
        <f>IF(Table1[[#This Row],[Quantity]]&gt;=3,"Promo","Regular")</f>
        <v>Promo</v>
      </c>
    </row>
    <row r="1331" spans="1:19" x14ac:dyDescent="0.35">
      <c r="A1331" t="s">
        <v>2191</v>
      </c>
      <c r="B1331" t="s">
        <v>1404</v>
      </c>
      <c r="C1331" s="1">
        <v>45548</v>
      </c>
      <c r="D1331" t="s">
        <v>57</v>
      </c>
      <c r="E1331" t="s">
        <v>58</v>
      </c>
      <c r="F1331" t="s">
        <v>45</v>
      </c>
      <c r="G1331" t="s">
        <v>31</v>
      </c>
      <c r="H1331" t="s">
        <v>37</v>
      </c>
      <c r="I1331" t="s">
        <v>20</v>
      </c>
      <c r="J1331">
        <v>4</v>
      </c>
      <c r="K1331">
        <v>173</v>
      </c>
      <c r="L1331">
        <v>692</v>
      </c>
      <c r="M1331">
        <v>60</v>
      </c>
      <c r="N1331" t="s">
        <v>21</v>
      </c>
      <c r="O1331">
        <v>4.5</v>
      </c>
      <c r="P1331" s="2">
        <f>EOMONTH(Table1[[#This Row],[Order_Date]],0)</f>
        <v>45565</v>
      </c>
      <c r="Q1331" s="3">
        <f>WEEKNUM(Table1[[#This Row],[Order_Date]])</f>
        <v>37</v>
      </c>
      <c r="R1331">
        <f>YEAR(Table1[[#This Row],[Order_Date]])</f>
        <v>2024</v>
      </c>
      <c r="S1331" t="str">
        <f>IF(Table1[[#This Row],[Quantity]]&gt;=3,"Promo","Regular")</f>
        <v>Promo</v>
      </c>
    </row>
    <row r="1332" spans="1:19" x14ac:dyDescent="0.35">
      <c r="A1332" t="s">
        <v>2192</v>
      </c>
      <c r="B1332" t="s">
        <v>1405</v>
      </c>
      <c r="C1332" s="1">
        <v>45389</v>
      </c>
      <c r="D1332" t="s">
        <v>43</v>
      </c>
      <c r="E1332" t="s">
        <v>82</v>
      </c>
      <c r="F1332" t="s">
        <v>69</v>
      </c>
      <c r="G1332" t="s">
        <v>25</v>
      </c>
      <c r="H1332" t="s">
        <v>26</v>
      </c>
      <c r="I1332" t="s">
        <v>20</v>
      </c>
      <c r="J1332">
        <v>4</v>
      </c>
      <c r="K1332">
        <v>309</v>
      </c>
      <c r="L1332">
        <v>1236</v>
      </c>
      <c r="M1332">
        <v>35</v>
      </c>
      <c r="N1332" t="s">
        <v>21</v>
      </c>
      <c r="O1332">
        <v>4.0999999999999996</v>
      </c>
      <c r="P1332" s="2">
        <f>EOMONTH(Table1[[#This Row],[Order_Date]],0)</f>
        <v>45412</v>
      </c>
      <c r="Q1332" s="3">
        <f>WEEKNUM(Table1[[#This Row],[Order_Date]])</f>
        <v>15</v>
      </c>
      <c r="R1332">
        <f>YEAR(Table1[[#This Row],[Order_Date]])</f>
        <v>2024</v>
      </c>
      <c r="S1332" t="str">
        <f>IF(Table1[[#This Row],[Quantity]]&gt;=3,"Promo","Regular")</f>
        <v>Promo</v>
      </c>
    </row>
    <row r="1333" spans="1:19" x14ac:dyDescent="0.35">
      <c r="A1333" t="s">
        <v>2192</v>
      </c>
      <c r="B1333" t="s">
        <v>1406</v>
      </c>
      <c r="C1333" s="1">
        <v>45303</v>
      </c>
      <c r="D1333" t="s">
        <v>48</v>
      </c>
      <c r="E1333" t="s">
        <v>127</v>
      </c>
      <c r="F1333" t="s">
        <v>69</v>
      </c>
      <c r="G1333" t="s">
        <v>73</v>
      </c>
      <c r="H1333" t="s">
        <v>32</v>
      </c>
      <c r="I1333" t="s">
        <v>20</v>
      </c>
      <c r="J1333">
        <v>4</v>
      </c>
      <c r="K1333">
        <v>157</v>
      </c>
      <c r="L1333">
        <v>628</v>
      </c>
      <c r="M1333">
        <v>46</v>
      </c>
      <c r="N1333" t="s">
        <v>33</v>
      </c>
      <c r="O1333">
        <v>4.7</v>
      </c>
      <c r="P1333" s="2">
        <f>EOMONTH(Table1[[#This Row],[Order_Date]],0)</f>
        <v>45322</v>
      </c>
      <c r="Q1333" s="3">
        <f>WEEKNUM(Table1[[#This Row],[Order_Date]])</f>
        <v>2</v>
      </c>
      <c r="R1333">
        <f>YEAR(Table1[[#This Row],[Order_Date]])</f>
        <v>2024</v>
      </c>
      <c r="S1333" t="str">
        <f>IF(Table1[[#This Row],[Quantity]]&gt;=3,"Promo","Regular")</f>
        <v>Promo</v>
      </c>
    </row>
    <row r="1334" spans="1:19" x14ac:dyDescent="0.35">
      <c r="A1334" t="s">
        <v>2192</v>
      </c>
      <c r="B1334" t="s">
        <v>1407</v>
      </c>
      <c r="C1334" s="1">
        <v>45405</v>
      </c>
      <c r="D1334" t="s">
        <v>28</v>
      </c>
      <c r="E1334" t="s">
        <v>71</v>
      </c>
      <c r="F1334" t="s">
        <v>35</v>
      </c>
      <c r="G1334" t="s">
        <v>31</v>
      </c>
      <c r="H1334" t="s">
        <v>53</v>
      </c>
      <c r="I1334" t="s">
        <v>20</v>
      </c>
      <c r="J1334">
        <v>3</v>
      </c>
      <c r="K1334">
        <v>281</v>
      </c>
      <c r="L1334">
        <v>843</v>
      </c>
      <c r="M1334">
        <v>24</v>
      </c>
      <c r="N1334" t="s">
        <v>33</v>
      </c>
      <c r="O1334">
        <v>3.3</v>
      </c>
      <c r="P1334" s="2">
        <f>EOMONTH(Table1[[#This Row],[Order_Date]],0)</f>
        <v>45412</v>
      </c>
      <c r="Q1334" s="3">
        <f>WEEKNUM(Table1[[#This Row],[Order_Date]])</f>
        <v>17</v>
      </c>
      <c r="R1334">
        <f>YEAR(Table1[[#This Row],[Order_Date]])</f>
        <v>2024</v>
      </c>
      <c r="S1334" t="str">
        <f>IF(Table1[[#This Row],[Quantity]]&gt;=3,"Promo","Regular")</f>
        <v>Promo</v>
      </c>
    </row>
    <row r="1335" spans="1:19" x14ac:dyDescent="0.35">
      <c r="A1335" t="s">
        <v>2193</v>
      </c>
      <c r="B1335" t="s">
        <v>1408</v>
      </c>
      <c r="C1335" s="1">
        <v>45468</v>
      </c>
      <c r="D1335" t="s">
        <v>15</v>
      </c>
      <c r="E1335" t="s">
        <v>16</v>
      </c>
      <c r="F1335" t="s">
        <v>72</v>
      </c>
      <c r="G1335" t="s">
        <v>46</v>
      </c>
      <c r="H1335" t="s">
        <v>53</v>
      </c>
      <c r="I1335" t="s">
        <v>20</v>
      </c>
      <c r="J1335">
        <v>1</v>
      </c>
      <c r="K1335">
        <v>309</v>
      </c>
      <c r="L1335">
        <v>309</v>
      </c>
      <c r="M1335">
        <v>24</v>
      </c>
      <c r="N1335" t="s">
        <v>38</v>
      </c>
      <c r="O1335">
        <v>4.4000000000000004</v>
      </c>
      <c r="P1335" s="2">
        <f>EOMONTH(Table1[[#This Row],[Order_Date]],0)</f>
        <v>45473</v>
      </c>
      <c r="Q1335" s="3">
        <f>WEEKNUM(Table1[[#This Row],[Order_Date]])</f>
        <v>26</v>
      </c>
      <c r="R1335">
        <f>YEAR(Table1[[#This Row],[Order_Date]])</f>
        <v>2024</v>
      </c>
      <c r="S1335" t="str">
        <f>IF(Table1[[#This Row],[Quantity]]&gt;=3,"Promo","Regular")</f>
        <v>Regular</v>
      </c>
    </row>
    <row r="1336" spans="1:19" x14ac:dyDescent="0.35">
      <c r="A1336" t="s">
        <v>2193</v>
      </c>
      <c r="B1336" t="s">
        <v>1409</v>
      </c>
      <c r="C1336" s="1">
        <v>45410</v>
      </c>
      <c r="D1336" t="s">
        <v>48</v>
      </c>
      <c r="E1336" t="s">
        <v>64</v>
      </c>
      <c r="F1336" t="s">
        <v>85</v>
      </c>
      <c r="G1336" t="s">
        <v>36</v>
      </c>
      <c r="H1336" t="s">
        <v>55</v>
      </c>
      <c r="I1336" t="s">
        <v>20</v>
      </c>
      <c r="J1336">
        <v>2</v>
      </c>
      <c r="K1336">
        <v>317</v>
      </c>
      <c r="L1336">
        <v>634</v>
      </c>
      <c r="M1336">
        <v>20</v>
      </c>
      <c r="N1336" t="s">
        <v>38</v>
      </c>
      <c r="O1336">
        <v>4.2</v>
      </c>
      <c r="P1336" s="2">
        <f>EOMONTH(Table1[[#This Row],[Order_Date]],0)</f>
        <v>45412</v>
      </c>
      <c r="Q1336" s="3">
        <f>WEEKNUM(Table1[[#This Row],[Order_Date]])</f>
        <v>18</v>
      </c>
      <c r="R1336">
        <f>YEAR(Table1[[#This Row],[Order_Date]])</f>
        <v>2024</v>
      </c>
      <c r="S1336" t="str">
        <f>IF(Table1[[#This Row],[Quantity]]&gt;=3,"Promo","Regular")</f>
        <v>Regular</v>
      </c>
    </row>
    <row r="1337" spans="1:19" x14ac:dyDescent="0.35">
      <c r="A1337" t="s">
        <v>2194</v>
      </c>
      <c r="B1337" t="s">
        <v>1410</v>
      </c>
      <c r="C1337" s="1">
        <v>45441</v>
      </c>
      <c r="D1337" t="s">
        <v>43</v>
      </c>
      <c r="E1337" t="s">
        <v>93</v>
      </c>
      <c r="F1337" t="s">
        <v>17</v>
      </c>
      <c r="G1337" t="s">
        <v>25</v>
      </c>
      <c r="H1337" t="s">
        <v>66</v>
      </c>
      <c r="I1337" t="s">
        <v>20</v>
      </c>
      <c r="J1337">
        <v>5</v>
      </c>
      <c r="K1337">
        <v>236</v>
      </c>
      <c r="L1337">
        <v>1180</v>
      </c>
      <c r="M1337">
        <v>50</v>
      </c>
      <c r="N1337" t="s">
        <v>33</v>
      </c>
      <c r="O1337">
        <v>4.7</v>
      </c>
      <c r="P1337" s="2">
        <f>EOMONTH(Table1[[#This Row],[Order_Date]],0)</f>
        <v>45443</v>
      </c>
      <c r="Q1337" s="3">
        <f>WEEKNUM(Table1[[#This Row],[Order_Date]])</f>
        <v>22</v>
      </c>
      <c r="R1337">
        <f>YEAR(Table1[[#This Row],[Order_Date]])</f>
        <v>2024</v>
      </c>
      <c r="S1337" t="str">
        <f>IF(Table1[[#This Row],[Quantity]]&gt;=3,"Promo","Regular")</f>
        <v>Promo</v>
      </c>
    </row>
    <row r="1338" spans="1:19" x14ac:dyDescent="0.35">
      <c r="A1338" t="s">
        <v>2194</v>
      </c>
      <c r="B1338" t="s">
        <v>1411</v>
      </c>
      <c r="C1338" s="1">
        <v>45490</v>
      </c>
      <c r="D1338" t="s">
        <v>43</v>
      </c>
      <c r="E1338" t="s">
        <v>93</v>
      </c>
      <c r="F1338" t="s">
        <v>45</v>
      </c>
      <c r="G1338" t="s">
        <v>36</v>
      </c>
      <c r="H1338" t="s">
        <v>50</v>
      </c>
      <c r="I1338" t="s">
        <v>20</v>
      </c>
      <c r="J1338">
        <v>3</v>
      </c>
      <c r="K1338">
        <v>268</v>
      </c>
      <c r="L1338">
        <v>804</v>
      </c>
      <c r="M1338">
        <v>21</v>
      </c>
      <c r="N1338" t="s">
        <v>21</v>
      </c>
      <c r="O1338">
        <v>4.0999999999999996</v>
      </c>
      <c r="P1338" s="2">
        <f>EOMONTH(Table1[[#This Row],[Order_Date]],0)</f>
        <v>45504</v>
      </c>
      <c r="Q1338" s="3">
        <f>WEEKNUM(Table1[[#This Row],[Order_Date]])</f>
        <v>29</v>
      </c>
      <c r="R1338">
        <f>YEAR(Table1[[#This Row],[Order_Date]])</f>
        <v>2024</v>
      </c>
      <c r="S1338" t="str">
        <f>IF(Table1[[#This Row],[Quantity]]&gt;=3,"Promo","Regular")</f>
        <v>Promo</v>
      </c>
    </row>
    <row r="1339" spans="1:19" x14ac:dyDescent="0.35">
      <c r="A1339" t="s">
        <v>2195</v>
      </c>
      <c r="B1339" t="s">
        <v>1412</v>
      </c>
      <c r="C1339" s="1">
        <v>45530</v>
      </c>
      <c r="D1339" t="s">
        <v>43</v>
      </c>
      <c r="E1339" t="s">
        <v>44</v>
      </c>
      <c r="F1339" t="s">
        <v>24</v>
      </c>
      <c r="G1339" t="s">
        <v>73</v>
      </c>
      <c r="H1339" t="s">
        <v>120</v>
      </c>
      <c r="I1339" t="s">
        <v>60</v>
      </c>
      <c r="J1339">
        <v>3</v>
      </c>
      <c r="K1339">
        <v>144</v>
      </c>
      <c r="L1339">
        <v>432</v>
      </c>
      <c r="M1339">
        <v>25</v>
      </c>
      <c r="N1339" t="s">
        <v>21</v>
      </c>
      <c r="O1339">
        <v>4.0999999999999996</v>
      </c>
      <c r="P1339" s="2">
        <f>EOMONTH(Table1[[#This Row],[Order_Date]],0)</f>
        <v>45535</v>
      </c>
      <c r="Q1339" s="3">
        <f>WEEKNUM(Table1[[#This Row],[Order_Date]])</f>
        <v>35</v>
      </c>
      <c r="R1339">
        <f>YEAR(Table1[[#This Row],[Order_Date]])</f>
        <v>2024</v>
      </c>
      <c r="S1339" t="str">
        <f>IF(Table1[[#This Row],[Quantity]]&gt;=3,"Promo","Regular")</f>
        <v>Promo</v>
      </c>
    </row>
    <row r="1340" spans="1:19" x14ac:dyDescent="0.35">
      <c r="A1340" t="s">
        <v>2195</v>
      </c>
      <c r="B1340" t="s">
        <v>1413</v>
      </c>
      <c r="C1340" s="1">
        <v>45318</v>
      </c>
      <c r="D1340" t="s">
        <v>57</v>
      </c>
      <c r="E1340" t="s">
        <v>105</v>
      </c>
      <c r="F1340" t="s">
        <v>65</v>
      </c>
      <c r="G1340" t="s">
        <v>46</v>
      </c>
      <c r="H1340" t="s">
        <v>50</v>
      </c>
      <c r="I1340" t="s">
        <v>20</v>
      </c>
      <c r="J1340">
        <v>3</v>
      </c>
      <c r="K1340">
        <v>253</v>
      </c>
      <c r="L1340">
        <v>759</v>
      </c>
      <c r="M1340">
        <v>47</v>
      </c>
      <c r="N1340" t="s">
        <v>33</v>
      </c>
      <c r="O1340">
        <v>4.5</v>
      </c>
      <c r="P1340" s="2">
        <f>EOMONTH(Table1[[#This Row],[Order_Date]],0)</f>
        <v>45322</v>
      </c>
      <c r="Q1340" s="3">
        <f>WEEKNUM(Table1[[#This Row],[Order_Date]])</f>
        <v>4</v>
      </c>
      <c r="R1340">
        <f>YEAR(Table1[[#This Row],[Order_Date]])</f>
        <v>2024</v>
      </c>
      <c r="S1340" t="str">
        <f>IF(Table1[[#This Row],[Quantity]]&gt;=3,"Promo","Regular")</f>
        <v>Promo</v>
      </c>
    </row>
    <row r="1341" spans="1:19" x14ac:dyDescent="0.35">
      <c r="A1341" t="s">
        <v>2195</v>
      </c>
      <c r="B1341" t="s">
        <v>1414</v>
      </c>
      <c r="C1341" s="1">
        <v>45439</v>
      </c>
      <c r="D1341" t="s">
        <v>28</v>
      </c>
      <c r="E1341" t="s">
        <v>40</v>
      </c>
      <c r="F1341" t="s">
        <v>72</v>
      </c>
      <c r="G1341" t="s">
        <v>73</v>
      </c>
      <c r="H1341" t="s">
        <v>59</v>
      </c>
      <c r="I1341" t="s">
        <v>60</v>
      </c>
      <c r="J1341">
        <v>3</v>
      </c>
      <c r="K1341">
        <v>400</v>
      </c>
      <c r="L1341">
        <v>1200</v>
      </c>
      <c r="M1341">
        <v>42</v>
      </c>
      <c r="N1341" t="s">
        <v>38</v>
      </c>
      <c r="O1341">
        <v>3.6</v>
      </c>
      <c r="P1341" s="2">
        <f>EOMONTH(Table1[[#This Row],[Order_Date]],0)</f>
        <v>45443</v>
      </c>
      <c r="Q1341" s="3">
        <f>WEEKNUM(Table1[[#This Row],[Order_Date]])</f>
        <v>22</v>
      </c>
      <c r="R1341">
        <f>YEAR(Table1[[#This Row],[Order_Date]])</f>
        <v>2024</v>
      </c>
      <c r="S1341" t="str">
        <f>IF(Table1[[#This Row],[Quantity]]&gt;=3,"Promo","Regular")</f>
        <v>Promo</v>
      </c>
    </row>
    <row r="1342" spans="1:19" x14ac:dyDescent="0.35">
      <c r="A1342" t="s">
        <v>2195</v>
      </c>
      <c r="B1342" t="s">
        <v>1415</v>
      </c>
      <c r="C1342" s="1">
        <v>45406</v>
      </c>
      <c r="D1342" t="s">
        <v>15</v>
      </c>
      <c r="E1342" t="s">
        <v>23</v>
      </c>
      <c r="F1342" t="s">
        <v>85</v>
      </c>
      <c r="G1342" t="s">
        <v>18</v>
      </c>
      <c r="H1342" t="s">
        <v>32</v>
      </c>
      <c r="I1342" t="s">
        <v>20</v>
      </c>
      <c r="J1342">
        <v>4</v>
      </c>
      <c r="K1342">
        <v>348</v>
      </c>
      <c r="L1342">
        <v>1392</v>
      </c>
      <c r="M1342">
        <v>27</v>
      </c>
      <c r="N1342" t="s">
        <v>38</v>
      </c>
      <c r="O1342">
        <v>5</v>
      </c>
      <c r="P1342" s="2">
        <f>EOMONTH(Table1[[#This Row],[Order_Date]],0)</f>
        <v>45412</v>
      </c>
      <c r="Q1342" s="3">
        <f>WEEKNUM(Table1[[#This Row],[Order_Date]])</f>
        <v>17</v>
      </c>
      <c r="R1342">
        <f>YEAR(Table1[[#This Row],[Order_Date]])</f>
        <v>2024</v>
      </c>
      <c r="S1342" t="str">
        <f>IF(Table1[[#This Row],[Quantity]]&gt;=3,"Promo","Regular")</f>
        <v>Promo</v>
      </c>
    </row>
    <row r="1343" spans="1:19" x14ac:dyDescent="0.35">
      <c r="A1343" t="s">
        <v>2196</v>
      </c>
      <c r="B1343" t="s">
        <v>1416</v>
      </c>
      <c r="C1343" s="1">
        <v>45412</v>
      </c>
      <c r="D1343" t="s">
        <v>28</v>
      </c>
      <c r="E1343" t="s">
        <v>98</v>
      </c>
      <c r="F1343" t="s">
        <v>65</v>
      </c>
      <c r="G1343" t="s">
        <v>18</v>
      </c>
      <c r="H1343" t="s">
        <v>37</v>
      </c>
      <c r="I1343" t="s">
        <v>20</v>
      </c>
      <c r="J1343">
        <v>2</v>
      </c>
      <c r="K1343">
        <v>159</v>
      </c>
      <c r="L1343">
        <v>318</v>
      </c>
      <c r="M1343">
        <v>44</v>
      </c>
      <c r="N1343" t="s">
        <v>33</v>
      </c>
      <c r="O1343">
        <v>3.7</v>
      </c>
      <c r="P1343" s="2">
        <f>EOMONTH(Table1[[#This Row],[Order_Date]],0)</f>
        <v>45412</v>
      </c>
      <c r="Q1343" s="3">
        <f>WEEKNUM(Table1[[#This Row],[Order_Date]])</f>
        <v>18</v>
      </c>
      <c r="R1343">
        <f>YEAR(Table1[[#This Row],[Order_Date]])</f>
        <v>2024</v>
      </c>
      <c r="S1343" t="str">
        <f>IF(Table1[[#This Row],[Quantity]]&gt;=3,"Promo","Regular")</f>
        <v>Regular</v>
      </c>
    </row>
    <row r="1344" spans="1:19" x14ac:dyDescent="0.35">
      <c r="A1344" t="s">
        <v>2196</v>
      </c>
      <c r="B1344" t="s">
        <v>1417</v>
      </c>
      <c r="C1344" s="1">
        <v>45565</v>
      </c>
      <c r="D1344" t="s">
        <v>57</v>
      </c>
      <c r="E1344" t="s">
        <v>58</v>
      </c>
      <c r="F1344" t="s">
        <v>35</v>
      </c>
      <c r="G1344" t="s">
        <v>18</v>
      </c>
      <c r="H1344" t="s">
        <v>53</v>
      </c>
      <c r="I1344" t="s">
        <v>20</v>
      </c>
      <c r="J1344">
        <v>3</v>
      </c>
      <c r="K1344">
        <v>353</v>
      </c>
      <c r="L1344">
        <v>1059</v>
      </c>
      <c r="M1344">
        <v>20</v>
      </c>
      <c r="N1344" t="s">
        <v>38</v>
      </c>
      <c r="O1344">
        <v>3.4</v>
      </c>
      <c r="P1344" s="2">
        <f>EOMONTH(Table1[[#This Row],[Order_Date]],0)</f>
        <v>45565</v>
      </c>
      <c r="Q1344" s="3">
        <f>WEEKNUM(Table1[[#This Row],[Order_Date]])</f>
        <v>40</v>
      </c>
      <c r="R1344">
        <f>YEAR(Table1[[#This Row],[Order_Date]])</f>
        <v>2024</v>
      </c>
      <c r="S1344" t="str">
        <f>IF(Table1[[#This Row],[Quantity]]&gt;=3,"Promo","Regular")</f>
        <v>Promo</v>
      </c>
    </row>
    <row r="1345" spans="1:19" x14ac:dyDescent="0.35">
      <c r="A1345" t="s">
        <v>2196</v>
      </c>
      <c r="B1345" t="s">
        <v>1418</v>
      </c>
      <c r="C1345" s="1">
        <v>45519</v>
      </c>
      <c r="D1345" t="s">
        <v>28</v>
      </c>
      <c r="E1345" t="s">
        <v>98</v>
      </c>
      <c r="F1345" t="s">
        <v>17</v>
      </c>
      <c r="G1345" t="s">
        <v>46</v>
      </c>
      <c r="H1345" t="s">
        <v>120</v>
      </c>
      <c r="I1345" t="s">
        <v>60</v>
      </c>
      <c r="J1345">
        <v>1</v>
      </c>
      <c r="K1345">
        <v>302</v>
      </c>
      <c r="L1345">
        <v>302</v>
      </c>
      <c r="M1345">
        <v>20</v>
      </c>
      <c r="N1345" t="s">
        <v>33</v>
      </c>
      <c r="O1345">
        <v>3</v>
      </c>
      <c r="P1345" s="2">
        <f>EOMONTH(Table1[[#This Row],[Order_Date]],0)</f>
        <v>45535</v>
      </c>
      <c r="Q1345" s="3">
        <f>WEEKNUM(Table1[[#This Row],[Order_Date]])</f>
        <v>33</v>
      </c>
      <c r="R1345">
        <f>YEAR(Table1[[#This Row],[Order_Date]])</f>
        <v>2024</v>
      </c>
      <c r="S1345" t="str">
        <f>IF(Table1[[#This Row],[Quantity]]&gt;=3,"Promo","Regular")</f>
        <v>Regular</v>
      </c>
    </row>
    <row r="1346" spans="1:19" x14ac:dyDescent="0.35">
      <c r="A1346" t="s">
        <v>2196</v>
      </c>
      <c r="B1346" t="s">
        <v>1419</v>
      </c>
      <c r="C1346" s="1">
        <v>45564</v>
      </c>
      <c r="D1346" t="s">
        <v>43</v>
      </c>
      <c r="E1346" t="s">
        <v>110</v>
      </c>
      <c r="F1346" t="s">
        <v>17</v>
      </c>
      <c r="G1346" t="s">
        <v>73</v>
      </c>
      <c r="H1346" t="s">
        <v>50</v>
      </c>
      <c r="I1346" t="s">
        <v>20</v>
      </c>
      <c r="J1346">
        <v>3</v>
      </c>
      <c r="K1346">
        <v>148</v>
      </c>
      <c r="L1346">
        <v>444</v>
      </c>
      <c r="M1346">
        <v>23</v>
      </c>
      <c r="N1346" t="s">
        <v>33</v>
      </c>
      <c r="O1346">
        <v>3.9</v>
      </c>
      <c r="P1346" s="2">
        <f>EOMONTH(Table1[[#This Row],[Order_Date]],0)</f>
        <v>45565</v>
      </c>
      <c r="Q1346" s="3">
        <f>WEEKNUM(Table1[[#This Row],[Order_Date]])</f>
        <v>40</v>
      </c>
      <c r="R1346">
        <f>YEAR(Table1[[#This Row],[Order_Date]])</f>
        <v>2024</v>
      </c>
      <c r="S1346" t="str">
        <f>IF(Table1[[#This Row],[Quantity]]&gt;=3,"Promo","Regular")</f>
        <v>Promo</v>
      </c>
    </row>
    <row r="1347" spans="1:19" x14ac:dyDescent="0.35">
      <c r="A1347" t="s">
        <v>2197</v>
      </c>
      <c r="B1347" t="s">
        <v>1420</v>
      </c>
      <c r="C1347" s="1">
        <v>45506</v>
      </c>
      <c r="D1347" t="s">
        <v>48</v>
      </c>
      <c r="E1347" t="s">
        <v>68</v>
      </c>
      <c r="F1347" t="s">
        <v>69</v>
      </c>
      <c r="G1347" t="s">
        <v>31</v>
      </c>
      <c r="H1347" t="s">
        <v>19</v>
      </c>
      <c r="I1347" t="s">
        <v>20</v>
      </c>
      <c r="J1347">
        <v>3</v>
      </c>
      <c r="K1347">
        <v>360</v>
      </c>
      <c r="L1347">
        <v>1080</v>
      </c>
      <c r="M1347">
        <v>26</v>
      </c>
      <c r="N1347" t="s">
        <v>33</v>
      </c>
      <c r="O1347">
        <v>3.1</v>
      </c>
      <c r="P1347" s="2">
        <f>EOMONTH(Table1[[#This Row],[Order_Date]],0)</f>
        <v>45535</v>
      </c>
      <c r="Q1347" s="3">
        <f>WEEKNUM(Table1[[#This Row],[Order_Date]])</f>
        <v>31</v>
      </c>
      <c r="R1347">
        <f>YEAR(Table1[[#This Row],[Order_Date]])</f>
        <v>2024</v>
      </c>
      <c r="S1347" t="str">
        <f>IF(Table1[[#This Row],[Quantity]]&gt;=3,"Promo","Regular")</f>
        <v>Promo</v>
      </c>
    </row>
    <row r="1348" spans="1:19" x14ac:dyDescent="0.35">
      <c r="A1348" t="s">
        <v>2197</v>
      </c>
      <c r="B1348" t="s">
        <v>1421</v>
      </c>
      <c r="C1348" s="1">
        <v>45494</v>
      </c>
      <c r="D1348" t="s">
        <v>15</v>
      </c>
      <c r="E1348" t="s">
        <v>103</v>
      </c>
      <c r="F1348" t="s">
        <v>65</v>
      </c>
      <c r="G1348" t="s">
        <v>18</v>
      </c>
      <c r="H1348" t="s">
        <v>120</v>
      </c>
      <c r="I1348" t="s">
        <v>60</v>
      </c>
      <c r="J1348">
        <v>5</v>
      </c>
      <c r="K1348">
        <v>147</v>
      </c>
      <c r="L1348">
        <v>735</v>
      </c>
      <c r="M1348">
        <v>28</v>
      </c>
      <c r="N1348" t="s">
        <v>33</v>
      </c>
      <c r="O1348">
        <v>5</v>
      </c>
      <c r="P1348" s="2">
        <f>EOMONTH(Table1[[#This Row],[Order_Date]],0)</f>
        <v>45504</v>
      </c>
      <c r="Q1348" s="3">
        <f>WEEKNUM(Table1[[#This Row],[Order_Date]])</f>
        <v>30</v>
      </c>
      <c r="R1348">
        <f>YEAR(Table1[[#This Row],[Order_Date]])</f>
        <v>2024</v>
      </c>
      <c r="S1348" t="str">
        <f>IF(Table1[[#This Row],[Quantity]]&gt;=3,"Promo","Regular")</f>
        <v>Promo</v>
      </c>
    </row>
    <row r="1349" spans="1:19" x14ac:dyDescent="0.35">
      <c r="A1349" t="s">
        <v>2198</v>
      </c>
      <c r="B1349" t="s">
        <v>1422</v>
      </c>
      <c r="C1349" s="1">
        <v>45386</v>
      </c>
      <c r="D1349" t="s">
        <v>57</v>
      </c>
      <c r="E1349" t="s">
        <v>136</v>
      </c>
      <c r="F1349" t="s">
        <v>24</v>
      </c>
      <c r="G1349" t="s">
        <v>36</v>
      </c>
      <c r="H1349" t="s">
        <v>53</v>
      </c>
      <c r="I1349" t="s">
        <v>20</v>
      </c>
      <c r="J1349">
        <v>5</v>
      </c>
      <c r="K1349">
        <v>272</v>
      </c>
      <c r="L1349">
        <v>1360</v>
      </c>
      <c r="M1349">
        <v>60</v>
      </c>
      <c r="N1349" t="s">
        <v>38</v>
      </c>
      <c r="O1349">
        <v>4.4000000000000004</v>
      </c>
      <c r="P1349" s="2">
        <f>EOMONTH(Table1[[#This Row],[Order_Date]],0)</f>
        <v>45412</v>
      </c>
      <c r="Q1349" s="3">
        <f>WEEKNUM(Table1[[#This Row],[Order_Date]])</f>
        <v>14</v>
      </c>
      <c r="R1349">
        <f>YEAR(Table1[[#This Row],[Order_Date]])</f>
        <v>2024</v>
      </c>
      <c r="S1349" t="str">
        <f>IF(Table1[[#This Row],[Quantity]]&gt;=3,"Promo","Regular")</f>
        <v>Promo</v>
      </c>
    </row>
    <row r="1350" spans="1:19" x14ac:dyDescent="0.35">
      <c r="A1350" t="s">
        <v>2198</v>
      </c>
      <c r="B1350" t="s">
        <v>1423</v>
      </c>
      <c r="C1350" s="1">
        <v>45400</v>
      </c>
      <c r="D1350" t="s">
        <v>57</v>
      </c>
      <c r="E1350" t="s">
        <v>58</v>
      </c>
      <c r="F1350" t="s">
        <v>35</v>
      </c>
      <c r="G1350" t="s">
        <v>73</v>
      </c>
      <c r="H1350" t="s">
        <v>50</v>
      </c>
      <c r="I1350" t="s">
        <v>20</v>
      </c>
      <c r="J1350">
        <v>4</v>
      </c>
      <c r="K1350">
        <v>228</v>
      </c>
      <c r="L1350">
        <v>912</v>
      </c>
      <c r="M1350">
        <v>28</v>
      </c>
      <c r="N1350" t="s">
        <v>21</v>
      </c>
      <c r="O1350">
        <v>4</v>
      </c>
      <c r="P1350" s="2">
        <f>EOMONTH(Table1[[#This Row],[Order_Date]],0)</f>
        <v>45412</v>
      </c>
      <c r="Q1350" s="3">
        <f>WEEKNUM(Table1[[#This Row],[Order_Date]])</f>
        <v>16</v>
      </c>
      <c r="R1350">
        <f>YEAR(Table1[[#This Row],[Order_Date]])</f>
        <v>2024</v>
      </c>
      <c r="S1350" t="str">
        <f>IF(Table1[[#This Row],[Quantity]]&gt;=3,"Promo","Regular")</f>
        <v>Promo</v>
      </c>
    </row>
    <row r="1351" spans="1:19" x14ac:dyDescent="0.35">
      <c r="A1351" t="s">
        <v>2198</v>
      </c>
      <c r="B1351" t="s">
        <v>1424</v>
      </c>
      <c r="C1351" s="1">
        <v>45306</v>
      </c>
      <c r="D1351" t="s">
        <v>57</v>
      </c>
      <c r="E1351" t="s">
        <v>58</v>
      </c>
      <c r="F1351" t="s">
        <v>17</v>
      </c>
      <c r="G1351" t="s">
        <v>25</v>
      </c>
      <c r="H1351" t="s">
        <v>26</v>
      </c>
      <c r="I1351" t="s">
        <v>20</v>
      </c>
      <c r="J1351">
        <v>5</v>
      </c>
      <c r="K1351">
        <v>125</v>
      </c>
      <c r="L1351">
        <v>625</v>
      </c>
      <c r="M1351">
        <v>33</v>
      </c>
      <c r="N1351" t="s">
        <v>21</v>
      </c>
      <c r="O1351">
        <v>3.5</v>
      </c>
      <c r="P1351" s="2">
        <f>EOMONTH(Table1[[#This Row],[Order_Date]],0)</f>
        <v>45322</v>
      </c>
      <c r="Q1351" s="3">
        <f>WEEKNUM(Table1[[#This Row],[Order_Date]])</f>
        <v>3</v>
      </c>
      <c r="R1351">
        <f>YEAR(Table1[[#This Row],[Order_Date]])</f>
        <v>2024</v>
      </c>
      <c r="S1351" t="str">
        <f>IF(Table1[[#This Row],[Quantity]]&gt;=3,"Promo","Regular")</f>
        <v>Promo</v>
      </c>
    </row>
    <row r="1352" spans="1:19" x14ac:dyDescent="0.35">
      <c r="A1352" t="s">
        <v>2198</v>
      </c>
      <c r="B1352" t="s">
        <v>1425</v>
      </c>
      <c r="C1352" s="1">
        <v>45295</v>
      </c>
      <c r="D1352" t="s">
        <v>28</v>
      </c>
      <c r="E1352" t="s">
        <v>98</v>
      </c>
      <c r="F1352" t="s">
        <v>41</v>
      </c>
      <c r="G1352" t="s">
        <v>73</v>
      </c>
      <c r="H1352" t="s">
        <v>50</v>
      </c>
      <c r="I1352" t="s">
        <v>20</v>
      </c>
      <c r="J1352">
        <v>3</v>
      </c>
      <c r="K1352">
        <v>285</v>
      </c>
      <c r="L1352">
        <v>855</v>
      </c>
      <c r="M1352">
        <v>59</v>
      </c>
      <c r="N1352" t="s">
        <v>33</v>
      </c>
      <c r="O1352">
        <v>3.1</v>
      </c>
      <c r="P1352" s="2">
        <f>EOMONTH(Table1[[#This Row],[Order_Date]],0)</f>
        <v>45322</v>
      </c>
      <c r="Q1352" s="3">
        <f>WEEKNUM(Table1[[#This Row],[Order_Date]])</f>
        <v>1</v>
      </c>
      <c r="R1352">
        <f>YEAR(Table1[[#This Row],[Order_Date]])</f>
        <v>2024</v>
      </c>
      <c r="S1352" t="str">
        <f>IF(Table1[[#This Row],[Quantity]]&gt;=3,"Promo","Regular")</f>
        <v>Promo</v>
      </c>
    </row>
    <row r="1353" spans="1:19" x14ac:dyDescent="0.35">
      <c r="A1353" t="s">
        <v>2199</v>
      </c>
      <c r="B1353" t="s">
        <v>1426</v>
      </c>
      <c r="C1353" s="1">
        <v>45562</v>
      </c>
      <c r="D1353" t="s">
        <v>57</v>
      </c>
      <c r="E1353" t="s">
        <v>58</v>
      </c>
      <c r="F1353" t="s">
        <v>85</v>
      </c>
      <c r="G1353" t="s">
        <v>46</v>
      </c>
      <c r="H1353" t="s">
        <v>53</v>
      </c>
      <c r="I1353" t="s">
        <v>20</v>
      </c>
      <c r="J1353">
        <v>3</v>
      </c>
      <c r="K1353">
        <v>198</v>
      </c>
      <c r="L1353">
        <v>594</v>
      </c>
      <c r="M1353">
        <v>53</v>
      </c>
      <c r="N1353" t="s">
        <v>38</v>
      </c>
      <c r="O1353">
        <v>3.9</v>
      </c>
      <c r="P1353" s="2">
        <f>EOMONTH(Table1[[#This Row],[Order_Date]],0)</f>
        <v>45565</v>
      </c>
      <c r="Q1353" s="3">
        <f>WEEKNUM(Table1[[#This Row],[Order_Date]])</f>
        <v>39</v>
      </c>
      <c r="R1353">
        <f>YEAR(Table1[[#This Row],[Order_Date]])</f>
        <v>2024</v>
      </c>
      <c r="S1353" t="str">
        <f>IF(Table1[[#This Row],[Quantity]]&gt;=3,"Promo","Regular")</f>
        <v>Promo</v>
      </c>
    </row>
    <row r="1354" spans="1:19" x14ac:dyDescent="0.35">
      <c r="A1354" t="s">
        <v>2199</v>
      </c>
      <c r="B1354" t="s">
        <v>1427</v>
      </c>
      <c r="C1354" s="1">
        <v>45314</v>
      </c>
      <c r="D1354" t="s">
        <v>57</v>
      </c>
      <c r="E1354" t="s">
        <v>62</v>
      </c>
      <c r="F1354" t="s">
        <v>41</v>
      </c>
      <c r="G1354" t="s">
        <v>73</v>
      </c>
      <c r="H1354" t="s">
        <v>26</v>
      </c>
      <c r="I1354" t="s">
        <v>20</v>
      </c>
      <c r="J1354">
        <v>1</v>
      </c>
      <c r="K1354">
        <v>360</v>
      </c>
      <c r="L1354">
        <v>360</v>
      </c>
      <c r="M1354">
        <v>24</v>
      </c>
      <c r="N1354" t="s">
        <v>33</v>
      </c>
      <c r="O1354">
        <v>3.9</v>
      </c>
      <c r="P1354" s="2">
        <f>EOMONTH(Table1[[#This Row],[Order_Date]],0)</f>
        <v>45322</v>
      </c>
      <c r="Q1354" s="3">
        <f>WEEKNUM(Table1[[#This Row],[Order_Date]])</f>
        <v>4</v>
      </c>
      <c r="R1354">
        <f>YEAR(Table1[[#This Row],[Order_Date]])</f>
        <v>2024</v>
      </c>
      <c r="S1354" t="str">
        <f>IF(Table1[[#This Row],[Quantity]]&gt;=3,"Promo","Regular")</f>
        <v>Regular</v>
      </c>
    </row>
    <row r="1355" spans="1:19" x14ac:dyDescent="0.35">
      <c r="A1355" t="s">
        <v>2200</v>
      </c>
      <c r="B1355" t="s">
        <v>1428</v>
      </c>
      <c r="C1355" s="1">
        <v>45477</v>
      </c>
      <c r="D1355" t="s">
        <v>48</v>
      </c>
      <c r="E1355" t="s">
        <v>49</v>
      </c>
      <c r="F1355" t="s">
        <v>30</v>
      </c>
      <c r="G1355" t="s">
        <v>73</v>
      </c>
      <c r="H1355" t="s">
        <v>37</v>
      </c>
      <c r="I1355" t="s">
        <v>20</v>
      </c>
      <c r="J1355">
        <v>2</v>
      </c>
      <c r="K1355">
        <v>271</v>
      </c>
      <c r="L1355">
        <v>542</v>
      </c>
      <c r="M1355">
        <v>59</v>
      </c>
      <c r="N1355" t="s">
        <v>21</v>
      </c>
      <c r="O1355">
        <v>4.5</v>
      </c>
      <c r="P1355" s="2">
        <f>EOMONTH(Table1[[#This Row],[Order_Date]],0)</f>
        <v>45504</v>
      </c>
      <c r="Q1355" s="3">
        <f>WEEKNUM(Table1[[#This Row],[Order_Date]])</f>
        <v>27</v>
      </c>
      <c r="R1355">
        <f>YEAR(Table1[[#This Row],[Order_Date]])</f>
        <v>2024</v>
      </c>
      <c r="S1355" t="str">
        <f>IF(Table1[[#This Row],[Quantity]]&gt;=3,"Promo","Regular")</f>
        <v>Regular</v>
      </c>
    </row>
    <row r="1356" spans="1:19" x14ac:dyDescent="0.35">
      <c r="A1356" t="s">
        <v>2200</v>
      </c>
      <c r="B1356" t="s">
        <v>1429</v>
      </c>
      <c r="C1356" s="1">
        <v>45484</v>
      </c>
      <c r="D1356" t="s">
        <v>15</v>
      </c>
      <c r="E1356" t="s">
        <v>16</v>
      </c>
      <c r="F1356" t="s">
        <v>24</v>
      </c>
      <c r="G1356" t="s">
        <v>18</v>
      </c>
      <c r="H1356" t="s">
        <v>55</v>
      </c>
      <c r="I1356" t="s">
        <v>20</v>
      </c>
      <c r="J1356">
        <v>3</v>
      </c>
      <c r="K1356">
        <v>318</v>
      </c>
      <c r="L1356">
        <v>954</v>
      </c>
      <c r="M1356">
        <v>43</v>
      </c>
      <c r="N1356" t="s">
        <v>21</v>
      </c>
      <c r="O1356">
        <v>3.4</v>
      </c>
      <c r="P1356" s="2">
        <f>EOMONTH(Table1[[#This Row],[Order_Date]],0)</f>
        <v>45504</v>
      </c>
      <c r="Q1356" s="3">
        <f>WEEKNUM(Table1[[#This Row],[Order_Date]])</f>
        <v>28</v>
      </c>
      <c r="R1356">
        <f>YEAR(Table1[[#This Row],[Order_Date]])</f>
        <v>2024</v>
      </c>
      <c r="S1356" t="str">
        <f>IF(Table1[[#This Row],[Quantity]]&gt;=3,"Promo","Regular")</f>
        <v>Promo</v>
      </c>
    </row>
    <row r="1357" spans="1:19" x14ac:dyDescent="0.35">
      <c r="A1357" t="s">
        <v>2200</v>
      </c>
      <c r="B1357" t="s">
        <v>1430</v>
      </c>
      <c r="C1357" s="1">
        <v>45376</v>
      </c>
      <c r="D1357" t="s">
        <v>15</v>
      </c>
      <c r="E1357" t="s">
        <v>112</v>
      </c>
      <c r="F1357" t="s">
        <v>30</v>
      </c>
      <c r="G1357" t="s">
        <v>31</v>
      </c>
      <c r="H1357" t="s">
        <v>50</v>
      </c>
      <c r="I1357" t="s">
        <v>20</v>
      </c>
      <c r="J1357">
        <v>1</v>
      </c>
      <c r="K1357">
        <v>498</v>
      </c>
      <c r="L1357">
        <v>498</v>
      </c>
      <c r="M1357">
        <v>34</v>
      </c>
      <c r="N1357" t="s">
        <v>21</v>
      </c>
      <c r="O1357">
        <v>3.2</v>
      </c>
      <c r="P1357" s="2">
        <f>EOMONTH(Table1[[#This Row],[Order_Date]],0)</f>
        <v>45382</v>
      </c>
      <c r="Q1357" s="3">
        <f>WEEKNUM(Table1[[#This Row],[Order_Date]])</f>
        <v>13</v>
      </c>
      <c r="R1357">
        <f>YEAR(Table1[[#This Row],[Order_Date]])</f>
        <v>2024</v>
      </c>
      <c r="S1357" t="str">
        <f>IF(Table1[[#This Row],[Quantity]]&gt;=3,"Promo","Regular")</f>
        <v>Regular</v>
      </c>
    </row>
    <row r="1358" spans="1:19" x14ac:dyDescent="0.35">
      <c r="A1358" t="s">
        <v>2200</v>
      </c>
      <c r="B1358" t="s">
        <v>1431</v>
      </c>
      <c r="C1358" s="1">
        <v>45422</v>
      </c>
      <c r="D1358" t="s">
        <v>57</v>
      </c>
      <c r="E1358" t="s">
        <v>105</v>
      </c>
      <c r="F1358" t="s">
        <v>45</v>
      </c>
      <c r="G1358" t="s">
        <v>73</v>
      </c>
      <c r="H1358" t="s">
        <v>19</v>
      </c>
      <c r="I1358" t="s">
        <v>20</v>
      </c>
      <c r="J1358">
        <v>1</v>
      </c>
      <c r="K1358">
        <v>144</v>
      </c>
      <c r="L1358">
        <v>144</v>
      </c>
      <c r="M1358">
        <v>24</v>
      </c>
      <c r="N1358" t="s">
        <v>21</v>
      </c>
      <c r="O1358">
        <v>3.8</v>
      </c>
      <c r="P1358" s="2">
        <f>EOMONTH(Table1[[#This Row],[Order_Date]],0)</f>
        <v>45443</v>
      </c>
      <c r="Q1358" s="3">
        <f>WEEKNUM(Table1[[#This Row],[Order_Date]])</f>
        <v>19</v>
      </c>
      <c r="R1358">
        <f>YEAR(Table1[[#This Row],[Order_Date]])</f>
        <v>2024</v>
      </c>
      <c r="S1358" t="str">
        <f>IF(Table1[[#This Row],[Quantity]]&gt;=3,"Promo","Regular")</f>
        <v>Regular</v>
      </c>
    </row>
    <row r="1359" spans="1:19" x14ac:dyDescent="0.35">
      <c r="A1359" t="s">
        <v>2201</v>
      </c>
      <c r="B1359" t="s">
        <v>1432</v>
      </c>
      <c r="C1359" s="1">
        <v>45544</v>
      </c>
      <c r="D1359" t="s">
        <v>28</v>
      </c>
      <c r="E1359" t="s">
        <v>71</v>
      </c>
      <c r="F1359" t="s">
        <v>35</v>
      </c>
      <c r="G1359" t="s">
        <v>36</v>
      </c>
      <c r="H1359" t="s">
        <v>19</v>
      </c>
      <c r="I1359" t="s">
        <v>20</v>
      </c>
      <c r="J1359">
        <v>5</v>
      </c>
      <c r="K1359">
        <v>202</v>
      </c>
      <c r="L1359">
        <v>1010</v>
      </c>
      <c r="M1359">
        <v>40</v>
      </c>
      <c r="N1359" t="s">
        <v>38</v>
      </c>
      <c r="O1359">
        <v>4.5</v>
      </c>
      <c r="P1359" s="2">
        <f>EOMONTH(Table1[[#This Row],[Order_Date]],0)</f>
        <v>45565</v>
      </c>
      <c r="Q1359" s="3">
        <f>WEEKNUM(Table1[[#This Row],[Order_Date]])</f>
        <v>37</v>
      </c>
      <c r="R1359">
        <f>YEAR(Table1[[#This Row],[Order_Date]])</f>
        <v>2024</v>
      </c>
      <c r="S1359" t="str">
        <f>IF(Table1[[#This Row],[Quantity]]&gt;=3,"Promo","Regular")</f>
        <v>Promo</v>
      </c>
    </row>
    <row r="1360" spans="1:19" x14ac:dyDescent="0.35">
      <c r="A1360" t="s">
        <v>2201</v>
      </c>
      <c r="B1360" t="s">
        <v>1433</v>
      </c>
      <c r="C1360" s="1">
        <v>45485</v>
      </c>
      <c r="D1360" t="s">
        <v>28</v>
      </c>
      <c r="E1360" t="s">
        <v>77</v>
      </c>
      <c r="F1360" t="s">
        <v>69</v>
      </c>
      <c r="G1360" t="s">
        <v>18</v>
      </c>
      <c r="H1360" t="s">
        <v>32</v>
      </c>
      <c r="I1360" t="s">
        <v>20</v>
      </c>
      <c r="J1360">
        <v>2</v>
      </c>
      <c r="K1360">
        <v>305</v>
      </c>
      <c r="L1360">
        <v>610</v>
      </c>
      <c r="M1360">
        <v>30</v>
      </c>
      <c r="N1360" t="s">
        <v>38</v>
      </c>
      <c r="O1360">
        <v>4.0999999999999996</v>
      </c>
      <c r="P1360" s="2">
        <f>EOMONTH(Table1[[#This Row],[Order_Date]],0)</f>
        <v>45504</v>
      </c>
      <c r="Q1360" s="3">
        <f>WEEKNUM(Table1[[#This Row],[Order_Date]])</f>
        <v>28</v>
      </c>
      <c r="R1360">
        <f>YEAR(Table1[[#This Row],[Order_Date]])</f>
        <v>2024</v>
      </c>
      <c r="S1360" t="str">
        <f>IF(Table1[[#This Row],[Quantity]]&gt;=3,"Promo","Regular")</f>
        <v>Regular</v>
      </c>
    </row>
    <row r="1361" spans="1:19" x14ac:dyDescent="0.35">
      <c r="A1361" t="s">
        <v>2202</v>
      </c>
      <c r="B1361" t="s">
        <v>1434</v>
      </c>
      <c r="C1361" s="1">
        <v>45478</v>
      </c>
      <c r="D1361" t="s">
        <v>43</v>
      </c>
      <c r="E1361" t="s">
        <v>82</v>
      </c>
      <c r="F1361" t="s">
        <v>45</v>
      </c>
      <c r="G1361" t="s">
        <v>73</v>
      </c>
      <c r="H1361" t="s">
        <v>55</v>
      </c>
      <c r="I1361" t="s">
        <v>20</v>
      </c>
      <c r="J1361">
        <v>3</v>
      </c>
      <c r="K1361">
        <v>156</v>
      </c>
      <c r="L1361">
        <v>468</v>
      </c>
      <c r="M1361">
        <v>32</v>
      </c>
      <c r="N1361" t="s">
        <v>38</v>
      </c>
      <c r="O1361">
        <v>4.7</v>
      </c>
      <c r="P1361" s="2">
        <f>EOMONTH(Table1[[#This Row],[Order_Date]],0)</f>
        <v>45504</v>
      </c>
      <c r="Q1361" s="3">
        <f>WEEKNUM(Table1[[#This Row],[Order_Date]])</f>
        <v>27</v>
      </c>
      <c r="R1361">
        <f>YEAR(Table1[[#This Row],[Order_Date]])</f>
        <v>2024</v>
      </c>
      <c r="S1361" t="str">
        <f>IF(Table1[[#This Row],[Quantity]]&gt;=3,"Promo","Regular")</f>
        <v>Promo</v>
      </c>
    </row>
    <row r="1362" spans="1:19" x14ac:dyDescent="0.35">
      <c r="A1362" t="s">
        <v>2202</v>
      </c>
      <c r="B1362" t="s">
        <v>1435</v>
      </c>
      <c r="C1362" s="1">
        <v>45340</v>
      </c>
      <c r="D1362" t="s">
        <v>57</v>
      </c>
      <c r="E1362" t="s">
        <v>136</v>
      </c>
      <c r="F1362" t="s">
        <v>85</v>
      </c>
      <c r="G1362" t="s">
        <v>25</v>
      </c>
      <c r="H1362" t="s">
        <v>120</v>
      </c>
      <c r="I1362" t="s">
        <v>60</v>
      </c>
      <c r="J1362">
        <v>3</v>
      </c>
      <c r="K1362">
        <v>296</v>
      </c>
      <c r="L1362">
        <v>888</v>
      </c>
      <c r="M1362">
        <v>41</v>
      </c>
      <c r="N1362" t="s">
        <v>21</v>
      </c>
      <c r="O1362">
        <v>3.3</v>
      </c>
      <c r="P1362" s="2">
        <f>EOMONTH(Table1[[#This Row],[Order_Date]],0)</f>
        <v>45351</v>
      </c>
      <c r="Q1362" s="3">
        <f>WEEKNUM(Table1[[#This Row],[Order_Date]])</f>
        <v>8</v>
      </c>
      <c r="R1362">
        <f>YEAR(Table1[[#This Row],[Order_Date]])</f>
        <v>2024</v>
      </c>
      <c r="S1362" t="str">
        <f>IF(Table1[[#This Row],[Quantity]]&gt;=3,"Promo","Regular")</f>
        <v>Promo</v>
      </c>
    </row>
    <row r="1363" spans="1:19" x14ac:dyDescent="0.35">
      <c r="A1363" t="s">
        <v>2202</v>
      </c>
      <c r="B1363" t="s">
        <v>1436</v>
      </c>
      <c r="C1363" s="1">
        <v>45346</v>
      </c>
      <c r="D1363" t="s">
        <v>43</v>
      </c>
      <c r="E1363" t="s">
        <v>110</v>
      </c>
      <c r="F1363" t="s">
        <v>41</v>
      </c>
      <c r="G1363" t="s">
        <v>46</v>
      </c>
      <c r="H1363" t="s">
        <v>32</v>
      </c>
      <c r="I1363" t="s">
        <v>20</v>
      </c>
      <c r="J1363">
        <v>2</v>
      </c>
      <c r="K1363">
        <v>377</v>
      </c>
      <c r="L1363">
        <v>754</v>
      </c>
      <c r="M1363">
        <v>30</v>
      </c>
      <c r="N1363" t="s">
        <v>38</v>
      </c>
      <c r="O1363">
        <v>4.4000000000000004</v>
      </c>
      <c r="P1363" s="2">
        <f>EOMONTH(Table1[[#This Row],[Order_Date]],0)</f>
        <v>45351</v>
      </c>
      <c r="Q1363" s="3">
        <f>WEEKNUM(Table1[[#This Row],[Order_Date]])</f>
        <v>8</v>
      </c>
      <c r="R1363">
        <f>YEAR(Table1[[#This Row],[Order_Date]])</f>
        <v>2024</v>
      </c>
      <c r="S1363" t="str">
        <f>IF(Table1[[#This Row],[Quantity]]&gt;=3,"Promo","Regular")</f>
        <v>Regular</v>
      </c>
    </row>
    <row r="1364" spans="1:19" x14ac:dyDescent="0.35">
      <c r="A1364" t="s">
        <v>2203</v>
      </c>
      <c r="B1364" t="s">
        <v>1437</v>
      </c>
      <c r="C1364" s="1">
        <v>45425</v>
      </c>
      <c r="D1364" t="s">
        <v>15</v>
      </c>
      <c r="E1364" t="s">
        <v>103</v>
      </c>
      <c r="F1364" t="s">
        <v>17</v>
      </c>
      <c r="G1364" t="s">
        <v>36</v>
      </c>
      <c r="H1364" t="s">
        <v>55</v>
      </c>
      <c r="I1364" t="s">
        <v>20</v>
      </c>
      <c r="J1364">
        <v>2</v>
      </c>
      <c r="K1364">
        <v>483</v>
      </c>
      <c r="L1364">
        <v>966</v>
      </c>
      <c r="M1364">
        <v>43</v>
      </c>
      <c r="N1364" t="s">
        <v>21</v>
      </c>
      <c r="O1364">
        <v>4.2</v>
      </c>
      <c r="P1364" s="2">
        <f>EOMONTH(Table1[[#This Row],[Order_Date]],0)</f>
        <v>45443</v>
      </c>
      <c r="Q1364" s="3">
        <f>WEEKNUM(Table1[[#This Row],[Order_Date]])</f>
        <v>20</v>
      </c>
      <c r="R1364">
        <f>YEAR(Table1[[#This Row],[Order_Date]])</f>
        <v>2024</v>
      </c>
      <c r="S1364" t="str">
        <f>IF(Table1[[#This Row],[Quantity]]&gt;=3,"Promo","Regular")</f>
        <v>Regular</v>
      </c>
    </row>
    <row r="1365" spans="1:19" x14ac:dyDescent="0.35">
      <c r="A1365" t="s">
        <v>2203</v>
      </c>
      <c r="B1365" t="s">
        <v>1438</v>
      </c>
      <c r="C1365" s="1">
        <v>45476</v>
      </c>
      <c r="D1365" t="s">
        <v>28</v>
      </c>
      <c r="E1365" t="s">
        <v>29</v>
      </c>
      <c r="F1365" t="s">
        <v>45</v>
      </c>
      <c r="G1365" t="s">
        <v>36</v>
      </c>
      <c r="H1365" t="s">
        <v>19</v>
      </c>
      <c r="I1365" t="s">
        <v>20</v>
      </c>
      <c r="J1365">
        <v>3</v>
      </c>
      <c r="K1365">
        <v>286</v>
      </c>
      <c r="L1365">
        <v>858</v>
      </c>
      <c r="M1365">
        <v>58</v>
      </c>
      <c r="N1365" t="s">
        <v>21</v>
      </c>
      <c r="O1365">
        <v>4.7</v>
      </c>
      <c r="P1365" s="2">
        <f>EOMONTH(Table1[[#This Row],[Order_Date]],0)</f>
        <v>45504</v>
      </c>
      <c r="Q1365" s="3">
        <f>WEEKNUM(Table1[[#This Row],[Order_Date]])</f>
        <v>27</v>
      </c>
      <c r="R1365">
        <f>YEAR(Table1[[#This Row],[Order_Date]])</f>
        <v>2024</v>
      </c>
      <c r="S1365" t="str">
        <f>IF(Table1[[#This Row],[Quantity]]&gt;=3,"Promo","Regular")</f>
        <v>Promo</v>
      </c>
    </row>
    <row r="1366" spans="1:19" x14ac:dyDescent="0.35">
      <c r="A1366" t="s">
        <v>2203</v>
      </c>
      <c r="B1366" t="s">
        <v>1439</v>
      </c>
      <c r="C1366" s="1">
        <v>45579</v>
      </c>
      <c r="D1366" t="s">
        <v>28</v>
      </c>
      <c r="E1366" t="s">
        <v>29</v>
      </c>
      <c r="F1366" t="s">
        <v>72</v>
      </c>
      <c r="G1366" t="s">
        <v>36</v>
      </c>
      <c r="H1366" t="s">
        <v>120</v>
      </c>
      <c r="I1366" t="s">
        <v>60</v>
      </c>
      <c r="J1366">
        <v>1</v>
      </c>
      <c r="K1366">
        <v>496</v>
      </c>
      <c r="L1366">
        <v>496</v>
      </c>
      <c r="M1366">
        <v>41</v>
      </c>
      <c r="N1366" t="s">
        <v>33</v>
      </c>
      <c r="O1366">
        <v>4.0999999999999996</v>
      </c>
      <c r="P1366" s="2">
        <f>EOMONTH(Table1[[#This Row],[Order_Date]],0)</f>
        <v>45596</v>
      </c>
      <c r="Q1366" s="3">
        <f>WEEKNUM(Table1[[#This Row],[Order_Date]])</f>
        <v>42</v>
      </c>
      <c r="R1366">
        <f>YEAR(Table1[[#This Row],[Order_Date]])</f>
        <v>2024</v>
      </c>
      <c r="S1366" t="str">
        <f>IF(Table1[[#This Row],[Quantity]]&gt;=3,"Promo","Regular")</f>
        <v>Regular</v>
      </c>
    </row>
    <row r="1367" spans="1:19" x14ac:dyDescent="0.35">
      <c r="A1367" t="s">
        <v>2203</v>
      </c>
      <c r="B1367" t="s">
        <v>1440</v>
      </c>
      <c r="C1367" s="1">
        <v>45369</v>
      </c>
      <c r="D1367" t="s">
        <v>28</v>
      </c>
      <c r="E1367" t="s">
        <v>98</v>
      </c>
      <c r="F1367" t="s">
        <v>45</v>
      </c>
      <c r="G1367" t="s">
        <v>73</v>
      </c>
      <c r="H1367" t="s">
        <v>19</v>
      </c>
      <c r="I1367" t="s">
        <v>20</v>
      </c>
      <c r="J1367">
        <v>4</v>
      </c>
      <c r="K1367">
        <v>378</v>
      </c>
      <c r="L1367">
        <v>1512</v>
      </c>
      <c r="M1367">
        <v>33</v>
      </c>
      <c r="N1367" t="s">
        <v>38</v>
      </c>
      <c r="O1367">
        <v>4.0999999999999996</v>
      </c>
      <c r="P1367" s="2">
        <f>EOMONTH(Table1[[#This Row],[Order_Date]],0)</f>
        <v>45382</v>
      </c>
      <c r="Q1367" s="3">
        <f>WEEKNUM(Table1[[#This Row],[Order_Date]])</f>
        <v>12</v>
      </c>
      <c r="R1367">
        <f>YEAR(Table1[[#This Row],[Order_Date]])</f>
        <v>2024</v>
      </c>
      <c r="S1367" t="str">
        <f>IF(Table1[[#This Row],[Quantity]]&gt;=3,"Promo","Regular")</f>
        <v>Promo</v>
      </c>
    </row>
    <row r="1368" spans="1:19" x14ac:dyDescent="0.35">
      <c r="A1368" t="s">
        <v>2203</v>
      </c>
      <c r="B1368" t="s">
        <v>1441</v>
      </c>
      <c r="C1368" s="1">
        <v>45417</v>
      </c>
      <c r="D1368" t="s">
        <v>15</v>
      </c>
      <c r="E1368" t="s">
        <v>16</v>
      </c>
      <c r="F1368" t="s">
        <v>17</v>
      </c>
      <c r="G1368" t="s">
        <v>36</v>
      </c>
      <c r="H1368" t="s">
        <v>26</v>
      </c>
      <c r="I1368" t="s">
        <v>20</v>
      </c>
      <c r="J1368">
        <v>2</v>
      </c>
      <c r="K1368">
        <v>216</v>
      </c>
      <c r="L1368">
        <v>432</v>
      </c>
      <c r="M1368">
        <v>52</v>
      </c>
      <c r="N1368" t="s">
        <v>38</v>
      </c>
      <c r="O1368">
        <v>4.5</v>
      </c>
      <c r="P1368" s="2">
        <f>EOMONTH(Table1[[#This Row],[Order_Date]],0)</f>
        <v>45443</v>
      </c>
      <c r="Q1368" s="3">
        <f>WEEKNUM(Table1[[#This Row],[Order_Date]])</f>
        <v>19</v>
      </c>
      <c r="R1368">
        <f>YEAR(Table1[[#This Row],[Order_Date]])</f>
        <v>2024</v>
      </c>
      <c r="S1368" t="str">
        <f>IF(Table1[[#This Row],[Quantity]]&gt;=3,"Promo","Regular")</f>
        <v>Regular</v>
      </c>
    </row>
    <row r="1369" spans="1:19" x14ac:dyDescent="0.35">
      <c r="A1369" t="s">
        <v>2204</v>
      </c>
      <c r="B1369" t="s">
        <v>1442</v>
      </c>
      <c r="C1369" s="1">
        <v>45446</v>
      </c>
      <c r="D1369" t="s">
        <v>43</v>
      </c>
      <c r="E1369" t="s">
        <v>93</v>
      </c>
      <c r="F1369" t="s">
        <v>72</v>
      </c>
      <c r="G1369" t="s">
        <v>18</v>
      </c>
      <c r="H1369" t="s">
        <v>19</v>
      </c>
      <c r="I1369" t="s">
        <v>20</v>
      </c>
      <c r="J1369">
        <v>3</v>
      </c>
      <c r="K1369">
        <v>203</v>
      </c>
      <c r="L1369">
        <v>609</v>
      </c>
      <c r="M1369">
        <v>25</v>
      </c>
      <c r="N1369" t="s">
        <v>38</v>
      </c>
      <c r="O1369">
        <v>3.6</v>
      </c>
      <c r="P1369" s="2">
        <f>EOMONTH(Table1[[#This Row],[Order_Date]],0)</f>
        <v>45473</v>
      </c>
      <c r="Q1369" s="3">
        <f>WEEKNUM(Table1[[#This Row],[Order_Date]])</f>
        <v>23</v>
      </c>
      <c r="R1369">
        <f>YEAR(Table1[[#This Row],[Order_Date]])</f>
        <v>2024</v>
      </c>
      <c r="S1369" t="str">
        <f>IF(Table1[[#This Row],[Quantity]]&gt;=3,"Promo","Regular")</f>
        <v>Promo</v>
      </c>
    </row>
    <row r="1370" spans="1:19" x14ac:dyDescent="0.35">
      <c r="A1370" t="s">
        <v>2204</v>
      </c>
      <c r="B1370" t="s">
        <v>1443</v>
      </c>
      <c r="C1370" s="1">
        <v>45523</v>
      </c>
      <c r="D1370" t="s">
        <v>43</v>
      </c>
      <c r="E1370" t="s">
        <v>82</v>
      </c>
      <c r="F1370" t="s">
        <v>69</v>
      </c>
      <c r="G1370" t="s">
        <v>46</v>
      </c>
      <c r="H1370" t="s">
        <v>19</v>
      </c>
      <c r="I1370" t="s">
        <v>20</v>
      </c>
      <c r="J1370">
        <v>1</v>
      </c>
      <c r="K1370">
        <v>427</v>
      </c>
      <c r="L1370">
        <v>427</v>
      </c>
      <c r="M1370">
        <v>48</v>
      </c>
      <c r="N1370" t="s">
        <v>33</v>
      </c>
      <c r="O1370">
        <v>5</v>
      </c>
      <c r="P1370" s="2">
        <f>EOMONTH(Table1[[#This Row],[Order_Date]],0)</f>
        <v>45535</v>
      </c>
      <c r="Q1370" s="3">
        <f>WEEKNUM(Table1[[#This Row],[Order_Date]])</f>
        <v>34</v>
      </c>
      <c r="R1370">
        <f>YEAR(Table1[[#This Row],[Order_Date]])</f>
        <v>2024</v>
      </c>
      <c r="S1370" t="str">
        <f>IF(Table1[[#This Row],[Quantity]]&gt;=3,"Promo","Regular")</f>
        <v>Regular</v>
      </c>
    </row>
    <row r="1371" spans="1:19" x14ac:dyDescent="0.35">
      <c r="A1371" t="s">
        <v>2205</v>
      </c>
      <c r="B1371" t="s">
        <v>1444</v>
      </c>
      <c r="C1371" s="1">
        <v>45382</v>
      </c>
      <c r="D1371" t="s">
        <v>57</v>
      </c>
      <c r="E1371" t="s">
        <v>75</v>
      </c>
      <c r="F1371" t="s">
        <v>85</v>
      </c>
      <c r="G1371" t="s">
        <v>18</v>
      </c>
      <c r="H1371" t="s">
        <v>26</v>
      </c>
      <c r="I1371" t="s">
        <v>20</v>
      </c>
      <c r="J1371">
        <v>4</v>
      </c>
      <c r="K1371">
        <v>314</v>
      </c>
      <c r="L1371">
        <v>1256</v>
      </c>
      <c r="M1371">
        <v>23</v>
      </c>
      <c r="N1371" t="s">
        <v>38</v>
      </c>
      <c r="O1371">
        <v>3.7</v>
      </c>
      <c r="P1371" s="2">
        <f>EOMONTH(Table1[[#This Row],[Order_Date]],0)</f>
        <v>45382</v>
      </c>
      <c r="Q1371" s="3">
        <f>WEEKNUM(Table1[[#This Row],[Order_Date]])</f>
        <v>14</v>
      </c>
      <c r="R1371">
        <f>YEAR(Table1[[#This Row],[Order_Date]])</f>
        <v>2024</v>
      </c>
      <c r="S1371" t="str">
        <f>IF(Table1[[#This Row],[Quantity]]&gt;=3,"Promo","Regular")</f>
        <v>Promo</v>
      </c>
    </row>
    <row r="1372" spans="1:19" x14ac:dyDescent="0.35">
      <c r="A1372" t="s">
        <v>2205</v>
      </c>
      <c r="B1372" t="s">
        <v>1445</v>
      </c>
      <c r="C1372" s="1">
        <v>45583</v>
      </c>
      <c r="D1372" t="s">
        <v>57</v>
      </c>
      <c r="E1372" t="s">
        <v>75</v>
      </c>
      <c r="F1372" t="s">
        <v>85</v>
      </c>
      <c r="G1372" t="s">
        <v>46</v>
      </c>
      <c r="H1372" t="s">
        <v>50</v>
      </c>
      <c r="I1372" t="s">
        <v>20</v>
      </c>
      <c r="J1372">
        <v>4</v>
      </c>
      <c r="K1372">
        <v>268</v>
      </c>
      <c r="L1372">
        <v>1072</v>
      </c>
      <c r="M1372">
        <v>50</v>
      </c>
      <c r="N1372" t="s">
        <v>33</v>
      </c>
      <c r="O1372">
        <v>3.4</v>
      </c>
      <c r="P1372" s="2">
        <f>EOMONTH(Table1[[#This Row],[Order_Date]],0)</f>
        <v>45596</v>
      </c>
      <c r="Q1372" s="3">
        <f>WEEKNUM(Table1[[#This Row],[Order_Date]])</f>
        <v>42</v>
      </c>
      <c r="R1372">
        <f>YEAR(Table1[[#This Row],[Order_Date]])</f>
        <v>2024</v>
      </c>
      <c r="S1372" t="str">
        <f>IF(Table1[[#This Row],[Quantity]]&gt;=3,"Promo","Regular")</f>
        <v>Promo</v>
      </c>
    </row>
    <row r="1373" spans="1:19" x14ac:dyDescent="0.35">
      <c r="A1373" t="s">
        <v>2205</v>
      </c>
      <c r="B1373" t="s">
        <v>1446</v>
      </c>
      <c r="C1373" s="1">
        <v>45338</v>
      </c>
      <c r="D1373" t="s">
        <v>48</v>
      </c>
      <c r="E1373" t="s">
        <v>127</v>
      </c>
      <c r="F1373" t="s">
        <v>35</v>
      </c>
      <c r="G1373" t="s">
        <v>25</v>
      </c>
      <c r="H1373" t="s">
        <v>26</v>
      </c>
      <c r="I1373" t="s">
        <v>20</v>
      </c>
      <c r="J1373">
        <v>2</v>
      </c>
      <c r="K1373">
        <v>346</v>
      </c>
      <c r="L1373">
        <v>692</v>
      </c>
      <c r="M1373">
        <v>41</v>
      </c>
      <c r="N1373" t="s">
        <v>38</v>
      </c>
      <c r="O1373">
        <v>3</v>
      </c>
      <c r="P1373" s="2">
        <f>EOMONTH(Table1[[#This Row],[Order_Date]],0)</f>
        <v>45351</v>
      </c>
      <c r="Q1373" s="3">
        <f>WEEKNUM(Table1[[#This Row],[Order_Date]])</f>
        <v>7</v>
      </c>
      <c r="R1373">
        <f>YEAR(Table1[[#This Row],[Order_Date]])</f>
        <v>2024</v>
      </c>
      <c r="S1373" t="str">
        <f>IF(Table1[[#This Row],[Quantity]]&gt;=3,"Promo","Regular")</f>
        <v>Regular</v>
      </c>
    </row>
    <row r="1374" spans="1:19" x14ac:dyDescent="0.35">
      <c r="A1374" t="s">
        <v>2205</v>
      </c>
      <c r="B1374" t="s">
        <v>1447</v>
      </c>
      <c r="C1374" s="1">
        <v>45508</v>
      </c>
      <c r="D1374" t="s">
        <v>43</v>
      </c>
      <c r="E1374" t="s">
        <v>82</v>
      </c>
      <c r="F1374" t="s">
        <v>45</v>
      </c>
      <c r="G1374" t="s">
        <v>31</v>
      </c>
      <c r="H1374" t="s">
        <v>19</v>
      </c>
      <c r="I1374" t="s">
        <v>20</v>
      </c>
      <c r="J1374">
        <v>1</v>
      </c>
      <c r="K1374">
        <v>193</v>
      </c>
      <c r="L1374">
        <v>193</v>
      </c>
      <c r="M1374">
        <v>53</v>
      </c>
      <c r="N1374" t="s">
        <v>38</v>
      </c>
      <c r="O1374">
        <v>3.9</v>
      </c>
      <c r="P1374" s="2">
        <f>EOMONTH(Table1[[#This Row],[Order_Date]],0)</f>
        <v>45535</v>
      </c>
      <c r="Q1374" s="3">
        <f>WEEKNUM(Table1[[#This Row],[Order_Date]])</f>
        <v>32</v>
      </c>
      <c r="R1374">
        <f>YEAR(Table1[[#This Row],[Order_Date]])</f>
        <v>2024</v>
      </c>
      <c r="S1374" t="str">
        <f>IF(Table1[[#This Row],[Quantity]]&gt;=3,"Promo","Regular")</f>
        <v>Regular</v>
      </c>
    </row>
    <row r="1375" spans="1:19" x14ac:dyDescent="0.35">
      <c r="A1375" t="s">
        <v>2205</v>
      </c>
      <c r="B1375" t="s">
        <v>1448</v>
      </c>
      <c r="C1375" s="1">
        <v>45461</v>
      </c>
      <c r="D1375" t="s">
        <v>43</v>
      </c>
      <c r="E1375" t="s">
        <v>52</v>
      </c>
      <c r="F1375" t="s">
        <v>30</v>
      </c>
      <c r="G1375" t="s">
        <v>46</v>
      </c>
      <c r="H1375" t="s">
        <v>32</v>
      </c>
      <c r="I1375" t="s">
        <v>20</v>
      </c>
      <c r="J1375">
        <v>2</v>
      </c>
      <c r="K1375">
        <v>490</v>
      </c>
      <c r="L1375">
        <v>980</v>
      </c>
      <c r="M1375">
        <v>22</v>
      </c>
      <c r="N1375" t="s">
        <v>33</v>
      </c>
      <c r="O1375">
        <v>3.1</v>
      </c>
      <c r="P1375" s="2">
        <f>EOMONTH(Table1[[#This Row],[Order_Date]],0)</f>
        <v>45473</v>
      </c>
      <c r="Q1375" s="3">
        <f>WEEKNUM(Table1[[#This Row],[Order_Date]])</f>
        <v>25</v>
      </c>
      <c r="R1375">
        <f>YEAR(Table1[[#This Row],[Order_Date]])</f>
        <v>2024</v>
      </c>
      <c r="S1375" t="str">
        <f>IF(Table1[[#This Row],[Quantity]]&gt;=3,"Promo","Regular")</f>
        <v>Regular</v>
      </c>
    </row>
    <row r="1376" spans="1:19" x14ac:dyDescent="0.35">
      <c r="A1376" t="s">
        <v>2206</v>
      </c>
      <c r="B1376" t="s">
        <v>1449</v>
      </c>
      <c r="C1376" s="1">
        <v>45568</v>
      </c>
      <c r="D1376" t="s">
        <v>48</v>
      </c>
      <c r="E1376" t="s">
        <v>49</v>
      </c>
      <c r="F1376" t="s">
        <v>41</v>
      </c>
      <c r="G1376" t="s">
        <v>18</v>
      </c>
      <c r="H1376" t="s">
        <v>66</v>
      </c>
      <c r="I1376" t="s">
        <v>20</v>
      </c>
      <c r="J1376">
        <v>4</v>
      </c>
      <c r="K1376">
        <v>222</v>
      </c>
      <c r="L1376">
        <v>888</v>
      </c>
      <c r="M1376">
        <v>41</v>
      </c>
      <c r="N1376" t="s">
        <v>21</v>
      </c>
      <c r="O1376">
        <v>5</v>
      </c>
      <c r="P1376" s="2">
        <f>EOMONTH(Table1[[#This Row],[Order_Date]],0)</f>
        <v>45596</v>
      </c>
      <c r="Q1376" s="3">
        <f>WEEKNUM(Table1[[#This Row],[Order_Date]])</f>
        <v>40</v>
      </c>
      <c r="R1376">
        <f>YEAR(Table1[[#This Row],[Order_Date]])</f>
        <v>2024</v>
      </c>
      <c r="S1376" t="str">
        <f>IF(Table1[[#This Row],[Quantity]]&gt;=3,"Promo","Regular")</f>
        <v>Promo</v>
      </c>
    </row>
    <row r="1377" spans="1:19" x14ac:dyDescent="0.35">
      <c r="A1377" t="s">
        <v>2206</v>
      </c>
      <c r="B1377" t="s">
        <v>1450</v>
      </c>
      <c r="C1377" s="1">
        <v>45357</v>
      </c>
      <c r="D1377" t="s">
        <v>15</v>
      </c>
      <c r="E1377" t="s">
        <v>103</v>
      </c>
      <c r="F1377" t="s">
        <v>45</v>
      </c>
      <c r="G1377" t="s">
        <v>25</v>
      </c>
      <c r="H1377" t="s">
        <v>55</v>
      </c>
      <c r="I1377" t="s">
        <v>20</v>
      </c>
      <c r="J1377">
        <v>4</v>
      </c>
      <c r="K1377">
        <v>426</v>
      </c>
      <c r="L1377">
        <v>1704</v>
      </c>
      <c r="M1377">
        <v>51</v>
      </c>
      <c r="N1377" t="s">
        <v>21</v>
      </c>
      <c r="O1377">
        <v>4.4000000000000004</v>
      </c>
      <c r="P1377" s="2">
        <f>EOMONTH(Table1[[#This Row],[Order_Date]],0)</f>
        <v>45382</v>
      </c>
      <c r="Q1377" s="3">
        <f>WEEKNUM(Table1[[#This Row],[Order_Date]])</f>
        <v>10</v>
      </c>
      <c r="R1377">
        <f>YEAR(Table1[[#This Row],[Order_Date]])</f>
        <v>2024</v>
      </c>
      <c r="S1377" t="str">
        <f>IF(Table1[[#This Row],[Quantity]]&gt;=3,"Promo","Regular")</f>
        <v>Promo</v>
      </c>
    </row>
    <row r="1378" spans="1:19" x14ac:dyDescent="0.35">
      <c r="A1378" t="s">
        <v>2206</v>
      </c>
      <c r="B1378" t="s">
        <v>1451</v>
      </c>
      <c r="C1378" s="1">
        <v>45361</v>
      </c>
      <c r="D1378" t="s">
        <v>15</v>
      </c>
      <c r="E1378" t="s">
        <v>103</v>
      </c>
      <c r="F1378" t="s">
        <v>41</v>
      </c>
      <c r="G1378" t="s">
        <v>36</v>
      </c>
      <c r="H1378" t="s">
        <v>32</v>
      </c>
      <c r="I1378" t="s">
        <v>20</v>
      </c>
      <c r="J1378">
        <v>4</v>
      </c>
      <c r="K1378">
        <v>285</v>
      </c>
      <c r="L1378">
        <v>1140</v>
      </c>
      <c r="M1378">
        <v>48</v>
      </c>
      <c r="N1378" t="s">
        <v>38</v>
      </c>
      <c r="O1378">
        <v>4</v>
      </c>
      <c r="P1378" s="2">
        <f>EOMONTH(Table1[[#This Row],[Order_Date]],0)</f>
        <v>45382</v>
      </c>
      <c r="Q1378" s="3">
        <f>WEEKNUM(Table1[[#This Row],[Order_Date]])</f>
        <v>11</v>
      </c>
      <c r="R1378">
        <f>YEAR(Table1[[#This Row],[Order_Date]])</f>
        <v>2024</v>
      </c>
      <c r="S1378" t="str">
        <f>IF(Table1[[#This Row],[Quantity]]&gt;=3,"Promo","Regular")</f>
        <v>Promo</v>
      </c>
    </row>
    <row r="1379" spans="1:19" x14ac:dyDescent="0.35">
      <c r="A1379" t="s">
        <v>2206</v>
      </c>
      <c r="B1379" t="s">
        <v>1452</v>
      </c>
      <c r="C1379" s="1">
        <v>45524</v>
      </c>
      <c r="D1379" t="s">
        <v>28</v>
      </c>
      <c r="E1379" t="s">
        <v>98</v>
      </c>
      <c r="F1379" t="s">
        <v>85</v>
      </c>
      <c r="G1379" t="s">
        <v>73</v>
      </c>
      <c r="H1379" t="s">
        <v>66</v>
      </c>
      <c r="I1379" t="s">
        <v>20</v>
      </c>
      <c r="J1379">
        <v>4</v>
      </c>
      <c r="K1379">
        <v>158</v>
      </c>
      <c r="L1379">
        <v>632</v>
      </c>
      <c r="M1379">
        <v>49</v>
      </c>
      <c r="N1379" t="s">
        <v>21</v>
      </c>
      <c r="O1379">
        <v>3.5</v>
      </c>
      <c r="P1379" s="2">
        <f>EOMONTH(Table1[[#This Row],[Order_Date]],0)</f>
        <v>45535</v>
      </c>
      <c r="Q1379" s="3">
        <f>WEEKNUM(Table1[[#This Row],[Order_Date]])</f>
        <v>34</v>
      </c>
      <c r="R1379">
        <f>YEAR(Table1[[#This Row],[Order_Date]])</f>
        <v>2024</v>
      </c>
      <c r="S1379" t="str">
        <f>IF(Table1[[#This Row],[Quantity]]&gt;=3,"Promo","Regular")</f>
        <v>Promo</v>
      </c>
    </row>
    <row r="1380" spans="1:19" x14ac:dyDescent="0.35">
      <c r="A1380" t="s">
        <v>2207</v>
      </c>
      <c r="B1380" t="s">
        <v>1453</v>
      </c>
      <c r="C1380" s="1">
        <v>45413</v>
      </c>
      <c r="D1380" t="s">
        <v>43</v>
      </c>
      <c r="E1380" t="s">
        <v>110</v>
      </c>
      <c r="F1380" t="s">
        <v>35</v>
      </c>
      <c r="G1380" t="s">
        <v>46</v>
      </c>
      <c r="H1380" t="s">
        <v>19</v>
      </c>
      <c r="I1380" t="s">
        <v>20</v>
      </c>
      <c r="J1380">
        <v>3</v>
      </c>
      <c r="K1380">
        <v>357</v>
      </c>
      <c r="L1380">
        <v>1071</v>
      </c>
      <c r="M1380">
        <v>24</v>
      </c>
      <c r="N1380" t="s">
        <v>21</v>
      </c>
      <c r="O1380">
        <v>3.1</v>
      </c>
      <c r="P1380" s="2">
        <f>EOMONTH(Table1[[#This Row],[Order_Date]],0)</f>
        <v>45443</v>
      </c>
      <c r="Q1380" s="3">
        <f>WEEKNUM(Table1[[#This Row],[Order_Date]])</f>
        <v>18</v>
      </c>
      <c r="R1380">
        <f>YEAR(Table1[[#This Row],[Order_Date]])</f>
        <v>2024</v>
      </c>
      <c r="S1380" t="str">
        <f>IF(Table1[[#This Row],[Quantity]]&gt;=3,"Promo","Regular")</f>
        <v>Promo</v>
      </c>
    </row>
    <row r="1381" spans="1:19" x14ac:dyDescent="0.35">
      <c r="A1381" t="s">
        <v>2207</v>
      </c>
      <c r="B1381" t="s">
        <v>1454</v>
      </c>
      <c r="C1381" s="1">
        <v>45497</v>
      </c>
      <c r="D1381" t="s">
        <v>28</v>
      </c>
      <c r="E1381" t="s">
        <v>29</v>
      </c>
      <c r="F1381" t="s">
        <v>24</v>
      </c>
      <c r="G1381" t="s">
        <v>73</v>
      </c>
      <c r="H1381" t="s">
        <v>53</v>
      </c>
      <c r="I1381" t="s">
        <v>20</v>
      </c>
      <c r="J1381">
        <v>5</v>
      </c>
      <c r="K1381">
        <v>171</v>
      </c>
      <c r="L1381">
        <v>855</v>
      </c>
      <c r="M1381">
        <v>29</v>
      </c>
      <c r="N1381" t="s">
        <v>33</v>
      </c>
      <c r="O1381">
        <v>3.9</v>
      </c>
      <c r="P1381" s="2">
        <f>EOMONTH(Table1[[#This Row],[Order_Date]],0)</f>
        <v>45504</v>
      </c>
      <c r="Q1381" s="3">
        <f>WEEKNUM(Table1[[#This Row],[Order_Date]])</f>
        <v>30</v>
      </c>
      <c r="R1381">
        <f>YEAR(Table1[[#This Row],[Order_Date]])</f>
        <v>2024</v>
      </c>
      <c r="S1381" t="str">
        <f>IF(Table1[[#This Row],[Quantity]]&gt;=3,"Promo","Regular")</f>
        <v>Promo</v>
      </c>
    </row>
    <row r="1382" spans="1:19" x14ac:dyDescent="0.35">
      <c r="A1382" t="s">
        <v>2207</v>
      </c>
      <c r="B1382" t="s">
        <v>1455</v>
      </c>
      <c r="C1382" s="1">
        <v>45535</v>
      </c>
      <c r="D1382" t="s">
        <v>43</v>
      </c>
      <c r="E1382" t="s">
        <v>93</v>
      </c>
      <c r="F1382" t="s">
        <v>35</v>
      </c>
      <c r="G1382" t="s">
        <v>25</v>
      </c>
      <c r="H1382" t="s">
        <v>50</v>
      </c>
      <c r="I1382" t="s">
        <v>20</v>
      </c>
      <c r="J1382">
        <v>1</v>
      </c>
      <c r="K1382">
        <v>189</v>
      </c>
      <c r="L1382">
        <v>189</v>
      </c>
      <c r="M1382">
        <v>26</v>
      </c>
      <c r="N1382" t="s">
        <v>21</v>
      </c>
      <c r="O1382">
        <v>3.9</v>
      </c>
      <c r="P1382" s="2">
        <f>EOMONTH(Table1[[#This Row],[Order_Date]],0)</f>
        <v>45535</v>
      </c>
      <c r="Q1382" s="3">
        <f>WEEKNUM(Table1[[#This Row],[Order_Date]])</f>
        <v>35</v>
      </c>
      <c r="R1382">
        <f>YEAR(Table1[[#This Row],[Order_Date]])</f>
        <v>2024</v>
      </c>
      <c r="S1382" t="str">
        <f>IF(Table1[[#This Row],[Quantity]]&gt;=3,"Promo","Regular")</f>
        <v>Regular</v>
      </c>
    </row>
    <row r="1383" spans="1:19" x14ac:dyDescent="0.35">
      <c r="A1383" t="s">
        <v>2208</v>
      </c>
      <c r="B1383" t="s">
        <v>1456</v>
      </c>
      <c r="C1383" s="1">
        <v>45380</v>
      </c>
      <c r="D1383" t="s">
        <v>43</v>
      </c>
      <c r="E1383" t="s">
        <v>44</v>
      </c>
      <c r="F1383" t="s">
        <v>35</v>
      </c>
      <c r="G1383" t="s">
        <v>36</v>
      </c>
      <c r="H1383" t="s">
        <v>66</v>
      </c>
      <c r="I1383" t="s">
        <v>20</v>
      </c>
      <c r="J1383">
        <v>1</v>
      </c>
      <c r="K1383">
        <v>245</v>
      </c>
      <c r="L1383">
        <v>245</v>
      </c>
      <c r="M1383">
        <v>26</v>
      </c>
      <c r="N1383" t="s">
        <v>21</v>
      </c>
      <c r="O1383">
        <v>3.9</v>
      </c>
      <c r="P1383" s="2">
        <f>EOMONTH(Table1[[#This Row],[Order_Date]],0)</f>
        <v>45382</v>
      </c>
      <c r="Q1383" s="3">
        <f>WEEKNUM(Table1[[#This Row],[Order_Date]])</f>
        <v>13</v>
      </c>
      <c r="R1383">
        <f>YEAR(Table1[[#This Row],[Order_Date]])</f>
        <v>2024</v>
      </c>
      <c r="S1383" t="str">
        <f>IF(Table1[[#This Row],[Quantity]]&gt;=3,"Promo","Regular")</f>
        <v>Regular</v>
      </c>
    </row>
    <row r="1384" spans="1:19" x14ac:dyDescent="0.35">
      <c r="A1384" t="s">
        <v>2208</v>
      </c>
      <c r="B1384" t="s">
        <v>1457</v>
      </c>
      <c r="C1384" s="1">
        <v>45497</v>
      </c>
      <c r="D1384" t="s">
        <v>43</v>
      </c>
      <c r="E1384" t="s">
        <v>93</v>
      </c>
      <c r="F1384" t="s">
        <v>30</v>
      </c>
      <c r="G1384" t="s">
        <v>36</v>
      </c>
      <c r="H1384" t="s">
        <v>120</v>
      </c>
      <c r="I1384" t="s">
        <v>60</v>
      </c>
      <c r="J1384">
        <v>3</v>
      </c>
      <c r="K1384">
        <v>165</v>
      </c>
      <c r="L1384">
        <v>495</v>
      </c>
      <c r="M1384">
        <v>26</v>
      </c>
      <c r="N1384" t="s">
        <v>21</v>
      </c>
      <c r="O1384">
        <v>3.4</v>
      </c>
      <c r="P1384" s="2">
        <f>EOMONTH(Table1[[#This Row],[Order_Date]],0)</f>
        <v>45504</v>
      </c>
      <c r="Q1384" s="3">
        <f>WEEKNUM(Table1[[#This Row],[Order_Date]])</f>
        <v>30</v>
      </c>
      <c r="R1384">
        <f>YEAR(Table1[[#This Row],[Order_Date]])</f>
        <v>2024</v>
      </c>
      <c r="S1384" t="str">
        <f>IF(Table1[[#This Row],[Quantity]]&gt;=3,"Promo","Regular")</f>
        <v>Promo</v>
      </c>
    </row>
    <row r="1385" spans="1:19" x14ac:dyDescent="0.35">
      <c r="A1385" t="s">
        <v>2209</v>
      </c>
      <c r="B1385" t="s">
        <v>1458</v>
      </c>
      <c r="C1385" s="1">
        <v>45377</v>
      </c>
      <c r="D1385" t="s">
        <v>48</v>
      </c>
      <c r="E1385" t="s">
        <v>64</v>
      </c>
      <c r="F1385" t="s">
        <v>41</v>
      </c>
      <c r="G1385" t="s">
        <v>46</v>
      </c>
      <c r="H1385" t="s">
        <v>26</v>
      </c>
      <c r="I1385" t="s">
        <v>20</v>
      </c>
      <c r="J1385">
        <v>4</v>
      </c>
      <c r="K1385">
        <v>305</v>
      </c>
      <c r="L1385">
        <v>1220</v>
      </c>
      <c r="M1385">
        <v>25</v>
      </c>
      <c r="N1385" t="s">
        <v>21</v>
      </c>
      <c r="O1385">
        <v>3.6</v>
      </c>
      <c r="P1385" s="2">
        <f>EOMONTH(Table1[[#This Row],[Order_Date]],0)</f>
        <v>45382</v>
      </c>
      <c r="Q1385" s="3">
        <f>WEEKNUM(Table1[[#This Row],[Order_Date]])</f>
        <v>13</v>
      </c>
      <c r="R1385">
        <f>YEAR(Table1[[#This Row],[Order_Date]])</f>
        <v>2024</v>
      </c>
      <c r="S1385" t="str">
        <f>IF(Table1[[#This Row],[Quantity]]&gt;=3,"Promo","Regular")</f>
        <v>Promo</v>
      </c>
    </row>
    <row r="1386" spans="1:19" x14ac:dyDescent="0.35">
      <c r="A1386" t="s">
        <v>2209</v>
      </c>
      <c r="B1386" t="s">
        <v>1459</v>
      </c>
      <c r="C1386" s="1">
        <v>45560</v>
      </c>
      <c r="D1386" t="s">
        <v>57</v>
      </c>
      <c r="E1386" t="s">
        <v>136</v>
      </c>
      <c r="F1386" t="s">
        <v>35</v>
      </c>
      <c r="G1386" t="s">
        <v>25</v>
      </c>
      <c r="H1386" t="s">
        <v>37</v>
      </c>
      <c r="I1386" t="s">
        <v>20</v>
      </c>
      <c r="J1386">
        <v>4</v>
      </c>
      <c r="K1386">
        <v>295</v>
      </c>
      <c r="L1386">
        <v>1180</v>
      </c>
      <c r="M1386">
        <v>36</v>
      </c>
      <c r="N1386" t="s">
        <v>33</v>
      </c>
      <c r="O1386">
        <v>4.3</v>
      </c>
      <c r="P1386" s="2">
        <f>EOMONTH(Table1[[#This Row],[Order_Date]],0)</f>
        <v>45565</v>
      </c>
      <c r="Q1386" s="3">
        <f>WEEKNUM(Table1[[#This Row],[Order_Date]])</f>
        <v>39</v>
      </c>
      <c r="R1386">
        <f>YEAR(Table1[[#This Row],[Order_Date]])</f>
        <v>2024</v>
      </c>
      <c r="S1386" t="str">
        <f>IF(Table1[[#This Row],[Quantity]]&gt;=3,"Promo","Regular")</f>
        <v>Promo</v>
      </c>
    </row>
    <row r="1387" spans="1:19" x14ac:dyDescent="0.35">
      <c r="A1387" t="s">
        <v>2209</v>
      </c>
      <c r="B1387" t="s">
        <v>1460</v>
      </c>
      <c r="C1387" s="1">
        <v>45529</v>
      </c>
      <c r="D1387" t="s">
        <v>15</v>
      </c>
      <c r="E1387" t="s">
        <v>23</v>
      </c>
      <c r="F1387" t="s">
        <v>69</v>
      </c>
      <c r="G1387" t="s">
        <v>18</v>
      </c>
      <c r="H1387" t="s">
        <v>66</v>
      </c>
      <c r="I1387" t="s">
        <v>20</v>
      </c>
      <c r="J1387">
        <v>2</v>
      </c>
      <c r="K1387">
        <v>391</v>
      </c>
      <c r="L1387">
        <v>782</v>
      </c>
      <c r="M1387">
        <v>28</v>
      </c>
      <c r="N1387" t="s">
        <v>21</v>
      </c>
      <c r="O1387">
        <v>3.7</v>
      </c>
      <c r="P1387" s="2">
        <f>EOMONTH(Table1[[#This Row],[Order_Date]],0)</f>
        <v>45535</v>
      </c>
      <c r="Q1387" s="3">
        <f>WEEKNUM(Table1[[#This Row],[Order_Date]])</f>
        <v>35</v>
      </c>
      <c r="R1387">
        <f>YEAR(Table1[[#This Row],[Order_Date]])</f>
        <v>2024</v>
      </c>
      <c r="S1387" t="str">
        <f>IF(Table1[[#This Row],[Quantity]]&gt;=3,"Promo","Regular")</f>
        <v>Regular</v>
      </c>
    </row>
    <row r="1388" spans="1:19" x14ac:dyDescent="0.35">
      <c r="A1388" t="s">
        <v>2209</v>
      </c>
      <c r="B1388" t="s">
        <v>1461</v>
      </c>
      <c r="C1388" s="1">
        <v>45346</v>
      </c>
      <c r="D1388" t="s">
        <v>57</v>
      </c>
      <c r="E1388" t="s">
        <v>136</v>
      </c>
      <c r="F1388" t="s">
        <v>72</v>
      </c>
      <c r="G1388" t="s">
        <v>25</v>
      </c>
      <c r="H1388" t="s">
        <v>59</v>
      </c>
      <c r="I1388" t="s">
        <v>60</v>
      </c>
      <c r="J1388">
        <v>5</v>
      </c>
      <c r="K1388">
        <v>350</v>
      </c>
      <c r="L1388">
        <v>1750</v>
      </c>
      <c r="M1388">
        <v>54</v>
      </c>
      <c r="N1388" t="s">
        <v>33</v>
      </c>
      <c r="O1388">
        <v>3.7</v>
      </c>
      <c r="P1388" s="2">
        <f>EOMONTH(Table1[[#This Row],[Order_Date]],0)</f>
        <v>45351</v>
      </c>
      <c r="Q1388" s="3">
        <f>WEEKNUM(Table1[[#This Row],[Order_Date]])</f>
        <v>8</v>
      </c>
      <c r="R1388">
        <f>YEAR(Table1[[#This Row],[Order_Date]])</f>
        <v>2024</v>
      </c>
      <c r="S1388" t="str">
        <f>IF(Table1[[#This Row],[Quantity]]&gt;=3,"Promo","Regular")</f>
        <v>Promo</v>
      </c>
    </row>
    <row r="1389" spans="1:19" x14ac:dyDescent="0.35">
      <c r="A1389" t="s">
        <v>2210</v>
      </c>
      <c r="B1389" t="s">
        <v>1462</v>
      </c>
      <c r="C1389" s="1">
        <v>45401</v>
      </c>
      <c r="D1389" t="s">
        <v>57</v>
      </c>
      <c r="E1389" t="s">
        <v>136</v>
      </c>
      <c r="F1389" t="s">
        <v>41</v>
      </c>
      <c r="G1389" t="s">
        <v>25</v>
      </c>
      <c r="H1389" t="s">
        <v>120</v>
      </c>
      <c r="I1389" t="s">
        <v>60</v>
      </c>
      <c r="J1389">
        <v>4</v>
      </c>
      <c r="K1389">
        <v>463</v>
      </c>
      <c r="L1389">
        <v>1852</v>
      </c>
      <c r="M1389">
        <v>30</v>
      </c>
      <c r="N1389" t="s">
        <v>38</v>
      </c>
      <c r="O1389">
        <v>4.0999999999999996</v>
      </c>
      <c r="P1389" s="2">
        <f>EOMONTH(Table1[[#This Row],[Order_Date]],0)</f>
        <v>45412</v>
      </c>
      <c r="Q1389" s="3">
        <f>WEEKNUM(Table1[[#This Row],[Order_Date]])</f>
        <v>16</v>
      </c>
      <c r="R1389">
        <f>YEAR(Table1[[#This Row],[Order_Date]])</f>
        <v>2024</v>
      </c>
      <c r="S1389" t="str">
        <f>IF(Table1[[#This Row],[Quantity]]&gt;=3,"Promo","Regular")</f>
        <v>Promo</v>
      </c>
    </row>
    <row r="1390" spans="1:19" x14ac:dyDescent="0.35">
      <c r="A1390" t="s">
        <v>2210</v>
      </c>
      <c r="B1390" t="s">
        <v>1463</v>
      </c>
      <c r="C1390" s="1">
        <v>45330</v>
      </c>
      <c r="D1390" t="s">
        <v>15</v>
      </c>
      <c r="E1390" t="s">
        <v>23</v>
      </c>
      <c r="F1390" t="s">
        <v>17</v>
      </c>
      <c r="G1390" t="s">
        <v>36</v>
      </c>
      <c r="H1390" t="s">
        <v>19</v>
      </c>
      <c r="I1390" t="s">
        <v>20</v>
      </c>
      <c r="J1390">
        <v>4</v>
      </c>
      <c r="K1390">
        <v>445</v>
      </c>
      <c r="L1390">
        <v>1780</v>
      </c>
      <c r="M1390">
        <v>37</v>
      </c>
      <c r="N1390" t="s">
        <v>38</v>
      </c>
      <c r="O1390">
        <v>4.3</v>
      </c>
      <c r="P1390" s="2">
        <f>EOMONTH(Table1[[#This Row],[Order_Date]],0)</f>
        <v>45351</v>
      </c>
      <c r="Q1390" s="3">
        <f>WEEKNUM(Table1[[#This Row],[Order_Date]])</f>
        <v>6</v>
      </c>
      <c r="R1390">
        <f>YEAR(Table1[[#This Row],[Order_Date]])</f>
        <v>2024</v>
      </c>
      <c r="S1390" t="str">
        <f>IF(Table1[[#This Row],[Quantity]]&gt;=3,"Promo","Regular")</f>
        <v>Promo</v>
      </c>
    </row>
    <row r="1391" spans="1:19" x14ac:dyDescent="0.35">
      <c r="A1391" t="s">
        <v>2211</v>
      </c>
      <c r="B1391" t="s">
        <v>1464</v>
      </c>
      <c r="C1391" s="1">
        <v>45371</v>
      </c>
      <c r="D1391" t="s">
        <v>15</v>
      </c>
      <c r="E1391" t="s">
        <v>16</v>
      </c>
      <c r="F1391" t="s">
        <v>24</v>
      </c>
      <c r="G1391" t="s">
        <v>18</v>
      </c>
      <c r="H1391" t="s">
        <v>53</v>
      </c>
      <c r="I1391" t="s">
        <v>20</v>
      </c>
      <c r="J1391">
        <v>3</v>
      </c>
      <c r="K1391">
        <v>384</v>
      </c>
      <c r="L1391">
        <v>1152</v>
      </c>
      <c r="M1391">
        <v>25</v>
      </c>
      <c r="N1391" t="s">
        <v>33</v>
      </c>
      <c r="O1391">
        <v>4.9000000000000004</v>
      </c>
      <c r="P1391" s="2">
        <f>EOMONTH(Table1[[#This Row],[Order_Date]],0)</f>
        <v>45382</v>
      </c>
      <c r="Q1391" s="3">
        <f>WEEKNUM(Table1[[#This Row],[Order_Date]])</f>
        <v>12</v>
      </c>
      <c r="R1391">
        <f>YEAR(Table1[[#This Row],[Order_Date]])</f>
        <v>2024</v>
      </c>
      <c r="S1391" t="str">
        <f>IF(Table1[[#This Row],[Quantity]]&gt;=3,"Promo","Regular")</f>
        <v>Promo</v>
      </c>
    </row>
    <row r="1392" spans="1:19" x14ac:dyDescent="0.35">
      <c r="A1392" t="s">
        <v>2211</v>
      </c>
      <c r="B1392" t="s">
        <v>1465</v>
      </c>
      <c r="C1392" s="1">
        <v>45584</v>
      </c>
      <c r="D1392" t="s">
        <v>48</v>
      </c>
      <c r="E1392" t="s">
        <v>132</v>
      </c>
      <c r="F1392" t="s">
        <v>30</v>
      </c>
      <c r="G1392" t="s">
        <v>18</v>
      </c>
      <c r="H1392" t="s">
        <v>55</v>
      </c>
      <c r="I1392" t="s">
        <v>20</v>
      </c>
      <c r="J1392">
        <v>1</v>
      </c>
      <c r="K1392">
        <v>260</v>
      </c>
      <c r="L1392">
        <v>260</v>
      </c>
      <c r="M1392">
        <v>59</v>
      </c>
      <c r="N1392" t="s">
        <v>38</v>
      </c>
      <c r="O1392">
        <v>4.5</v>
      </c>
      <c r="P1392" s="2">
        <f>EOMONTH(Table1[[#This Row],[Order_Date]],0)</f>
        <v>45596</v>
      </c>
      <c r="Q1392" s="3">
        <f>WEEKNUM(Table1[[#This Row],[Order_Date]])</f>
        <v>42</v>
      </c>
      <c r="R1392">
        <f>YEAR(Table1[[#This Row],[Order_Date]])</f>
        <v>2024</v>
      </c>
      <c r="S1392" t="str">
        <f>IF(Table1[[#This Row],[Quantity]]&gt;=3,"Promo","Regular")</f>
        <v>Regular</v>
      </c>
    </row>
    <row r="1393" spans="1:19" x14ac:dyDescent="0.35">
      <c r="A1393" t="s">
        <v>2211</v>
      </c>
      <c r="B1393" t="s">
        <v>1466</v>
      </c>
      <c r="C1393" s="1">
        <v>45521</v>
      </c>
      <c r="D1393" t="s">
        <v>43</v>
      </c>
      <c r="E1393" t="s">
        <v>110</v>
      </c>
      <c r="F1393" t="s">
        <v>72</v>
      </c>
      <c r="G1393" t="s">
        <v>46</v>
      </c>
      <c r="H1393" t="s">
        <v>120</v>
      </c>
      <c r="I1393" t="s">
        <v>60</v>
      </c>
      <c r="J1393">
        <v>4</v>
      </c>
      <c r="K1393">
        <v>131</v>
      </c>
      <c r="L1393">
        <v>524</v>
      </c>
      <c r="M1393">
        <v>48</v>
      </c>
      <c r="N1393" t="s">
        <v>21</v>
      </c>
      <c r="O1393">
        <v>4.0999999999999996</v>
      </c>
      <c r="P1393" s="2">
        <f>EOMONTH(Table1[[#This Row],[Order_Date]],0)</f>
        <v>45535</v>
      </c>
      <c r="Q1393" s="3">
        <f>WEEKNUM(Table1[[#This Row],[Order_Date]])</f>
        <v>33</v>
      </c>
      <c r="R1393">
        <f>YEAR(Table1[[#This Row],[Order_Date]])</f>
        <v>2024</v>
      </c>
      <c r="S1393" t="str">
        <f>IF(Table1[[#This Row],[Quantity]]&gt;=3,"Promo","Regular")</f>
        <v>Promo</v>
      </c>
    </row>
    <row r="1394" spans="1:19" x14ac:dyDescent="0.35">
      <c r="A1394" t="s">
        <v>2211</v>
      </c>
      <c r="B1394" t="s">
        <v>1467</v>
      </c>
      <c r="C1394" s="1">
        <v>45411</v>
      </c>
      <c r="D1394" t="s">
        <v>48</v>
      </c>
      <c r="E1394" t="s">
        <v>132</v>
      </c>
      <c r="F1394" t="s">
        <v>30</v>
      </c>
      <c r="G1394" t="s">
        <v>18</v>
      </c>
      <c r="H1394" t="s">
        <v>55</v>
      </c>
      <c r="I1394" t="s">
        <v>20</v>
      </c>
      <c r="J1394">
        <v>2</v>
      </c>
      <c r="K1394">
        <v>380</v>
      </c>
      <c r="L1394">
        <v>760</v>
      </c>
      <c r="M1394">
        <v>39</v>
      </c>
      <c r="N1394" t="s">
        <v>38</v>
      </c>
      <c r="O1394">
        <v>4.0999999999999996</v>
      </c>
      <c r="P1394" s="2">
        <f>EOMONTH(Table1[[#This Row],[Order_Date]],0)</f>
        <v>45412</v>
      </c>
      <c r="Q1394" s="3">
        <f>WEEKNUM(Table1[[#This Row],[Order_Date]])</f>
        <v>18</v>
      </c>
      <c r="R1394">
        <f>YEAR(Table1[[#This Row],[Order_Date]])</f>
        <v>2024</v>
      </c>
      <c r="S1394" t="str">
        <f>IF(Table1[[#This Row],[Quantity]]&gt;=3,"Promo","Regular")</f>
        <v>Regular</v>
      </c>
    </row>
    <row r="1395" spans="1:19" x14ac:dyDescent="0.35">
      <c r="A1395" t="s">
        <v>2212</v>
      </c>
      <c r="B1395" t="s">
        <v>1468</v>
      </c>
      <c r="C1395" s="1">
        <v>45327</v>
      </c>
      <c r="D1395" t="s">
        <v>28</v>
      </c>
      <c r="E1395" t="s">
        <v>40</v>
      </c>
      <c r="F1395" t="s">
        <v>85</v>
      </c>
      <c r="G1395" t="s">
        <v>36</v>
      </c>
      <c r="H1395" t="s">
        <v>59</v>
      </c>
      <c r="I1395" t="s">
        <v>60</v>
      </c>
      <c r="J1395">
        <v>5</v>
      </c>
      <c r="K1395">
        <v>360</v>
      </c>
      <c r="L1395">
        <v>1800</v>
      </c>
      <c r="M1395">
        <v>44</v>
      </c>
      <c r="N1395" t="s">
        <v>33</v>
      </c>
      <c r="O1395">
        <v>3.9</v>
      </c>
      <c r="P1395" s="2">
        <f>EOMONTH(Table1[[#This Row],[Order_Date]],0)</f>
        <v>45351</v>
      </c>
      <c r="Q1395" s="3">
        <f>WEEKNUM(Table1[[#This Row],[Order_Date]])</f>
        <v>6</v>
      </c>
      <c r="R1395">
        <f>YEAR(Table1[[#This Row],[Order_Date]])</f>
        <v>2024</v>
      </c>
      <c r="S1395" t="str">
        <f>IF(Table1[[#This Row],[Quantity]]&gt;=3,"Promo","Regular")</f>
        <v>Promo</v>
      </c>
    </row>
    <row r="1396" spans="1:19" x14ac:dyDescent="0.35">
      <c r="A1396" t="s">
        <v>2212</v>
      </c>
      <c r="B1396" t="s">
        <v>1469</v>
      </c>
      <c r="C1396" s="1">
        <v>45513</v>
      </c>
      <c r="D1396" t="s">
        <v>28</v>
      </c>
      <c r="E1396" t="s">
        <v>71</v>
      </c>
      <c r="F1396" t="s">
        <v>69</v>
      </c>
      <c r="G1396" t="s">
        <v>73</v>
      </c>
      <c r="H1396" t="s">
        <v>26</v>
      </c>
      <c r="I1396" t="s">
        <v>20</v>
      </c>
      <c r="J1396">
        <v>4</v>
      </c>
      <c r="K1396">
        <v>471</v>
      </c>
      <c r="L1396">
        <v>1884</v>
      </c>
      <c r="M1396">
        <v>45</v>
      </c>
      <c r="N1396" t="s">
        <v>38</v>
      </c>
      <c r="O1396">
        <v>4.8</v>
      </c>
      <c r="P1396" s="2">
        <f>EOMONTH(Table1[[#This Row],[Order_Date]],0)</f>
        <v>45535</v>
      </c>
      <c r="Q1396" s="3">
        <f>WEEKNUM(Table1[[#This Row],[Order_Date]])</f>
        <v>32</v>
      </c>
      <c r="R1396">
        <f>YEAR(Table1[[#This Row],[Order_Date]])</f>
        <v>2024</v>
      </c>
      <c r="S1396" t="str">
        <f>IF(Table1[[#This Row],[Quantity]]&gt;=3,"Promo","Regular")</f>
        <v>Promo</v>
      </c>
    </row>
    <row r="1397" spans="1:19" x14ac:dyDescent="0.35">
      <c r="A1397" t="s">
        <v>2213</v>
      </c>
      <c r="B1397" t="s">
        <v>1470</v>
      </c>
      <c r="C1397" s="1">
        <v>45342</v>
      </c>
      <c r="D1397" t="s">
        <v>57</v>
      </c>
      <c r="E1397" t="s">
        <v>62</v>
      </c>
      <c r="F1397" t="s">
        <v>24</v>
      </c>
      <c r="G1397" t="s">
        <v>18</v>
      </c>
      <c r="H1397" t="s">
        <v>66</v>
      </c>
      <c r="I1397" t="s">
        <v>20</v>
      </c>
      <c r="J1397">
        <v>2</v>
      </c>
      <c r="K1397">
        <v>472</v>
      </c>
      <c r="L1397">
        <v>944</v>
      </c>
      <c r="M1397">
        <v>21</v>
      </c>
      <c r="N1397" t="s">
        <v>33</v>
      </c>
      <c r="O1397">
        <v>4.3</v>
      </c>
      <c r="P1397" s="2">
        <f>EOMONTH(Table1[[#This Row],[Order_Date]],0)</f>
        <v>45351</v>
      </c>
      <c r="Q1397" s="3">
        <f>WEEKNUM(Table1[[#This Row],[Order_Date]])</f>
        <v>8</v>
      </c>
      <c r="R1397">
        <f>YEAR(Table1[[#This Row],[Order_Date]])</f>
        <v>2024</v>
      </c>
      <c r="S1397" t="str">
        <f>IF(Table1[[#This Row],[Quantity]]&gt;=3,"Promo","Regular")</f>
        <v>Regular</v>
      </c>
    </row>
    <row r="1398" spans="1:19" x14ac:dyDescent="0.35">
      <c r="A1398" t="s">
        <v>2213</v>
      </c>
      <c r="B1398" t="s">
        <v>1471</v>
      </c>
      <c r="C1398" s="1">
        <v>45421</v>
      </c>
      <c r="D1398" t="s">
        <v>43</v>
      </c>
      <c r="E1398" t="s">
        <v>44</v>
      </c>
      <c r="F1398" t="s">
        <v>24</v>
      </c>
      <c r="G1398" t="s">
        <v>36</v>
      </c>
      <c r="H1398" t="s">
        <v>26</v>
      </c>
      <c r="I1398" t="s">
        <v>20</v>
      </c>
      <c r="J1398">
        <v>4</v>
      </c>
      <c r="K1398">
        <v>458</v>
      </c>
      <c r="L1398">
        <v>1832</v>
      </c>
      <c r="M1398">
        <v>55</v>
      </c>
      <c r="N1398" t="s">
        <v>33</v>
      </c>
      <c r="O1398">
        <v>4.0999999999999996</v>
      </c>
      <c r="P1398" s="2">
        <f>EOMONTH(Table1[[#This Row],[Order_Date]],0)</f>
        <v>45443</v>
      </c>
      <c r="Q1398" s="3">
        <f>WEEKNUM(Table1[[#This Row],[Order_Date]])</f>
        <v>19</v>
      </c>
      <c r="R1398">
        <f>YEAR(Table1[[#This Row],[Order_Date]])</f>
        <v>2024</v>
      </c>
      <c r="S1398" t="str">
        <f>IF(Table1[[#This Row],[Quantity]]&gt;=3,"Promo","Regular")</f>
        <v>Promo</v>
      </c>
    </row>
    <row r="1399" spans="1:19" x14ac:dyDescent="0.35">
      <c r="A1399" t="s">
        <v>2213</v>
      </c>
      <c r="B1399" t="s">
        <v>1472</v>
      </c>
      <c r="C1399" s="1">
        <v>45440</v>
      </c>
      <c r="D1399" t="s">
        <v>15</v>
      </c>
      <c r="E1399" t="s">
        <v>23</v>
      </c>
      <c r="F1399" t="s">
        <v>35</v>
      </c>
      <c r="G1399" t="s">
        <v>36</v>
      </c>
      <c r="H1399" t="s">
        <v>50</v>
      </c>
      <c r="I1399" t="s">
        <v>20</v>
      </c>
      <c r="J1399">
        <v>5</v>
      </c>
      <c r="K1399">
        <v>171</v>
      </c>
      <c r="L1399">
        <v>855</v>
      </c>
      <c r="M1399">
        <v>23</v>
      </c>
      <c r="N1399" t="s">
        <v>38</v>
      </c>
      <c r="O1399">
        <v>4.3</v>
      </c>
      <c r="P1399" s="2">
        <f>EOMONTH(Table1[[#This Row],[Order_Date]],0)</f>
        <v>45443</v>
      </c>
      <c r="Q1399" s="3">
        <f>WEEKNUM(Table1[[#This Row],[Order_Date]])</f>
        <v>22</v>
      </c>
      <c r="R1399">
        <f>YEAR(Table1[[#This Row],[Order_Date]])</f>
        <v>2024</v>
      </c>
      <c r="S1399" t="str">
        <f>IF(Table1[[#This Row],[Quantity]]&gt;=3,"Promo","Regular")</f>
        <v>Promo</v>
      </c>
    </row>
    <row r="1400" spans="1:19" x14ac:dyDescent="0.35">
      <c r="A1400" t="s">
        <v>2213</v>
      </c>
      <c r="B1400" t="s">
        <v>1473</v>
      </c>
      <c r="C1400" s="1">
        <v>45315</v>
      </c>
      <c r="D1400" t="s">
        <v>43</v>
      </c>
      <c r="E1400" t="s">
        <v>82</v>
      </c>
      <c r="F1400" t="s">
        <v>35</v>
      </c>
      <c r="G1400" t="s">
        <v>18</v>
      </c>
      <c r="H1400" t="s">
        <v>120</v>
      </c>
      <c r="I1400" t="s">
        <v>60</v>
      </c>
      <c r="J1400">
        <v>1</v>
      </c>
      <c r="K1400">
        <v>473</v>
      </c>
      <c r="L1400">
        <v>473</v>
      </c>
      <c r="M1400">
        <v>23</v>
      </c>
      <c r="N1400" t="s">
        <v>21</v>
      </c>
      <c r="O1400">
        <v>3.9</v>
      </c>
      <c r="P1400" s="2">
        <f>EOMONTH(Table1[[#This Row],[Order_Date]],0)</f>
        <v>45322</v>
      </c>
      <c r="Q1400" s="3">
        <f>WEEKNUM(Table1[[#This Row],[Order_Date]])</f>
        <v>4</v>
      </c>
      <c r="R1400">
        <f>YEAR(Table1[[#This Row],[Order_Date]])</f>
        <v>2024</v>
      </c>
      <c r="S1400" t="str">
        <f>IF(Table1[[#This Row],[Quantity]]&gt;=3,"Promo","Regular")</f>
        <v>Regular</v>
      </c>
    </row>
    <row r="1401" spans="1:19" x14ac:dyDescent="0.35">
      <c r="A1401" t="s">
        <v>2214</v>
      </c>
      <c r="B1401" t="s">
        <v>1474</v>
      </c>
      <c r="C1401" s="1">
        <v>45443</v>
      </c>
      <c r="D1401" t="s">
        <v>15</v>
      </c>
      <c r="E1401" t="s">
        <v>95</v>
      </c>
      <c r="F1401" t="s">
        <v>85</v>
      </c>
      <c r="G1401" t="s">
        <v>46</v>
      </c>
      <c r="H1401" t="s">
        <v>55</v>
      </c>
      <c r="I1401" t="s">
        <v>20</v>
      </c>
      <c r="J1401">
        <v>5</v>
      </c>
      <c r="K1401">
        <v>214</v>
      </c>
      <c r="L1401">
        <v>1070</v>
      </c>
      <c r="M1401">
        <v>53</v>
      </c>
      <c r="N1401" t="s">
        <v>33</v>
      </c>
      <c r="O1401">
        <v>4.5999999999999996</v>
      </c>
      <c r="P1401" s="2">
        <f>EOMONTH(Table1[[#This Row],[Order_Date]],0)</f>
        <v>45443</v>
      </c>
      <c r="Q1401" s="3">
        <f>WEEKNUM(Table1[[#This Row],[Order_Date]])</f>
        <v>22</v>
      </c>
      <c r="R1401">
        <f>YEAR(Table1[[#This Row],[Order_Date]])</f>
        <v>2024</v>
      </c>
      <c r="S1401" t="str">
        <f>IF(Table1[[#This Row],[Quantity]]&gt;=3,"Promo","Regular")</f>
        <v>Promo</v>
      </c>
    </row>
    <row r="1402" spans="1:19" x14ac:dyDescent="0.35">
      <c r="A1402" t="s">
        <v>2214</v>
      </c>
      <c r="B1402" t="s">
        <v>1475</v>
      </c>
      <c r="C1402" s="1">
        <v>45357</v>
      </c>
      <c r="D1402" t="s">
        <v>28</v>
      </c>
      <c r="E1402" t="s">
        <v>98</v>
      </c>
      <c r="F1402" t="s">
        <v>30</v>
      </c>
      <c r="G1402" t="s">
        <v>18</v>
      </c>
      <c r="H1402" t="s">
        <v>59</v>
      </c>
      <c r="I1402" t="s">
        <v>60</v>
      </c>
      <c r="J1402">
        <v>5</v>
      </c>
      <c r="K1402">
        <v>374</v>
      </c>
      <c r="L1402">
        <v>1870</v>
      </c>
      <c r="M1402">
        <v>50</v>
      </c>
      <c r="N1402" t="s">
        <v>38</v>
      </c>
      <c r="O1402">
        <v>4.9000000000000004</v>
      </c>
      <c r="P1402" s="2">
        <f>EOMONTH(Table1[[#This Row],[Order_Date]],0)</f>
        <v>45382</v>
      </c>
      <c r="Q1402" s="3">
        <f>WEEKNUM(Table1[[#This Row],[Order_Date]])</f>
        <v>10</v>
      </c>
      <c r="R1402">
        <f>YEAR(Table1[[#This Row],[Order_Date]])</f>
        <v>2024</v>
      </c>
      <c r="S1402" t="str">
        <f>IF(Table1[[#This Row],[Quantity]]&gt;=3,"Promo","Regular")</f>
        <v>Promo</v>
      </c>
    </row>
    <row r="1403" spans="1:19" x14ac:dyDescent="0.35">
      <c r="A1403" t="s">
        <v>2214</v>
      </c>
      <c r="B1403" t="s">
        <v>1476</v>
      </c>
      <c r="C1403" s="1">
        <v>45317</v>
      </c>
      <c r="D1403" t="s">
        <v>57</v>
      </c>
      <c r="E1403" t="s">
        <v>58</v>
      </c>
      <c r="F1403" t="s">
        <v>17</v>
      </c>
      <c r="G1403" t="s">
        <v>18</v>
      </c>
      <c r="H1403" t="s">
        <v>53</v>
      </c>
      <c r="I1403" t="s">
        <v>20</v>
      </c>
      <c r="J1403">
        <v>5</v>
      </c>
      <c r="K1403">
        <v>462</v>
      </c>
      <c r="L1403">
        <v>2310</v>
      </c>
      <c r="M1403">
        <v>59</v>
      </c>
      <c r="N1403" t="s">
        <v>38</v>
      </c>
      <c r="O1403">
        <v>4.5999999999999996</v>
      </c>
      <c r="P1403" s="2">
        <f>EOMONTH(Table1[[#This Row],[Order_Date]],0)</f>
        <v>45322</v>
      </c>
      <c r="Q1403" s="3">
        <f>WEEKNUM(Table1[[#This Row],[Order_Date]])</f>
        <v>4</v>
      </c>
      <c r="R1403">
        <f>YEAR(Table1[[#This Row],[Order_Date]])</f>
        <v>2024</v>
      </c>
      <c r="S1403" t="str">
        <f>IF(Table1[[#This Row],[Quantity]]&gt;=3,"Promo","Regular")</f>
        <v>Promo</v>
      </c>
    </row>
    <row r="1404" spans="1:19" x14ac:dyDescent="0.35">
      <c r="A1404" t="s">
        <v>2215</v>
      </c>
      <c r="B1404" t="s">
        <v>1477</v>
      </c>
      <c r="C1404" s="1">
        <v>45582</v>
      </c>
      <c r="D1404" t="s">
        <v>57</v>
      </c>
      <c r="E1404" t="s">
        <v>75</v>
      </c>
      <c r="F1404" t="s">
        <v>65</v>
      </c>
      <c r="G1404" t="s">
        <v>36</v>
      </c>
      <c r="H1404" t="s">
        <v>53</v>
      </c>
      <c r="I1404" t="s">
        <v>20</v>
      </c>
      <c r="J1404">
        <v>1</v>
      </c>
      <c r="K1404">
        <v>454</v>
      </c>
      <c r="L1404">
        <v>454</v>
      </c>
      <c r="M1404">
        <v>29</v>
      </c>
      <c r="N1404" t="s">
        <v>33</v>
      </c>
      <c r="O1404">
        <v>3.7</v>
      </c>
      <c r="P1404" s="2">
        <f>EOMONTH(Table1[[#This Row],[Order_Date]],0)</f>
        <v>45596</v>
      </c>
      <c r="Q1404" s="3">
        <f>WEEKNUM(Table1[[#This Row],[Order_Date]])</f>
        <v>42</v>
      </c>
      <c r="R1404">
        <f>YEAR(Table1[[#This Row],[Order_Date]])</f>
        <v>2024</v>
      </c>
      <c r="S1404" t="str">
        <f>IF(Table1[[#This Row],[Quantity]]&gt;=3,"Promo","Regular")</f>
        <v>Regular</v>
      </c>
    </row>
    <row r="1405" spans="1:19" x14ac:dyDescent="0.35">
      <c r="A1405" t="s">
        <v>2215</v>
      </c>
      <c r="B1405" t="s">
        <v>1478</v>
      </c>
      <c r="C1405" s="1">
        <v>45421</v>
      </c>
      <c r="D1405" t="s">
        <v>57</v>
      </c>
      <c r="E1405" t="s">
        <v>136</v>
      </c>
      <c r="F1405" t="s">
        <v>17</v>
      </c>
      <c r="G1405" t="s">
        <v>25</v>
      </c>
      <c r="H1405" t="s">
        <v>53</v>
      </c>
      <c r="I1405" t="s">
        <v>20</v>
      </c>
      <c r="J1405">
        <v>4</v>
      </c>
      <c r="K1405">
        <v>116</v>
      </c>
      <c r="L1405">
        <v>464</v>
      </c>
      <c r="M1405">
        <v>20</v>
      </c>
      <c r="N1405" t="s">
        <v>21</v>
      </c>
      <c r="O1405">
        <v>4.0999999999999996</v>
      </c>
      <c r="P1405" s="2">
        <f>EOMONTH(Table1[[#This Row],[Order_Date]],0)</f>
        <v>45443</v>
      </c>
      <c r="Q1405" s="3">
        <f>WEEKNUM(Table1[[#This Row],[Order_Date]])</f>
        <v>19</v>
      </c>
      <c r="R1405">
        <f>YEAR(Table1[[#This Row],[Order_Date]])</f>
        <v>2024</v>
      </c>
      <c r="S1405" t="str">
        <f>IF(Table1[[#This Row],[Quantity]]&gt;=3,"Promo","Regular")</f>
        <v>Promo</v>
      </c>
    </row>
    <row r="1406" spans="1:19" x14ac:dyDescent="0.35">
      <c r="A1406" t="s">
        <v>2215</v>
      </c>
      <c r="B1406" t="s">
        <v>1479</v>
      </c>
      <c r="C1406" s="1">
        <v>45486</v>
      </c>
      <c r="D1406" t="s">
        <v>48</v>
      </c>
      <c r="E1406" t="s">
        <v>64</v>
      </c>
      <c r="F1406" t="s">
        <v>41</v>
      </c>
      <c r="G1406" t="s">
        <v>73</v>
      </c>
      <c r="H1406" t="s">
        <v>32</v>
      </c>
      <c r="I1406" t="s">
        <v>20</v>
      </c>
      <c r="J1406">
        <v>2</v>
      </c>
      <c r="K1406">
        <v>195</v>
      </c>
      <c r="L1406">
        <v>390</v>
      </c>
      <c r="M1406">
        <v>58</v>
      </c>
      <c r="N1406" t="s">
        <v>33</v>
      </c>
      <c r="O1406">
        <v>3.3</v>
      </c>
      <c r="P1406" s="2">
        <f>EOMONTH(Table1[[#This Row],[Order_Date]],0)</f>
        <v>45504</v>
      </c>
      <c r="Q1406" s="3">
        <f>WEEKNUM(Table1[[#This Row],[Order_Date]])</f>
        <v>28</v>
      </c>
      <c r="R1406">
        <f>YEAR(Table1[[#This Row],[Order_Date]])</f>
        <v>2024</v>
      </c>
      <c r="S1406" t="str">
        <f>IF(Table1[[#This Row],[Quantity]]&gt;=3,"Promo","Regular")</f>
        <v>Regular</v>
      </c>
    </row>
    <row r="1407" spans="1:19" x14ac:dyDescent="0.35">
      <c r="A1407" t="s">
        <v>2215</v>
      </c>
      <c r="B1407" t="s">
        <v>1480</v>
      </c>
      <c r="C1407" s="1">
        <v>45513</v>
      </c>
      <c r="D1407" t="s">
        <v>48</v>
      </c>
      <c r="E1407" t="s">
        <v>132</v>
      </c>
      <c r="F1407" t="s">
        <v>41</v>
      </c>
      <c r="G1407" t="s">
        <v>73</v>
      </c>
      <c r="H1407" t="s">
        <v>50</v>
      </c>
      <c r="I1407" t="s">
        <v>20</v>
      </c>
      <c r="J1407">
        <v>2</v>
      </c>
      <c r="K1407">
        <v>442</v>
      </c>
      <c r="L1407">
        <v>884</v>
      </c>
      <c r="M1407">
        <v>40</v>
      </c>
      <c r="N1407" t="s">
        <v>38</v>
      </c>
      <c r="O1407">
        <v>3.8</v>
      </c>
      <c r="P1407" s="2">
        <f>EOMONTH(Table1[[#This Row],[Order_Date]],0)</f>
        <v>45535</v>
      </c>
      <c r="Q1407" s="3">
        <f>WEEKNUM(Table1[[#This Row],[Order_Date]])</f>
        <v>32</v>
      </c>
      <c r="R1407">
        <f>YEAR(Table1[[#This Row],[Order_Date]])</f>
        <v>2024</v>
      </c>
      <c r="S1407" t="str">
        <f>IF(Table1[[#This Row],[Quantity]]&gt;=3,"Promo","Regular")</f>
        <v>Regular</v>
      </c>
    </row>
    <row r="1408" spans="1:19" x14ac:dyDescent="0.35">
      <c r="A1408" t="s">
        <v>2215</v>
      </c>
      <c r="B1408" t="s">
        <v>1481</v>
      </c>
      <c r="C1408" s="1">
        <v>45353</v>
      </c>
      <c r="D1408" t="s">
        <v>48</v>
      </c>
      <c r="E1408" t="s">
        <v>68</v>
      </c>
      <c r="F1408" t="s">
        <v>30</v>
      </c>
      <c r="G1408" t="s">
        <v>31</v>
      </c>
      <c r="H1408" t="s">
        <v>53</v>
      </c>
      <c r="I1408" t="s">
        <v>20</v>
      </c>
      <c r="J1408">
        <v>1</v>
      </c>
      <c r="K1408">
        <v>158</v>
      </c>
      <c r="L1408">
        <v>158</v>
      </c>
      <c r="M1408">
        <v>46</v>
      </c>
      <c r="N1408" t="s">
        <v>21</v>
      </c>
      <c r="O1408">
        <v>3.8</v>
      </c>
      <c r="P1408" s="2">
        <f>EOMONTH(Table1[[#This Row],[Order_Date]],0)</f>
        <v>45382</v>
      </c>
      <c r="Q1408" s="3">
        <f>WEEKNUM(Table1[[#This Row],[Order_Date]])</f>
        <v>9</v>
      </c>
      <c r="R1408">
        <f>YEAR(Table1[[#This Row],[Order_Date]])</f>
        <v>2024</v>
      </c>
      <c r="S1408" t="str">
        <f>IF(Table1[[#This Row],[Quantity]]&gt;=3,"Promo","Regular")</f>
        <v>Regular</v>
      </c>
    </row>
    <row r="1409" spans="1:19" x14ac:dyDescent="0.35">
      <c r="A1409" t="s">
        <v>2216</v>
      </c>
      <c r="B1409" t="s">
        <v>1482</v>
      </c>
      <c r="C1409" s="1">
        <v>45322</v>
      </c>
      <c r="D1409" t="s">
        <v>28</v>
      </c>
      <c r="E1409" t="s">
        <v>29</v>
      </c>
      <c r="F1409" t="s">
        <v>65</v>
      </c>
      <c r="G1409" t="s">
        <v>31</v>
      </c>
      <c r="H1409" t="s">
        <v>59</v>
      </c>
      <c r="I1409" t="s">
        <v>60</v>
      </c>
      <c r="J1409">
        <v>2</v>
      </c>
      <c r="K1409">
        <v>274</v>
      </c>
      <c r="L1409">
        <v>548</v>
      </c>
      <c r="M1409">
        <v>36</v>
      </c>
      <c r="N1409" t="s">
        <v>38</v>
      </c>
      <c r="O1409">
        <v>4.4000000000000004</v>
      </c>
      <c r="P1409" s="2">
        <f>EOMONTH(Table1[[#This Row],[Order_Date]],0)</f>
        <v>45322</v>
      </c>
      <c r="Q1409" s="3">
        <f>WEEKNUM(Table1[[#This Row],[Order_Date]])</f>
        <v>5</v>
      </c>
      <c r="R1409">
        <f>YEAR(Table1[[#This Row],[Order_Date]])</f>
        <v>2024</v>
      </c>
      <c r="S1409" t="str">
        <f>IF(Table1[[#This Row],[Quantity]]&gt;=3,"Promo","Regular")</f>
        <v>Regular</v>
      </c>
    </row>
    <row r="1410" spans="1:19" x14ac:dyDescent="0.35">
      <c r="A1410" t="s">
        <v>2216</v>
      </c>
      <c r="B1410" t="s">
        <v>1483</v>
      </c>
      <c r="C1410" s="1">
        <v>45410</v>
      </c>
      <c r="D1410" t="s">
        <v>28</v>
      </c>
      <c r="E1410" t="s">
        <v>98</v>
      </c>
      <c r="F1410" t="s">
        <v>72</v>
      </c>
      <c r="G1410" t="s">
        <v>25</v>
      </c>
      <c r="H1410" t="s">
        <v>26</v>
      </c>
      <c r="I1410" t="s">
        <v>20</v>
      </c>
      <c r="J1410">
        <v>3</v>
      </c>
      <c r="K1410">
        <v>359</v>
      </c>
      <c r="L1410">
        <v>1077</v>
      </c>
      <c r="M1410">
        <v>53</v>
      </c>
      <c r="N1410" t="s">
        <v>38</v>
      </c>
      <c r="O1410">
        <v>4.9000000000000004</v>
      </c>
      <c r="P1410" s="2">
        <f>EOMONTH(Table1[[#This Row],[Order_Date]],0)</f>
        <v>45412</v>
      </c>
      <c r="Q1410" s="3">
        <f>WEEKNUM(Table1[[#This Row],[Order_Date]])</f>
        <v>18</v>
      </c>
      <c r="R1410">
        <f>YEAR(Table1[[#This Row],[Order_Date]])</f>
        <v>2024</v>
      </c>
      <c r="S1410" t="str">
        <f>IF(Table1[[#This Row],[Quantity]]&gt;=3,"Promo","Regular")</f>
        <v>Promo</v>
      </c>
    </row>
    <row r="1411" spans="1:19" x14ac:dyDescent="0.35">
      <c r="A1411" t="s">
        <v>2216</v>
      </c>
      <c r="B1411" t="s">
        <v>1484</v>
      </c>
      <c r="C1411" s="1">
        <v>45440</v>
      </c>
      <c r="D1411" t="s">
        <v>57</v>
      </c>
      <c r="E1411" t="s">
        <v>58</v>
      </c>
      <c r="F1411" t="s">
        <v>24</v>
      </c>
      <c r="G1411" t="s">
        <v>36</v>
      </c>
      <c r="H1411" t="s">
        <v>19</v>
      </c>
      <c r="I1411" t="s">
        <v>20</v>
      </c>
      <c r="J1411">
        <v>1</v>
      </c>
      <c r="K1411">
        <v>362</v>
      </c>
      <c r="L1411">
        <v>362</v>
      </c>
      <c r="M1411">
        <v>55</v>
      </c>
      <c r="N1411" t="s">
        <v>21</v>
      </c>
      <c r="O1411">
        <v>3.3</v>
      </c>
      <c r="P1411" s="2">
        <f>EOMONTH(Table1[[#This Row],[Order_Date]],0)</f>
        <v>45443</v>
      </c>
      <c r="Q1411" s="3">
        <f>WEEKNUM(Table1[[#This Row],[Order_Date]])</f>
        <v>22</v>
      </c>
      <c r="R1411">
        <f>YEAR(Table1[[#This Row],[Order_Date]])</f>
        <v>2024</v>
      </c>
      <c r="S1411" t="str">
        <f>IF(Table1[[#This Row],[Quantity]]&gt;=3,"Promo","Regular")</f>
        <v>Regular</v>
      </c>
    </row>
    <row r="1412" spans="1:19" x14ac:dyDescent="0.35">
      <c r="A1412" t="s">
        <v>2216</v>
      </c>
      <c r="B1412" t="s">
        <v>1485</v>
      </c>
      <c r="C1412" s="1">
        <v>45580</v>
      </c>
      <c r="D1412" t="s">
        <v>57</v>
      </c>
      <c r="E1412" t="s">
        <v>62</v>
      </c>
      <c r="F1412" t="s">
        <v>45</v>
      </c>
      <c r="G1412" t="s">
        <v>31</v>
      </c>
      <c r="H1412" t="s">
        <v>19</v>
      </c>
      <c r="I1412" t="s">
        <v>20</v>
      </c>
      <c r="J1412">
        <v>4</v>
      </c>
      <c r="K1412">
        <v>431</v>
      </c>
      <c r="L1412">
        <v>1724</v>
      </c>
      <c r="M1412">
        <v>45</v>
      </c>
      <c r="N1412" t="s">
        <v>38</v>
      </c>
      <c r="O1412">
        <v>3.7</v>
      </c>
      <c r="P1412" s="2">
        <f>EOMONTH(Table1[[#This Row],[Order_Date]],0)</f>
        <v>45596</v>
      </c>
      <c r="Q1412" s="3">
        <f>WEEKNUM(Table1[[#This Row],[Order_Date]])</f>
        <v>42</v>
      </c>
      <c r="R1412">
        <f>YEAR(Table1[[#This Row],[Order_Date]])</f>
        <v>2024</v>
      </c>
      <c r="S1412" t="str">
        <f>IF(Table1[[#This Row],[Quantity]]&gt;=3,"Promo","Regular")</f>
        <v>Promo</v>
      </c>
    </row>
    <row r="1413" spans="1:19" x14ac:dyDescent="0.35">
      <c r="A1413" t="s">
        <v>2217</v>
      </c>
      <c r="B1413" t="s">
        <v>1486</v>
      </c>
      <c r="C1413" s="1">
        <v>45489</v>
      </c>
      <c r="D1413" t="s">
        <v>43</v>
      </c>
      <c r="E1413" t="s">
        <v>52</v>
      </c>
      <c r="F1413" t="s">
        <v>85</v>
      </c>
      <c r="G1413" t="s">
        <v>46</v>
      </c>
      <c r="H1413" t="s">
        <v>37</v>
      </c>
      <c r="I1413" t="s">
        <v>20</v>
      </c>
      <c r="J1413">
        <v>2</v>
      </c>
      <c r="K1413">
        <v>407</v>
      </c>
      <c r="L1413">
        <v>814</v>
      </c>
      <c r="M1413">
        <v>52</v>
      </c>
      <c r="N1413" t="s">
        <v>21</v>
      </c>
      <c r="O1413">
        <v>4.0999999999999996</v>
      </c>
      <c r="P1413" s="2">
        <f>EOMONTH(Table1[[#This Row],[Order_Date]],0)</f>
        <v>45504</v>
      </c>
      <c r="Q1413" s="3">
        <f>WEEKNUM(Table1[[#This Row],[Order_Date]])</f>
        <v>29</v>
      </c>
      <c r="R1413">
        <f>YEAR(Table1[[#This Row],[Order_Date]])</f>
        <v>2024</v>
      </c>
      <c r="S1413" t="str">
        <f>IF(Table1[[#This Row],[Quantity]]&gt;=3,"Promo","Regular")</f>
        <v>Regular</v>
      </c>
    </row>
    <row r="1414" spans="1:19" x14ac:dyDescent="0.35">
      <c r="A1414" t="s">
        <v>2217</v>
      </c>
      <c r="B1414" t="s">
        <v>1487</v>
      </c>
      <c r="C1414" s="1">
        <v>45539</v>
      </c>
      <c r="D1414" t="s">
        <v>28</v>
      </c>
      <c r="E1414" t="s">
        <v>98</v>
      </c>
      <c r="F1414" t="s">
        <v>85</v>
      </c>
      <c r="G1414" t="s">
        <v>25</v>
      </c>
      <c r="H1414" t="s">
        <v>53</v>
      </c>
      <c r="I1414" t="s">
        <v>20</v>
      </c>
      <c r="J1414">
        <v>2</v>
      </c>
      <c r="K1414">
        <v>147</v>
      </c>
      <c r="L1414">
        <v>294</v>
      </c>
      <c r="M1414">
        <v>60</v>
      </c>
      <c r="N1414" t="s">
        <v>21</v>
      </c>
      <c r="O1414">
        <v>4.4000000000000004</v>
      </c>
      <c r="P1414" s="2">
        <f>EOMONTH(Table1[[#This Row],[Order_Date]],0)</f>
        <v>45565</v>
      </c>
      <c r="Q1414" s="3">
        <f>WEEKNUM(Table1[[#This Row],[Order_Date]])</f>
        <v>36</v>
      </c>
      <c r="R1414">
        <f>YEAR(Table1[[#This Row],[Order_Date]])</f>
        <v>2024</v>
      </c>
      <c r="S1414" t="str">
        <f>IF(Table1[[#This Row],[Quantity]]&gt;=3,"Promo","Regular")</f>
        <v>Regular</v>
      </c>
    </row>
    <row r="1415" spans="1:19" x14ac:dyDescent="0.35">
      <c r="A1415" t="s">
        <v>2217</v>
      </c>
      <c r="B1415" t="s">
        <v>1488</v>
      </c>
      <c r="C1415" s="1">
        <v>45538</v>
      </c>
      <c r="D1415" t="s">
        <v>43</v>
      </c>
      <c r="E1415" t="s">
        <v>93</v>
      </c>
      <c r="F1415" t="s">
        <v>69</v>
      </c>
      <c r="G1415" t="s">
        <v>73</v>
      </c>
      <c r="H1415" t="s">
        <v>66</v>
      </c>
      <c r="I1415" t="s">
        <v>20</v>
      </c>
      <c r="J1415">
        <v>2</v>
      </c>
      <c r="K1415">
        <v>376</v>
      </c>
      <c r="L1415">
        <v>752</v>
      </c>
      <c r="M1415">
        <v>48</v>
      </c>
      <c r="N1415" t="s">
        <v>21</v>
      </c>
      <c r="O1415">
        <v>3.5</v>
      </c>
      <c r="P1415" s="2">
        <f>EOMONTH(Table1[[#This Row],[Order_Date]],0)</f>
        <v>45565</v>
      </c>
      <c r="Q1415" s="3">
        <f>WEEKNUM(Table1[[#This Row],[Order_Date]])</f>
        <v>36</v>
      </c>
      <c r="R1415">
        <f>YEAR(Table1[[#This Row],[Order_Date]])</f>
        <v>2024</v>
      </c>
      <c r="S1415" t="str">
        <f>IF(Table1[[#This Row],[Quantity]]&gt;=3,"Promo","Regular")</f>
        <v>Regular</v>
      </c>
    </row>
    <row r="1416" spans="1:19" x14ac:dyDescent="0.35">
      <c r="A1416" t="s">
        <v>2217</v>
      </c>
      <c r="B1416" t="s">
        <v>1489</v>
      </c>
      <c r="C1416" s="1">
        <v>45584</v>
      </c>
      <c r="D1416" t="s">
        <v>43</v>
      </c>
      <c r="E1416" t="s">
        <v>52</v>
      </c>
      <c r="F1416" t="s">
        <v>85</v>
      </c>
      <c r="G1416" t="s">
        <v>18</v>
      </c>
      <c r="H1416" t="s">
        <v>55</v>
      </c>
      <c r="I1416" t="s">
        <v>20</v>
      </c>
      <c r="J1416">
        <v>4</v>
      </c>
      <c r="K1416">
        <v>482</v>
      </c>
      <c r="L1416">
        <v>1928</v>
      </c>
      <c r="M1416">
        <v>46</v>
      </c>
      <c r="N1416" t="s">
        <v>33</v>
      </c>
      <c r="O1416">
        <v>4.9000000000000004</v>
      </c>
      <c r="P1416" s="2">
        <f>EOMONTH(Table1[[#This Row],[Order_Date]],0)</f>
        <v>45596</v>
      </c>
      <c r="Q1416" s="3">
        <f>WEEKNUM(Table1[[#This Row],[Order_Date]])</f>
        <v>42</v>
      </c>
      <c r="R1416">
        <f>YEAR(Table1[[#This Row],[Order_Date]])</f>
        <v>2024</v>
      </c>
      <c r="S1416" t="str">
        <f>IF(Table1[[#This Row],[Quantity]]&gt;=3,"Promo","Regular")</f>
        <v>Promo</v>
      </c>
    </row>
    <row r="1417" spans="1:19" x14ac:dyDescent="0.35">
      <c r="A1417" t="s">
        <v>2218</v>
      </c>
      <c r="B1417" t="s">
        <v>1490</v>
      </c>
      <c r="C1417" s="1">
        <v>45440</v>
      </c>
      <c r="D1417" t="s">
        <v>15</v>
      </c>
      <c r="E1417" t="s">
        <v>23</v>
      </c>
      <c r="F1417" t="s">
        <v>30</v>
      </c>
      <c r="G1417" t="s">
        <v>31</v>
      </c>
      <c r="H1417" t="s">
        <v>66</v>
      </c>
      <c r="I1417" t="s">
        <v>20</v>
      </c>
      <c r="J1417">
        <v>3</v>
      </c>
      <c r="K1417">
        <v>293</v>
      </c>
      <c r="L1417">
        <v>879</v>
      </c>
      <c r="M1417">
        <v>51</v>
      </c>
      <c r="N1417" t="s">
        <v>33</v>
      </c>
      <c r="O1417">
        <v>3.5</v>
      </c>
      <c r="P1417" s="2">
        <f>EOMONTH(Table1[[#This Row],[Order_Date]],0)</f>
        <v>45443</v>
      </c>
      <c r="Q1417" s="3">
        <f>WEEKNUM(Table1[[#This Row],[Order_Date]])</f>
        <v>22</v>
      </c>
      <c r="R1417">
        <f>YEAR(Table1[[#This Row],[Order_Date]])</f>
        <v>2024</v>
      </c>
      <c r="S1417" t="str">
        <f>IF(Table1[[#This Row],[Quantity]]&gt;=3,"Promo","Regular")</f>
        <v>Promo</v>
      </c>
    </row>
    <row r="1418" spans="1:19" x14ac:dyDescent="0.35">
      <c r="A1418" t="s">
        <v>2218</v>
      </c>
      <c r="B1418" t="s">
        <v>1491</v>
      </c>
      <c r="C1418" s="1">
        <v>45351</v>
      </c>
      <c r="D1418" t="s">
        <v>15</v>
      </c>
      <c r="E1418" t="s">
        <v>112</v>
      </c>
      <c r="F1418" t="s">
        <v>35</v>
      </c>
      <c r="G1418" t="s">
        <v>18</v>
      </c>
      <c r="H1418" t="s">
        <v>19</v>
      </c>
      <c r="I1418" t="s">
        <v>20</v>
      </c>
      <c r="J1418">
        <v>2</v>
      </c>
      <c r="K1418">
        <v>157</v>
      </c>
      <c r="L1418">
        <v>314</v>
      </c>
      <c r="M1418">
        <v>59</v>
      </c>
      <c r="N1418" t="s">
        <v>21</v>
      </c>
      <c r="O1418">
        <v>4.3</v>
      </c>
      <c r="P1418" s="2">
        <f>EOMONTH(Table1[[#This Row],[Order_Date]],0)</f>
        <v>45351</v>
      </c>
      <c r="Q1418" s="3">
        <f>WEEKNUM(Table1[[#This Row],[Order_Date]])</f>
        <v>9</v>
      </c>
      <c r="R1418">
        <f>YEAR(Table1[[#This Row],[Order_Date]])</f>
        <v>2024</v>
      </c>
      <c r="S1418" t="str">
        <f>IF(Table1[[#This Row],[Quantity]]&gt;=3,"Promo","Regular")</f>
        <v>Regular</v>
      </c>
    </row>
    <row r="1419" spans="1:19" x14ac:dyDescent="0.35">
      <c r="A1419" t="s">
        <v>2218</v>
      </c>
      <c r="B1419" t="s">
        <v>1492</v>
      </c>
      <c r="C1419" s="1">
        <v>45481</v>
      </c>
      <c r="D1419" t="s">
        <v>57</v>
      </c>
      <c r="E1419" t="s">
        <v>75</v>
      </c>
      <c r="F1419" t="s">
        <v>65</v>
      </c>
      <c r="G1419" t="s">
        <v>31</v>
      </c>
      <c r="H1419" t="s">
        <v>50</v>
      </c>
      <c r="I1419" t="s">
        <v>20</v>
      </c>
      <c r="J1419">
        <v>2</v>
      </c>
      <c r="K1419">
        <v>268</v>
      </c>
      <c r="L1419">
        <v>536</v>
      </c>
      <c r="M1419">
        <v>57</v>
      </c>
      <c r="N1419" t="s">
        <v>33</v>
      </c>
      <c r="O1419">
        <v>3.3</v>
      </c>
      <c r="P1419" s="2">
        <f>EOMONTH(Table1[[#This Row],[Order_Date]],0)</f>
        <v>45504</v>
      </c>
      <c r="Q1419" s="3">
        <f>WEEKNUM(Table1[[#This Row],[Order_Date]])</f>
        <v>28</v>
      </c>
      <c r="R1419">
        <f>YEAR(Table1[[#This Row],[Order_Date]])</f>
        <v>2024</v>
      </c>
      <c r="S1419" t="str">
        <f>IF(Table1[[#This Row],[Quantity]]&gt;=3,"Promo","Regular")</f>
        <v>Regular</v>
      </c>
    </row>
    <row r="1420" spans="1:19" x14ac:dyDescent="0.35">
      <c r="A1420" t="s">
        <v>2219</v>
      </c>
      <c r="B1420" t="s">
        <v>1493</v>
      </c>
      <c r="C1420" s="1">
        <v>45490</v>
      </c>
      <c r="D1420" t="s">
        <v>48</v>
      </c>
      <c r="E1420" t="s">
        <v>68</v>
      </c>
      <c r="F1420" t="s">
        <v>85</v>
      </c>
      <c r="G1420" t="s">
        <v>73</v>
      </c>
      <c r="H1420" t="s">
        <v>26</v>
      </c>
      <c r="I1420" t="s">
        <v>20</v>
      </c>
      <c r="J1420">
        <v>5</v>
      </c>
      <c r="K1420">
        <v>169</v>
      </c>
      <c r="L1420">
        <v>845</v>
      </c>
      <c r="M1420">
        <v>53</v>
      </c>
      <c r="N1420" t="s">
        <v>21</v>
      </c>
      <c r="O1420">
        <v>3.4</v>
      </c>
      <c r="P1420" s="2">
        <f>EOMONTH(Table1[[#This Row],[Order_Date]],0)</f>
        <v>45504</v>
      </c>
      <c r="Q1420" s="3">
        <f>WEEKNUM(Table1[[#This Row],[Order_Date]])</f>
        <v>29</v>
      </c>
      <c r="R1420">
        <f>YEAR(Table1[[#This Row],[Order_Date]])</f>
        <v>2024</v>
      </c>
      <c r="S1420" t="str">
        <f>IF(Table1[[#This Row],[Quantity]]&gt;=3,"Promo","Regular")</f>
        <v>Promo</v>
      </c>
    </row>
    <row r="1421" spans="1:19" x14ac:dyDescent="0.35">
      <c r="A1421" t="s">
        <v>2219</v>
      </c>
      <c r="B1421" t="s">
        <v>1494</v>
      </c>
      <c r="C1421" s="1">
        <v>45439</v>
      </c>
      <c r="D1421" t="s">
        <v>43</v>
      </c>
      <c r="E1421" t="s">
        <v>93</v>
      </c>
      <c r="F1421" t="s">
        <v>17</v>
      </c>
      <c r="G1421" t="s">
        <v>31</v>
      </c>
      <c r="H1421" t="s">
        <v>59</v>
      </c>
      <c r="I1421" t="s">
        <v>60</v>
      </c>
      <c r="J1421">
        <v>1</v>
      </c>
      <c r="K1421">
        <v>356</v>
      </c>
      <c r="L1421">
        <v>356</v>
      </c>
      <c r="M1421">
        <v>38</v>
      </c>
      <c r="N1421" t="s">
        <v>21</v>
      </c>
      <c r="O1421">
        <v>3.5</v>
      </c>
      <c r="P1421" s="2">
        <f>EOMONTH(Table1[[#This Row],[Order_Date]],0)</f>
        <v>45443</v>
      </c>
      <c r="Q1421" s="3">
        <f>WEEKNUM(Table1[[#This Row],[Order_Date]])</f>
        <v>22</v>
      </c>
      <c r="R1421">
        <f>YEAR(Table1[[#This Row],[Order_Date]])</f>
        <v>2024</v>
      </c>
      <c r="S1421" t="str">
        <f>IF(Table1[[#This Row],[Quantity]]&gt;=3,"Promo","Regular")</f>
        <v>Regular</v>
      </c>
    </row>
    <row r="1422" spans="1:19" x14ac:dyDescent="0.35">
      <c r="A1422" t="s">
        <v>2219</v>
      </c>
      <c r="B1422" t="s">
        <v>1495</v>
      </c>
      <c r="C1422" s="1">
        <v>45489</v>
      </c>
      <c r="D1422" t="s">
        <v>57</v>
      </c>
      <c r="E1422" t="s">
        <v>105</v>
      </c>
      <c r="F1422" t="s">
        <v>35</v>
      </c>
      <c r="G1422" t="s">
        <v>36</v>
      </c>
      <c r="H1422" t="s">
        <v>59</v>
      </c>
      <c r="I1422" t="s">
        <v>60</v>
      </c>
      <c r="J1422">
        <v>2</v>
      </c>
      <c r="K1422">
        <v>143</v>
      </c>
      <c r="L1422">
        <v>286</v>
      </c>
      <c r="M1422">
        <v>20</v>
      </c>
      <c r="N1422" t="s">
        <v>21</v>
      </c>
      <c r="O1422">
        <v>4.2</v>
      </c>
      <c r="P1422" s="2">
        <f>EOMONTH(Table1[[#This Row],[Order_Date]],0)</f>
        <v>45504</v>
      </c>
      <c r="Q1422" s="3">
        <f>WEEKNUM(Table1[[#This Row],[Order_Date]])</f>
        <v>29</v>
      </c>
      <c r="R1422">
        <f>YEAR(Table1[[#This Row],[Order_Date]])</f>
        <v>2024</v>
      </c>
      <c r="S1422" t="str">
        <f>IF(Table1[[#This Row],[Quantity]]&gt;=3,"Promo","Regular")</f>
        <v>Regular</v>
      </c>
    </row>
    <row r="1423" spans="1:19" x14ac:dyDescent="0.35">
      <c r="A1423" t="s">
        <v>2220</v>
      </c>
      <c r="B1423" t="s">
        <v>1496</v>
      </c>
      <c r="C1423" s="1">
        <v>45349</v>
      </c>
      <c r="D1423" t="s">
        <v>57</v>
      </c>
      <c r="E1423" t="s">
        <v>136</v>
      </c>
      <c r="F1423" t="s">
        <v>24</v>
      </c>
      <c r="G1423" t="s">
        <v>18</v>
      </c>
      <c r="H1423" t="s">
        <v>120</v>
      </c>
      <c r="I1423" t="s">
        <v>60</v>
      </c>
      <c r="J1423">
        <v>5</v>
      </c>
      <c r="K1423">
        <v>391</v>
      </c>
      <c r="L1423">
        <v>1955</v>
      </c>
      <c r="M1423">
        <v>38</v>
      </c>
      <c r="N1423" t="s">
        <v>21</v>
      </c>
      <c r="O1423">
        <v>4.7</v>
      </c>
      <c r="P1423" s="2">
        <f>EOMONTH(Table1[[#This Row],[Order_Date]],0)</f>
        <v>45351</v>
      </c>
      <c r="Q1423" s="3">
        <f>WEEKNUM(Table1[[#This Row],[Order_Date]])</f>
        <v>9</v>
      </c>
      <c r="R1423">
        <f>YEAR(Table1[[#This Row],[Order_Date]])</f>
        <v>2024</v>
      </c>
      <c r="S1423" t="str">
        <f>IF(Table1[[#This Row],[Quantity]]&gt;=3,"Promo","Regular")</f>
        <v>Promo</v>
      </c>
    </row>
    <row r="1424" spans="1:19" x14ac:dyDescent="0.35">
      <c r="A1424" t="s">
        <v>2220</v>
      </c>
      <c r="B1424" t="s">
        <v>1497</v>
      </c>
      <c r="C1424" s="1">
        <v>45344</v>
      </c>
      <c r="D1424" t="s">
        <v>15</v>
      </c>
      <c r="E1424" t="s">
        <v>23</v>
      </c>
      <c r="F1424" t="s">
        <v>65</v>
      </c>
      <c r="G1424" t="s">
        <v>73</v>
      </c>
      <c r="H1424" t="s">
        <v>59</v>
      </c>
      <c r="I1424" t="s">
        <v>60</v>
      </c>
      <c r="J1424">
        <v>1</v>
      </c>
      <c r="K1424">
        <v>490</v>
      </c>
      <c r="L1424">
        <v>490</v>
      </c>
      <c r="M1424">
        <v>39</v>
      </c>
      <c r="N1424" t="s">
        <v>38</v>
      </c>
      <c r="O1424">
        <v>4.5</v>
      </c>
      <c r="P1424" s="2">
        <f>EOMONTH(Table1[[#This Row],[Order_Date]],0)</f>
        <v>45351</v>
      </c>
      <c r="Q1424" s="3">
        <f>WEEKNUM(Table1[[#This Row],[Order_Date]])</f>
        <v>8</v>
      </c>
      <c r="R1424">
        <f>YEAR(Table1[[#This Row],[Order_Date]])</f>
        <v>2024</v>
      </c>
      <c r="S1424" t="str">
        <f>IF(Table1[[#This Row],[Quantity]]&gt;=3,"Promo","Regular")</f>
        <v>Regular</v>
      </c>
    </row>
    <row r="1425" spans="1:19" x14ac:dyDescent="0.35">
      <c r="A1425" t="s">
        <v>2221</v>
      </c>
      <c r="B1425" t="s">
        <v>1498</v>
      </c>
      <c r="C1425" s="1">
        <v>45391</v>
      </c>
      <c r="D1425" t="s">
        <v>43</v>
      </c>
      <c r="E1425" t="s">
        <v>44</v>
      </c>
      <c r="F1425" t="s">
        <v>85</v>
      </c>
      <c r="G1425" t="s">
        <v>46</v>
      </c>
      <c r="H1425" t="s">
        <v>55</v>
      </c>
      <c r="I1425" t="s">
        <v>20</v>
      </c>
      <c r="J1425">
        <v>3</v>
      </c>
      <c r="K1425">
        <v>308</v>
      </c>
      <c r="L1425">
        <v>924</v>
      </c>
      <c r="M1425">
        <v>52</v>
      </c>
      <c r="N1425" t="s">
        <v>21</v>
      </c>
      <c r="O1425">
        <v>3.1</v>
      </c>
      <c r="P1425" s="2">
        <f>EOMONTH(Table1[[#This Row],[Order_Date]],0)</f>
        <v>45412</v>
      </c>
      <c r="Q1425" s="3">
        <f>WEEKNUM(Table1[[#This Row],[Order_Date]])</f>
        <v>15</v>
      </c>
      <c r="R1425">
        <f>YEAR(Table1[[#This Row],[Order_Date]])</f>
        <v>2024</v>
      </c>
      <c r="S1425" t="str">
        <f>IF(Table1[[#This Row],[Quantity]]&gt;=3,"Promo","Regular")</f>
        <v>Promo</v>
      </c>
    </row>
    <row r="1426" spans="1:19" x14ac:dyDescent="0.35">
      <c r="A1426" t="s">
        <v>2221</v>
      </c>
      <c r="B1426" t="s">
        <v>1499</v>
      </c>
      <c r="C1426" s="1">
        <v>45382</v>
      </c>
      <c r="D1426" t="s">
        <v>43</v>
      </c>
      <c r="E1426" t="s">
        <v>82</v>
      </c>
      <c r="F1426" t="s">
        <v>24</v>
      </c>
      <c r="G1426" t="s">
        <v>18</v>
      </c>
      <c r="H1426" t="s">
        <v>66</v>
      </c>
      <c r="I1426" t="s">
        <v>20</v>
      </c>
      <c r="J1426">
        <v>5</v>
      </c>
      <c r="K1426">
        <v>402</v>
      </c>
      <c r="L1426">
        <v>2010</v>
      </c>
      <c r="M1426">
        <v>57</v>
      </c>
      <c r="N1426" t="s">
        <v>38</v>
      </c>
      <c r="O1426">
        <v>4.9000000000000004</v>
      </c>
      <c r="P1426" s="2">
        <f>EOMONTH(Table1[[#This Row],[Order_Date]],0)</f>
        <v>45382</v>
      </c>
      <c r="Q1426" s="3">
        <f>WEEKNUM(Table1[[#This Row],[Order_Date]])</f>
        <v>14</v>
      </c>
      <c r="R1426">
        <f>YEAR(Table1[[#This Row],[Order_Date]])</f>
        <v>2024</v>
      </c>
      <c r="S1426" t="str">
        <f>IF(Table1[[#This Row],[Quantity]]&gt;=3,"Promo","Regular")</f>
        <v>Promo</v>
      </c>
    </row>
    <row r="1427" spans="1:19" x14ac:dyDescent="0.35">
      <c r="A1427" t="s">
        <v>2222</v>
      </c>
      <c r="B1427" t="s">
        <v>1500</v>
      </c>
      <c r="C1427" s="1">
        <v>45530</v>
      </c>
      <c r="D1427" t="s">
        <v>57</v>
      </c>
      <c r="E1427" t="s">
        <v>105</v>
      </c>
      <c r="F1427" t="s">
        <v>72</v>
      </c>
      <c r="G1427" t="s">
        <v>18</v>
      </c>
      <c r="H1427" t="s">
        <v>120</v>
      </c>
      <c r="I1427" t="s">
        <v>60</v>
      </c>
      <c r="J1427">
        <v>5</v>
      </c>
      <c r="K1427">
        <v>162</v>
      </c>
      <c r="L1427">
        <v>810</v>
      </c>
      <c r="M1427">
        <v>46</v>
      </c>
      <c r="N1427" t="s">
        <v>38</v>
      </c>
      <c r="O1427">
        <v>4.3</v>
      </c>
      <c r="P1427" s="2">
        <f>EOMONTH(Table1[[#This Row],[Order_Date]],0)</f>
        <v>45535</v>
      </c>
      <c r="Q1427" s="3">
        <f>WEEKNUM(Table1[[#This Row],[Order_Date]])</f>
        <v>35</v>
      </c>
      <c r="R1427">
        <f>YEAR(Table1[[#This Row],[Order_Date]])</f>
        <v>2024</v>
      </c>
      <c r="S1427" t="str">
        <f>IF(Table1[[#This Row],[Quantity]]&gt;=3,"Promo","Regular")</f>
        <v>Promo</v>
      </c>
    </row>
    <row r="1428" spans="1:19" x14ac:dyDescent="0.35">
      <c r="A1428" t="s">
        <v>2222</v>
      </c>
      <c r="B1428" t="s">
        <v>1501</v>
      </c>
      <c r="C1428" s="1">
        <v>45294</v>
      </c>
      <c r="D1428" t="s">
        <v>15</v>
      </c>
      <c r="E1428" t="s">
        <v>95</v>
      </c>
      <c r="F1428" t="s">
        <v>24</v>
      </c>
      <c r="G1428" t="s">
        <v>25</v>
      </c>
      <c r="H1428" t="s">
        <v>66</v>
      </c>
      <c r="I1428" t="s">
        <v>20</v>
      </c>
      <c r="J1428">
        <v>5</v>
      </c>
      <c r="K1428">
        <v>321</v>
      </c>
      <c r="L1428">
        <v>1605</v>
      </c>
      <c r="M1428">
        <v>55</v>
      </c>
      <c r="N1428" t="s">
        <v>21</v>
      </c>
      <c r="O1428">
        <v>3.1</v>
      </c>
      <c r="P1428" s="2">
        <f>EOMONTH(Table1[[#This Row],[Order_Date]],0)</f>
        <v>45322</v>
      </c>
      <c r="Q1428" s="3">
        <f>WEEKNUM(Table1[[#This Row],[Order_Date]])</f>
        <v>1</v>
      </c>
      <c r="R1428">
        <f>YEAR(Table1[[#This Row],[Order_Date]])</f>
        <v>2024</v>
      </c>
      <c r="S1428" t="str">
        <f>IF(Table1[[#This Row],[Quantity]]&gt;=3,"Promo","Regular")</f>
        <v>Promo</v>
      </c>
    </row>
    <row r="1429" spans="1:19" x14ac:dyDescent="0.35">
      <c r="A1429" t="s">
        <v>2223</v>
      </c>
      <c r="B1429" t="s">
        <v>1502</v>
      </c>
      <c r="C1429" s="1">
        <v>45418</v>
      </c>
      <c r="D1429" t="s">
        <v>57</v>
      </c>
      <c r="E1429" t="s">
        <v>58</v>
      </c>
      <c r="F1429" t="s">
        <v>41</v>
      </c>
      <c r="G1429" t="s">
        <v>18</v>
      </c>
      <c r="H1429" t="s">
        <v>120</v>
      </c>
      <c r="I1429" t="s">
        <v>60</v>
      </c>
      <c r="J1429">
        <v>1</v>
      </c>
      <c r="K1429">
        <v>483</v>
      </c>
      <c r="L1429">
        <v>483</v>
      </c>
      <c r="M1429">
        <v>44</v>
      </c>
      <c r="N1429" t="s">
        <v>21</v>
      </c>
      <c r="O1429">
        <v>3.3</v>
      </c>
      <c r="P1429" s="2">
        <f>EOMONTH(Table1[[#This Row],[Order_Date]],0)</f>
        <v>45443</v>
      </c>
      <c r="Q1429" s="3">
        <f>WEEKNUM(Table1[[#This Row],[Order_Date]])</f>
        <v>19</v>
      </c>
      <c r="R1429">
        <f>YEAR(Table1[[#This Row],[Order_Date]])</f>
        <v>2024</v>
      </c>
      <c r="S1429" t="str">
        <f>IF(Table1[[#This Row],[Quantity]]&gt;=3,"Promo","Regular")</f>
        <v>Regular</v>
      </c>
    </row>
    <row r="1430" spans="1:19" x14ac:dyDescent="0.35">
      <c r="A1430" t="s">
        <v>2223</v>
      </c>
      <c r="B1430" t="s">
        <v>1503</v>
      </c>
      <c r="C1430" s="1">
        <v>45529</v>
      </c>
      <c r="D1430" t="s">
        <v>57</v>
      </c>
      <c r="E1430" t="s">
        <v>136</v>
      </c>
      <c r="F1430" t="s">
        <v>72</v>
      </c>
      <c r="G1430" t="s">
        <v>18</v>
      </c>
      <c r="H1430" t="s">
        <v>59</v>
      </c>
      <c r="I1430" t="s">
        <v>60</v>
      </c>
      <c r="J1430">
        <v>3</v>
      </c>
      <c r="K1430">
        <v>272</v>
      </c>
      <c r="L1430">
        <v>816</v>
      </c>
      <c r="M1430">
        <v>39</v>
      </c>
      <c r="N1430" t="s">
        <v>33</v>
      </c>
      <c r="O1430">
        <v>4.8</v>
      </c>
      <c r="P1430" s="2">
        <f>EOMONTH(Table1[[#This Row],[Order_Date]],0)</f>
        <v>45535</v>
      </c>
      <c r="Q1430" s="3">
        <f>WEEKNUM(Table1[[#This Row],[Order_Date]])</f>
        <v>35</v>
      </c>
      <c r="R1430">
        <f>YEAR(Table1[[#This Row],[Order_Date]])</f>
        <v>2024</v>
      </c>
      <c r="S1430" t="str">
        <f>IF(Table1[[#This Row],[Quantity]]&gt;=3,"Promo","Regular")</f>
        <v>Promo</v>
      </c>
    </row>
    <row r="1431" spans="1:19" x14ac:dyDescent="0.35">
      <c r="A1431" t="s">
        <v>2223</v>
      </c>
      <c r="B1431" t="s">
        <v>1504</v>
      </c>
      <c r="C1431" s="1">
        <v>45294</v>
      </c>
      <c r="D1431" t="s">
        <v>28</v>
      </c>
      <c r="E1431" t="s">
        <v>98</v>
      </c>
      <c r="F1431" t="s">
        <v>45</v>
      </c>
      <c r="G1431" t="s">
        <v>31</v>
      </c>
      <c r="H1431" t="s">
        <v>55</v>
      </c>
      <c r="I1431" t="s">
        <v>20</v>
      </c>
      <c r="J1431">
        <v>5</v>
      </c>
      <c r="K1431">
        <v>134</v>
      </c>
      <c r="L1431">
        <v>670</v>
      </c>
      <c r="M1431">
        <v>31</v>
      </c>
      <c r="N1431" t="s">
        <v>33</v>
      </c>
      <c r="O1431">
        <v>4.2</v>
      </c>
      <c r="P1431" s="2">
        <f>EOMONTH(Table1[[#This Row],[Order_Date]],0)</f>
        <v>45322</v>
      </c>
      <c r="Q1431" s="3">
        <f>WEEKNUM(Table1[[#This Row],[Order_Date]])</f>
        <v>1</v>
      </c>
      <c r="R1431">
        <f>YEAR(Table1[[#This Row],[Order_Date]])</f>
        <v>2024</v>
      </c>
      <c r="S1431" t="str">
        <f>IF(Table1[[#This Row],[Quantity]]&gt;=3,"Promo","Regular")</f>
        <v>Promo</v>
      </c>
    </row>
    <row r="1432" spans="1:19" x14ac:dyDescent="0.35">
      <c r="A1432" t="s">
        <v>2223</v>
      </c>
      <c r="B1432" t="s">
        <v>1505</v>
      </c>
      <c r="C1432" s="1">
        <v>45301</v>
      </c>
      <c r="D1432" t="s">
        <v>57</v>
      </c>
      <c r="E1432" t="s">
        <v>105</v>
      </c>
      <c r="F1432" t="s">
        <v>45</v>
      </c>
      <c r="G1432" t="s">
        <v>73</v>
      </c>
      <c r="H1432" t="s">
        <v>50</v>
      </c>
      <c r="I1432" t="s">
        <v>20</v>
      </c>
      <c r="J1432">
        <v>3</v>
      </c>
      <c r="K1432">
        <v>263</v>
      </c>
      <c r="L1432">
        <v>789</v>
      </c>
      <c r="M1432">
        <v>31</v>
      </c>
      <c r="N1432" t="s">
        <v>21</v>
      </c>
      <c r="O1432">
        <v>4.5</v>
      </c>
      <c r="P1432" s="2">
        <f>EOMONTH(Table1[[#This Row],[Order_Date]],0)</f>
        <v>45322</v>
      </c>
      <c r="Q1432" s="3">
        <f>WEEKNUM(Table1[[#This Row],[Order_Date]])</f>
        <v>2</v>
      </c>
      <c r="R1432">
        <f>YEAR(Table1[[#This Row],[Order_Date]])</f>
        <v>2024</v>
      </c>
      <c r="S1432" t="str">
        <f>IF(Table1[[#This Row],[Quantity]]&gt;=3,"Promo","Regular")</f>
        <v>Promo</v>
      </c>
    </row>
    <row r="1433" spans="1:19" x14ac:dyDescent="0.35">
      <c r="A1433" t="s">
        <v>2223</v>
      </c>
      <c r="B1433" t="s">
        <v>1506</v>
      </c>
      <c r="C1433" s="1">
        <v>45383</v>
      </c>
      <c r="D1433" t="s">
        <v>15</v>
      </c>
      <c r="E1433" t="s">
        <v>16</v>
      </c>
      <c r="F1433" t="s">
        <v>72</v>
      </c>
      <c r="G1433" t="s">
        <v>25</v>
      </c>
      <c r="H1433" t="s">
        <v>66</v>
      </c>
      <c r="I1433" t="s">
        <v>20</v>
      </c>
      <c r="J1433">
        <v>2</v>
      </c>
      <c r="K1433">
        <v>456</v>
      </c>
      <c r="L1433">
        <v>912</v>
      </c>
      <c r="M1433">
        <v>44</v>
      </c>
      <c r="N1433" t="s">
        <v>33</v>
      </c>
      <c r="O1433">
        <v>3.3</v>
      </c>
      <c r="P1433" s="2">
        <f>EOMONTH(Table1[[#This Row],[Order_Date]],0)</f>
        <v>45412</v>
      </c>
      <c r="Q1433" s="3">
        <f>WEEKNUM(Table1[[#This Row],[Order_Date]])</f>
        <v>14</v>
      </c>
      <c r="R1433">
        <f>YEAR(Table1[[#This Row],[Order_Date]])</f>
        <v>2024</v>
      </c>
      <c r="S1433" t="str">
        <f>IF(Table1[[#This Row],[Quantity]]&gt;=3,"Promo","Regular")</f>
        <v>Regular</v>
      </c>
    </row>
    <row r="1434" spans="1:19" x14ac:dyDescent="0.35">
      <c r="A1434" t="s">
        <v>2224</v>
      </c>
      <c r="B1434" t="s">
        <v>1507</v>
      </c>
      <c r="C1434" s="1">
        <v>45491</v>
      </c>
      <c r="D1434" t="s">
        <v>15</v>
      </c>
      <c r="E1434" t="s">
        <v>95</v>
      </c>
      <c r="F1434" t="s">
        <v>24</v>
      </c>
      <c r="G1434" t="s">
        <v>46</v>
      </c>
      <c r="H1434" t="s">
        <v>66</v>
      </c>
      <c r="I1434" t="s">
        <v>20</v>
      </c>
      <c r="J1434">
        <v>3</v>
      </c>
      <c r="K1434">
        <v>104</v>
      </c>
      <c r="L1434">
        <v>312</v>
      </c>
      <c r="M1434">
        <v>35</v>
      </c>
      <c r="N1434" t="s">
        <v>33</v>
      </c>
      <c r="O1434">
        <v>4.3</v>
      </c>
      <c r="P1434" s="2">
        <f>EOMONTH(Table1[[#This Row],[Order_Date]],0)</f>
        <v>45504</v>
      </c>
      <c r="Q1434" s="3">
        <f>WEEKNUM(Table1[[#This Row],[Order_Date]])</f>
        <v>29</v>
      </c>
      <c r="R1434">
        <f>YEAR(Table1[[#This Row],[Order_Date]])</f>
        <v>2024</v>
      </c>
      <c r="S1434" t="str">
        <f>IF(Table1[[#This Row],[Quantity]]&gt;=3,"Promo","Regular")</f>
        <v>Promo</v>
      </c>
    </row>
    <row r="1435" spans="1:19" x14ac:dyDescent="0.35">
      <c r="A1435" t="s">
        <v>2224</v>
      </c>
      <c r="B1435" t="s">
        <v>1508</v>
      </c>
      <c r="C1435" s="1">
        <v>45526</v>
      </c>
      <c r="D1435" t="s">
        <v>15</v>
      </c>
      <c r="E1435" t="s">
        <v>103</v>
      </c>
      <c r="F1435" t="s">
        <v>45</v>
      </c>
      <c r="G1435" t="s">
        <v>31</v>
      </c>
      <c r="H1435" t="s">
        <v>19</v>
      </c>
      <c r="I1435" t="s">
        <v>20</v>
      </c>
      <c r="J1435">
        <v>1</v>
      </c>
      <c r="K1435">
        <v>103</v>
      </c>
      <c r="L1435">
        <v>103</v>
      </c>
      <c r="M1435">
        <v>42</v>
      </c>
      <c r="N1435" t="s">
        <v>38</v>
      </c>
      <c r="O1435">
        <v>4.9000000000000004</v>
      </c>
      <c r="P1435" s="2">
        <f>EOMONTH(Table1[[#This Row],[Order_Date]],0)</f>
        <v>45535</v>
      </c>
      <c r="Q1435" s="3">
        <f>WEEKNUM(Table1[[#This Row],[Order_Date]])</f>
        <v>34</v>
      </c>
      <c r="R1435">
        <f>YEAR(Table1[[#This Row],[Order_Date]])</f>
        <v>2024</v>
      </c>
      <c r="S1435" t="str">
        <f>IF(Table1[[#This Row],[Quantity]]&gt;=3,"Promo","Regular")</f>
        <v>Regular</v>
      </c>
    </row>
    <row r="1436" spans="1:19" x14ac:dyDescent="0.35">
      <c r="A1436" t="s">
        <v>2225</v>
      </c>
      <c r="B1436" t="s">
        <v>1509</v>
      </c>
      <c r="C1436" s="1">
        <v>45486</v>
      </c>
      <c r="D1436" t="s">
        <v>57</v>
      </c>
      <c r="E1436" t="s">
        <v>75</v>
      </c>
      <c r="F1436" t="s">
        <v>35</v>
      </c>
      <c r="G1436" t="s">
        <v>46</v>
      </c>
      <c r="H1436" t="s">
        <v>53</v>
      </c>
      <c r="I1436" t="s">
        <v>20</v>
      </c>
      <c r="J1436">
        <v>1</v>
      </c>
      <c r="K1436">
        <v>164</v>
      </c>
      <c r="L1436">
        <v>164</v>
      </c>
      <c r="M1436">
        <v>46</v>
      </c>
      <c r="N1436" t="s">
        <v>38</v>
      </c>
      <c r="O1436">
        <v>3.1</v>
      </c>
      <c r="P1436" s="2">
        <f>EOMONTH(Table1[[#This Row],[Order_Date]],0)</f>
        <v>45504</v>
      </c>
      <c r="Q1436" s="3">
        <f>WEEKNUM(Table1[[#This Row],[Order_Date]])</f>
        <v>28</v>
      </c>
      <c r="R1436">
        <f>YEAR(Table1[[#This Row],[Order_Date]])</f>
        <v>2024</v>
      </c>
      <c r="S1436" t="str">
        <f>IF(Table1[[#This Row],[Quantity]]&gt;=3,"Promo","Regular")</f>
        <v>Regular</v>
      </c>
    </row>
    <row r="1437" spans="1:19" x14ac:dyDescent="0.35">
      <c r="A1437" t="s">
        <v>2225</v>
      </c>
      <c r="B1437" t="s">
        <v>1510</v>
      </c>
      <c r="C1437" s="1">
        <v>45334</v>
      </c>
      <c r="D1437" t="s">
        <v>48</v>
      </c>
      <c r="E1437" t="s">
        <v>64</v>
      </c>
      <c r="F1437" t="s">
        <v>17</v>
      </c>
      <c r="G1437" t="s">
        <v>36</v>
      </c>
      <c r="H1437" t="s">
        <v>120</v>
      </c>
      <c r="I1437" t="s">
        <v>60</v>
      </c>
      <c r="J1437">
        <v>1</v>
      </c>
      <c r="K1437">
        <v>277</v>
      </c>
      <c r="L1437">
        <v>277</v>
      </c>
      <c r="M1437">
        <v>20</v>
      </c>
      <c r="N1437" t="s">
        <v>38</v>
      </c>
      <c r="O1437">
        <v>3.3</v>
      </c>
      <c r="P1437" s="2">
        <f>EOMONTH(Table1[[#This Row],[Order_Date]],0)</f>
        <v>45351</v>
      </c>
      <c r="Q1437" s="3">
        <f>WEEKNUM(Table1[[#This Row],[Order_Date]])</f>
        <v>7</v>
      </c>
      <c r="R1437">
        <f>YEAR(Table1[[#This Row],[Order_Date]])</f>
        <v>2024</v>
      </c>
      <c r="S1437" t="str">
        <f>IF(Table1[[#This Row],[Quantity]]&gt;=3,"Promo","Regular")</f>
        <v>Regular</v>
      </c>
    </row>
    <row r="1438" spans="1:19" x14ac:dyDescent="0.35">
      <c r="A1438" t="s">
        <v>2225</v>
      </c>
      <c r="B1438" t="s">
        <v>1511</v>
      </c>
      <c r="C1438" s="1">
        <v>45526</v>
      </c>
      <c r="D1438" t="s">
        <v>57</v>
      </c>
      <c r="E1438" t="s">
        <v>105</v>
      </c>
      <c r="F1438" t="s">
        <v>65</v>
      </c>
      <c r="G1438" t="s">
        <v>31</v>
      </c>
      <c r="H1438" t="s">
        <v>120</v>
      </c>
      <c r="I1438" t="s">
        <v>60</v>
      </c>
      <c r="J1438">
        <v>5</v>
      </c>
      <c r="K1438">
        <v>254</v>
      </c>
      <c r="L1438">
        <v>1270</v>
      </c>
      <c r="M1438">
        <v>29</v>
      </c>
      <c r="N1438" t="s">
        <v>21</v>
      </c>
      <c r="O1438">
        <v>3</v>
      </c>
      <c r="P1438" s="2">
        <f>EOMONTH(Table1[[#This Row],[Order_Date]],0)</f>
        <v>45535</v>
      </c>
      <c r="Q1438" s="3">
        <f>WEEKNUM(Table1[[#This Row],[Order_Date]])</f>
        <v>34</v>
      </c>
      <c r="R1438">
        <f>YEAR(Table1[[#This Row],[Order_Date]])</f>
        <v>2024</v>
      </c>
      <c r="S1438" t="str">
        <f>IF(Table1[[#This Row],[Quantity]]&gt;=3,"Promo","Regular")</f>
        <v>Promo</v>
      </c>
    </row>
    <row r="1439" spans="1:19" x14ac:dyDescent="0.35">
      <c r="A1439" t="s">
        <v>2225</v>
      </c>
      <c r="B1439" t="s">
        <v>1512</v>
      </c>
      <c r="C1439" s="1">
        <v>45341</v>
      </c>
      <c r="D1439" t="s">
        <v>15</v>
      </c>
      <c r="E1439" t="s">
        <v>112</v>
      </c>
      <c r="F1439" t="s">
        <v>45</v>
      </c>
      <c r="G1439" t="s">
        <v>31</v>
      </c>
      <c r="H1439" t="s">
        <v>50</v>
      </c>
      <c r="I1439" t="s">
        <v>20</v>
      </c>
      <c r="J1439">
        <v>1</v>
      </c>
      <c r="K1439">
        <v>326</v>
      </c>
      <c r="L1439">
        <v>326</v>
      </c>
      <c r="M1439">
        <v>26</v>
      </c>
      <c r="N1439" t="s">
        <v>38</v>
      </c>
      <c r="O1439">
        <v>4.5999999999999996</v>
      </c>
      <c r="P1439" s="2">
        <f>EOMONTH(Table1[[#This Row],[Order_Date]],0)</f>
        <v>45351</v>
      </c>
      <c r="Q1439" s="3">
        <f>WEEKNUM(Table1[[#This Row],[Order_Date]])</f>
        <v>8</v>
      </c>
      <c r="R1439">
        <f>YEAR(Table1[[#This Row],[Order_Date]])</f>
        <v>2024</v>
      </c>
      <c r="S1439" t="str">
        <f>IF(Table1[[#This Row],[Quantity]]&gt;=3,"Promo","Regular")</f>
        <v>Regular</v>
      </c>
    </row>
    <row r="1440" spans="1:19" x14ac:dyDescent="0.35">
      <c r="A1440" t="s">
        <v>2225</v>
      </c>
      <c r="B1440" t="s">
        <v>1513</v>
      </c>
      <c r="C1440" s="1">
        <v>45542</v>
      </c>
      <c r="D1440" t="s">
        <v>28</v>
      </c>
      <c r="E1440" t="s">
        <v>71</v>
      </c>
      <c r="F1440" t="s">
        <v>72</v>
      </c>
      <c r="G1440" t="s">
        <v>73</v>
      </c>
      <c r="H1440" t="s">
        <v>50</v>
      </c>
      <c r="I1440" t="s">
        <v>20</v>
      </c>
      <c r="J1440">
        <v>1</v>
      </c>
      <c r="K1440">
        <v>391</v>
      </c>
      <c r="L1440">
        <v>391</v>
      </c>
      <c r="M1440">
        <v>41</v>
      </c>
      <c r="N1440" t="s">
        <v>38</v>
      </c>
      <c r="O1440">
        <v>4.2</v>
      </c>
      <c r="P1440" s="2">
        <f>EOMONTH(Table1[[#This Row],[Order_Date]],0)</f>
        <v>45565</v>
      </c>
      <c r="Q1440" s="3">
        <f>WEEKNUM(Table1[[#This Row],[Order_Date]])</f>
        <v>36</v>
      </c>
      <c r="R1440">
        <f>YEAR(Table1[[#This Row],[Order_Date]])</f>
        <v>2024</v>
      </c>
      <c r="S1440" t="str">
        <f>IF(Table1[[#This Row],[Quantity]]&gt;=3,"Promo","Regular")</f>
        <v>Regular</v>
      </c>
    </row>
    <row r="1441" spans="1:19" x14ac:dyDescent="0.35">
      <c r="A1441" t="s">
        <v>2226</v>
      </c>
      <c r="B1441" t="s">
        <v>1514</v>
      </c>
      <c r="C1441" s="1">
        <v>45352</v>
      </c>
      <c r="D1441" t="s">
        <v>28</v>
      </c>
      <c r="E1441" t="s">
        <v>40</v>
      </c>
      <c r="F1441" t="s">
        <v>24</v>
      </c>
      <c r="G1441" t="s">
        <v>36</v>
      </c>
      <c r="H1441" t="s">
        <v>37</v>
      </c>
      <c r="I1441" t="s">
        <v>20</v>
      </c>
      <c r="J1441">
        <v>2</v>
      </c>
      <c r="K1441">
        <v>485</v>
      </c>
      <c r="L1441">
        <v>970</v>
      </c>
      <c r="M1441">
        <v>51</v>
      </c>
      <c r="N1441" t="s">
        <v>21</v>
      </c>
      <c r="O1441">
        <v>4.3</v>
      </c>
      <c r="P1441" s="2">
        <f>EOMONTH(Table1[[#This Row],[Order_Date]],0)</f>
        <v>45382</v>
      </c>
      <c r="Q1441" s="3">
        <f>WEEKNUM(Table1[[#This Row],[Order_Date]])</f>
        <v>9</v>
      </c>
      <c r="R1441">
        <f>YEAR(Table1[[#This Row],[Order_Date]])</f>
        <v>2024</v>
      </c>
      <c r="S1441" t="str">
        <f>IF(Table1[[#This Row],[Quantity]]&gt;=3,"Promo","Regular")</f>
        <v>Regular</v>
      </c>
    </row>
    <row r="1442" spans="1:19" x14ac:dyDescent="0.35">
      <c r="A1442" t="s">
        <v>2226</v>
      </c>
      <c r="B1442" t="s">
        <v>1515</v>
      </c>
      <c r="C1442" s="1">
        <v>45491</v>
      </c>
      <c r="D1442" t="s">
        <v>43</v>
      </c>
      <c r="E1442" t="s">
        <v>93</v>
      </c>
      <c r="F1442" t="s">
        <v>30</v>
      </c>
      <c r="G1442" t="s">
        <v>18</v>
      </c>
      <c r="H1442" t="s">
        <v>37</v>
      </c>
      <c r="I1442" t="s">
        <v>20</v>
      </c>
      <c r="J1442">
        <v>1</v>
      </c>
      <c r="K1442">
        <v>321</v>
      </c>
      <c r="L1442">
        <v>321</v>
      </c>
      <c r="M1442">
        <v>33</v>
      </c>
      <c r="N1442" t="s">
        <v>33</v>
      </c>
      <c r="O1442">
        <v>3.2</v>
      </c>
      <c r="P1442" s="2">
        <f>EOMONTH(Table1[[#This Row],[Order_Date]],0)</f>
        <v>45504</v>
      </c>
      <c r="Q1442" s="3">
        <f>WEEKNUM(Table1[[#This Row],[Order_Date]])</f>
        <v>29</v>
      </c>
      <c r="R1442">
        <f>YEAR(Table1[[#This Row],[Order_Date]])</f>
        <v>2024</v>
      </c>
      <c r="S1442" t="str">
        <f>IF(Table1[[#This Row],[Quantity]]&gt;=3,"Promo","Regular")</f>
        <v>Regular</v>
      </c>
    </row>
    <row r="1443" spans="1:19" x14ac:dyDescent="0.35">
      <c r="A1443" t="s">
        <v>2227</v>
      </c>
      <c r="B1443" t="s">
        <v>1516</v>
      </c>
      <c r="C1443" s="1">
        <v>45497</v>
      </c>
      <c r="D1443" t="s">
        <v>57</v>
      </c>
      <c r="E1443" t="s">
        <v>75</v>
      </c>
      <c r="F1443" t="s">
        <v>65</v>
      </c>
      <c r="G1443" t="s">
        <v>36</v>
      </c>
      <c r="H1443" t="s">
        <v>66</v>
      </c>
      <c r="I1443" t="s">
        <v>20</v>
      </c>
      <c r="J1443">
        <v>2</v>
      </c>
      <c r="K1443">
        <v>205</v>
      </c>
      <c r="L1443">
        <v>410</v>
      </c>
      <c r="M1443">
        <v>36</v>
      </c>
      <c r="N1443" t="s">
        <v>21</v>
      </c>
      <c r="O1443">
        <v>4.8</v>
      </c>
      <c r="P1443" s="2">
        <f>EOMONTH(Table1[[#This Row],[Order_Date]],0)</f>
        <v>45504</v>
      </c>
      <c r="Q1443" s="3">
        <f>WEEKNUM(Table1[[#This Row],[Order_Date]])</f>
        <v>30</v>
      </c>
      <c r="R1443">
        <f>YEAR(Table1[[#This Row],[Order_Date]])</f>
        <v>2024</v>
      </c>
      <c r="S1443" t="str">
        <f>IF(Table1[[#This Row],[Quantity]]&gt;=3,"Promo","Regular")</f>
        <v>Regular</v>
      </c>
    </row>
    <row r="1444" spans="1:19" x14ac:dyDescent="0.35">
      <c r="A1444" t="s">
        <v>2227</v>
      </c>
      <c r="B1444" t="s">
        <v>1517</v>
      </c>
      <c r="C1444" s="1">
        <v>45347</v>
      </c>
      <c r="D1444" t="s">
        <v>28</v>
      </c>
      <c r="E1444" t="s">
        <v>77</v>
      </c>
      <c r="F1444" t="s">
        <v>69</v>
      </c>
      <c r="G1444" t="s">
        <v>18</v>
      </c>
      <c r="H1444" t="s">
        <v>26</v>
      </c>
      <c r="I1444" t="s">
        <v>20</v>
      </c>
      <c r="J1444">
        <v>4</v>
      </c>
      <c r="K1444">
        <v>295</v>
      </c>
      <c r="L1444">
        <v>1180</v>
      </c>
      <c r="M1444">
        <v>36</v>
      </c>
      <c r="N1444" t="s">
        <v>21</v>
      </c>
      <c r="O1444">
        <v>3.8</v>
      </c>
      <c r="P1444" s="2">
        <f>EOMONTH(Table1[[#This Row],[Order_Date]],0)</f>
        <v>45351</v>
      </c>
      <c r="Q1444" s="3">
        <f>WEEKNUM(Table1[[#This Row],[Order_Date]])</f>
        <v>9</v>
      </c>
      <c r="R1444">
        <f>YEAR(Table1[[#This Row],[Order_Date]])</f>
        <v>2024</v>
      </c>
      <c r="S1444" t="str">
        <f>IF(Table1[[#This Row],[Quantity]]&gt;=3,"Promo","Regular")</f>
        <v>Promo</v>
      </c>
    </row>
    <row r="1445" spans="1:19" x14ac:dyDescent="0.35">
      <c r="A1445" t="s">
        <v>2227</v>
      </c>
      <c r="B1445" t="s">
        <v>1518</v>
      </c>
      <c r="C1445" s="1">
        <v>45474</v>
      </c>
      <c r="D1445" t="s">
        <v>28</v>
      </c>
      <c r="E1445" t="s">
        <v>77</v>
      </c>
      <c r="F1445" t="s">
        <v>45</v>
      </c>
      <c r="G1445" t="s">
        <v>46</v>
      </c>
      <c r="H1445" t="s">
        <v>37</v>
      </c>
      <c r="I1445" t="s">
        <v>20</v>
      </c>
      <c r="J1445">
        <v>4</v>
      </c>
      <c r="K1445">
        <v>133</v>
      </c>
      <c r="L1445">
        <v>532</v>
      </c>
      <c r="M1445">
        <v>58</v>
      </c>
      <c r="N1445" t="s">
        <v>21</v>
      </c>
      <c r="O1445">
        <v>4.4000000000000004</v>
      </c>
      <c r="P1445" s="2">
        <f>EOMONTH(Table1[[#This Row],[Order_Date]],0)</f>
        <v>45504</v>
      </c>
      <c r="Q1445" s="3">
        <f>WEEKNUM(Table1[[#This Row],[Order_Date]])</f>
        <v>27</v>
      </c>
      <c r="R1445">
        <f>YEAR(Table1[[#This Row],[Order_Date]])</f>
        <v>2024</v>
      </c>
      <c r="S1445" t="str">
        <f>IF(Table1[[#This Row],[Quantity]]&gt;=3,"Promo","Regular")</f>
        <v>Promo</v>
      </c>
    </row>
    <row r="1446" spans="1:19" x14ac:dyDescent="0.35">
      <c r="A1446" t="s">
        <v>2227</v>
      </c>
      <c r="B1446" t="s">
        <v>1519</v>
      </c>
      <c r="C1446" s="1">
        <v>45297</v>
      </c>
      <c r="D1446" t="s">
        <v>57</v>
      </c>
      <c r="E1446" t="s">
        <v>105</v>
      </c>
      <c r="F1446" t="s">
        <v>45</v>
      </c>
      <c r="G1446" t="s">
        <v>25</v>
      </c>
      <c r="H1446" t="s">
        <v>37</v>
      </c>
      <c r="I1446" t="s">
        <v>20</v>
      </c>
      <c r="J1446">
        <v>2</v>
      </c>
      <c r="K1446">
        <v>323</v>
      </c>
      <c r="L1446">
        <v>646</v>
      </c>
      <c r="M1446">
        <v>35</v>
      </c>
      <c r="N1446" t="s">
        <v>21</v>
      </c>
      <c r="O1446">
        <v>4.5</v>
      </c>
      <c r="P1446" s="2">
        <f>EOMONTH(Table1[[#This Row],[Order_Date]],0)</f>
        <v>45322</v>
      </c>
      <c r="Q1446" s="3">
        <f>WEEKNUM(Table1[[#This Row],[Order_Date]])</f>
        <v>1</v>
      </c>
      <c r="R1446">
        <f>YEAR(Table1[[#This Row],[Order_Date]])</f>
        <v>2024</v>
      </c>
      <c r="S1446" t="str">
        <f>IF(Table1[[#This Row],[Quantity]]&gt;=3,"Promo","Regular")</f>
        <v>Regular</v>
      </c>
    </row>
    <row r="1447" spans="1:19" x14ac:dyDescent="0.35">
      <c r="A1447" t="s">
        <v>2227</v>
      </c>
      <c r="B1447" t="s">
        <v>1520</v>
      </c>
      <c r="C1447" s="1">
        <v>45465</v>
      </c>
      <c r="D1447" t="s">
        <v>15</v>
      </c>
      <c r="E1447" t="s">
        <v>95</v>
      </c>
      <c r="F1447" t="s">
        <v>65</v>
      </c>
      <c r="G1447" t="s">
        <v>46</v>
      </c>
      <c r="H1447" t="s">
        <v>59</v>
      </c>
      <c r="I1447" t="s">
        <v>60</v>
      </c>
      <c r="J1447">
        <v>5</v>
      </c>
      <c r="K1447">
        <v>169</v>
      </c>
      <c r="L1447">
        <v>845</v>
      </c>
      <c r="M1447">
        <v>60</v>
      </c>
      <c r="N1447" t="s">
        <v>38</v>
      </c>
      <c r="O1447">
        <v>3.4</v>
      </c>
      <c r="P1447" s="2">
        <f>EOMONTH(Table1[[#This Row],[Order_Date]],0)</f>
        <v>45473</v>
      </c>
      <c r="Q1447" s="3">
        <f>WEEKNUM(Table1[[#This Row],[Order_Date]])</f>
        <v>25</v>
      </c>
      <c r="R1447">
        <f>YEAR(Table1[[#This Row],[Order_Date]])</f>
        <v>2024</v>
      </c>
      <c r="S1447" t="str">
        <f>IF(Table1[[#This Row],[Quantity]]&gt;=3,"Promo","Regular")</f>
        <v>Promo</v>
      </c>
    </row>
    <row r="1448" spans="1:19" x14ac:dyDescent="0.35">
      <c r="A1448" t="s">
        <v>2228</v>
      </c>
      <c r="B1448" t="s">
        <v>1521</v>
      </c>
      <c r="C1448" s="1">
        <v>45465</v>
      </c>
      <c r="D1448" t="s">
        <v>28</v>
      </c>
      <c r="E1448" t="s">
        <v>77</v>
      </c>
      <c r="F1448" t="s">
        <v>30</v>
      </c>
      <c r="G1448" t="s">
        <v>18</v>
      </c>
      <c r="H1448" t="s">
        <v>50</v>
      </c>
      <c r="I1448" t="s">
        <v>20</v>
      </c>
      <c r="J1448">
        <v>3</v>
      </c>
      <c r="K1448">
        <v>105</v>
      </c>
      <c r="L1448">
        <v>315</v>
      </c>
      <c r="M1448">
        <v>24</v>
      </c>
      <c r="N1448" t="s">
        <v>21</v>
      </c>
      <c r="O1448">
        <v>4.4000000000000004</v>
      </c>
      <c r="P1448" s="2">
        <f>EOMONTH(Table1[[#This Row],[Order_Date]],0)</f>
        <v>45473</v>
      </c>
      <c r="Q1448" s="3">
        <f>WEEKNUM(Table1[[#This Row],[Order_Date]])</f>
        <v>25</v>
      </c>
      <c r="R1448">
        <f>YEAR(Table1[[#This Row],[Order_Date]])</f>
        <v>2024</v>
      </c>
      <c r="S1448" t="str">
        <f>IF(Table1[[#This Row],[Quantity]]&gt;=3,"Promo","Regular")</f>
        <v>Promo</v>
      </c>
    </row>
    <row r="1449" spans="1:19" x14ac:dyDescent="0.35">
      <c r="A1449" t="s">
        <v>2228</v>
      </c>
      <c r="B1449" t="s">
        <v>1522</v>
      </c>
      <c r="C1449" s="1">
        <v>45509</v>
      </c>
      <c r="D1449" t="s">
        <v>57</v>
      </c>
      <c r="E1449" t="s">
        <v>105</v>
      </c>
      <c r="F1449" t="s">
        <v>72</v>
      </c>
      <c r="G1449" t="s">
        <v>25</v>
      </c>
      <c r="H1449" t="s">
        <v>26</v>
      </c>
      <c r="I1449" t="s">
        <v>20</v>
      </c>
      <c r="J1449">
        <v>2</v>
      </c>
      <c r="K1449">
        <v>356</v>
      </c>
      <c r="L1449">
        <v>712</v>
      </c>
      <c r="M1449">
        <v>45</v>
      </c>
      <c r="N1449" t="s">
        <v>38</v>
      </c>
      <c r="O1449">
        <v>3.8</v>
      </c>
      <c r="P1449" s="2">
        <f>EOMONTH(Table1[[#This Row],[Order_Date]],0)</f>
        <v>45535</v>
      </c>
      <c r="Q1449" s="3">
        <f>WEEKNUM(Table1[[#This Row],[Order_Date]])</f>
        <v>32</v>
      </c>
      <c r="R1449">
        <f>YEAR(Table1[[#This Row],[Order_Date]])</f>
        <v>2024</v>
      </c>
      <c r="S1449" t="str">
        <f>IF(Table1[[#This Row],[Quantity]]&gt;=3,"Promo","Regular")</f>
        <v>Regular</v>
      </c>
    </row>
    <row r="1450" spans="1:19" x14ac:dyDescent="0.35">
      <c r="A1450" t="s">
        <v>2228</v>
      </c>
      <c r="B1450" t="s">
        <v>1523</v>
      </c>
      <c r="C1450" s="1">
        <v>45453</v>
      </c>
      <c r="D1450" t="s">
        <v>15</v>
      </c>
      <c r="E1450" t="s">
        <v>103</v>
      </c>
      <c r="F1450" t="s">
        <v>72</v>
      </c>
      <c r="G1450" t="s">
        <v>36</v>
      </c>
      <c r="H1450" t="s">
        <v>32</v>
      </c>
      <c r="I1450" t="s">
        <v>20</v>
      </c>
      <c r="J1450">
        <v>3</v>
      </c>
      <c r="K1450">
        <v>224</v>
      </c>
      <c r="L1450">
        <v>672</v>
      </c>
      <c r="M1450">
        <v>22</v>
      </c>
      <c r="N1450" t="s">
        <v>38</v>
      </c>
      <c r="O1450">
        <v>4.5999999999999996</v>
      </c>
      <c r="P1450" s="2">
        <f>EOMONTH(Table1[[#This Row],[Order_Date]],0)</f>
        <v>45473</v>
      </c>
      <c r="Q1450" s="3">
        <f>WEEKNUM(Table1[[#This Row],[Order_Date]])</f>
        <v>24</v>
      </c>
      <c r="R1450">
        <f>YEAR(Table1[[#This Row],[Order_Date]])</f>
        <v>2024</v>
      </c>
      <c r="S1450" t="str">
        <f>IF(Table1[[#This Row],[Quantity]]&gt;=3,"Promo","Regular")</f>
        <v>Promo</v>
      </c>
    </row>
    <row r="1451" spans="1:19" x14ac:dyDescent="0.35">
      <c r="A1451" t="s">
        <v>2228</v>
      </c>
      <c r="B1451" t="s">
        <v>1524</v>
      </c>
      <c r="C1451" s="1">
        <v>45415</v>
      </c>
      <c r="D1451" t="s">
        <v>57</v>
      </c>
      <c r="E1451" t="s">
        <v>105</v>
      </c>
      <c r="F1451" t="s">
        <v>69</v>
      </c>
      <c r="G1451" t="s">
        <v>36</v>
      </c>
      <c r="H1451" t="s">
        <v>59</v>
      </c>
      <c r="I1451" t="s">
        <v>60</v>
      </c>
      <c r="J1451">
        <v>2</v>
      </c>
      <c r="K1451">
        <v>239</v>
      </c>
      <c r="L1451">
        <v>478</v>
      </c>
      <c r="M1451">
        <v>26</v>
      </c>
      <c r="N1451" t="s">
        <v>21</v>
      </c>
      <c r="O1451">
        <v>3.1</v>
      </c>
      <c r="P1451" s="2">
        <f>EOMONTH(Table1[[#This Row],[Order_Date]],0)</f>
        <v>45443</v>
      </c>
      <c r="Q1451" s="3">
        <f>WEEKNUM(Table1[[#This Row],[Order_Date]])</f>
        <v>18</v>
      </c>
      <c r="R1451">
        <f>YEAR(Table1[[#This Row],[Order_Date]])</f>
        <v>2024</v>
      </c>
      <c r="S1451" t="str">
        <f>IF(Table1[[#This Row],[Quantity]]&gt;=3,"Promo","Regular")</f>
        <v>Regular</v>
      </c>
    </row>
    <row r="1452" spans="1:19" x14ac:dyDescent="0.35">
      <c r="A1452" t="s">
        <v>2229</v>
      </c>
      <c r="B1452" t="s">
        <v>1525</v>
      </c>
      <c r="C1452" s="1">
        <v>45453</v>
      </c>
      <c r="D1452" t="s">
        <v>15</v>
      </c>
      <c r="E1452" t="s">
        <v>103</v>
      </c>
      <c r="F1452" t="s">
        <v>30</v>
      </c>
      <c r="G1452" t="s">
        <v>18</v>
      </c>
      <c r="H1452" t="s">
        <v>19</v>
      </c>
      <c r="I1452" t="s">
        <v>20</v>
      </c>
      <c r="J1452">
        <v>5</v>
      </c>
      <c r="K1452">
        <v>303</v>
      </c>
      <c r="L1452">
        <v>1515</v>
      </c>
      <c r="M1452">
        <v>43</v>
      </c>
      <c r="N1452" t="s">
        <v>33</v>
      </c>
      <c r="O1452">
        <v>3</v>
      </c>
      <c r="P1452" s="2">
        <f>EOMONTH(Table1[[#This Row],[Order_Date]],0)</f>
        <v>45473</v>
      </c>
      <c r="Q1452" s="3">
        <f>WEEKNUM(Table1[[#This Row],[Order_Date]])</f>
        <v>24</v>
      </c>
      <c r="R1452">
        <f>YEAR(Table1[[#This Row],[Order_Date]])</f>
        <v>2024</v>
      </c>
      <c r="S1452" t="str">
        <f>IF(Table1[[#This Row],[Quantity]]&gt;=3,"Promo","Regular")</f>
        <v>Promo</v>
      </c>
    </row>
    <row r="1453" spans="1:19" x14ac:dyDescent="0.35">
      <c r="A1453" t="s">
        <v>2229</v>
      </c>
      <c r="B1453" t="s">
        <v>1526</v>
      </c>
      <c r="C1453" s="1">
        <v>45320</v>
      </c>
      <c r="D1453" t="s">
        <v>15</v>
      </c>
      <c r="E1453" t="s">
        <v>103</v>
      </c>
      <c r="F1453" t="s">
        <v>65</v>
      </c>
      <c r="G1453" t="s">
        <v>73</v>
      </c>
      <c r="H1453" t="s">
        <v>53</v>
      </c>
      <c r="I1453" t="s">
        <v>20</v>
      </c>
      <c r="J1453">
        <v>3</v>
      </c>
      <c r="K1453">
        <v>384</v>
      </c>
      <c r="L1453">
        <v>1152</v>
      </c>
      <c r="M1453">
        <v>38</v>
      </c>
      <c r="N1453" t="s">
        <v>38</v>
      </c>
      <c r="O1453">
        <v>4</v>
      </c>
      <c r="P1453" s="2">
        <f>EOMONTH(Table1[[#This Row],[Order_Date]],0)</f>
        <v>45322</v>
      </c>
      <c r="Q1453" s="3">
        <f>WEEKNUM(Table1[[#This Row],[Order_Date]])</f>
        <v>5</v>
      </c>
      <c r="R1453">
        <f>YEAR(Table1[[#This Row],[Order_Date]])</f>
        <v>2024</v>
      </c>
      <c r="S1453" t="str">
        <f>IF(Table1[[#This Row],[Quantity]]&gt;=3,"Promo","Regular")</f>
        <v>Promo</v>
      </c>
    </row>
    <row r="1454" spans="1:19" x14ac:dyDescent="0.35">
      <c r="A1454" t="s">
        <v>2229</v>
      </c>
      <c r="B1454" t="s">
        <v>1527</v>
      </c>
      <c r="C1454" s="1">
        <v>45386</v>
      </c>
      <c r="D1454" t="s">
        <v>43</v>
      </c>
      <c r="E1454" t="s">
        <v>93</v>
      </c>
      <c r="F1454" t="s">
        <v>17</v>
      </c>
      <c r="G1454" t="s">
        <v>36</v>
      </c>
      <c r="H1454" t="s">
        <v>19</v>
      </c>
      <c r="I1454" t="s">
        <v>20</v>
      </c>
      <c r="J1454">
        <v>4</v>
      </c>
      <c r="K1454">
        <v>200</v>
      </c>
      <c r="L1454">
        <v>800</v>
      </c>
      <c r="M1454">
        <v>47</v>
      </c>
      <c r="N1454" t="s">
        <v>21</v>
      </c>
      <c r="O1454">
        <v>3.6</v>
      </c>
      <c r="P1454" s="2">
        <f>EOMONTH(Table1[[#This Row],[Order_Date]],0)</f>
        <v>45412</v>
      </c>
      <c r="Q1454" s="3">
        <f>WEEKNUM(Table1[[#This Row],[Order_Date]])</f>
        <v>14</v>
      </c>
      <c r="R1454">
        <f>YEAR(Table1[[#This Row],[Order_Date]])</f>
        <v>2024</v>
      </c>
      <c r="S1454" t="str">
        <f>IF(Table1[[#This Row],[Quantity]]&gt;=3,"Promo","Regular")</f>
        <v>Promo</v>
      </c>
    </row>
    <row r="1455" spans="1:19" x14ac:dyDescent="0.35">
      <c r="A1455" t="s">
        <v>2230</v>
      </c>
      <c r="B1455" t="s">
        <v>1528</v>
      </c>
      <c r="C1455" s="1">
        <v>45480</v>
      </c>
      <c r="D1455" t="s">
        <v>28</v>
      </c>
      <c r="E1455" t="s">
        <v>98</v>
      </c>
      <c r="F1455" t="s">
        <v>35</v>
      </c>
      <c r="G1455" t="s">
        <v>36</v>
      </c>
      <c r="H1455" t="s">
        <v>32</v>
      </c>
      <c r="I1455" t="s">
        <v>20</v>
      </c>
      <c r="J1455">
        <v>2</v>
      </c>
      <c r="K1455">
        <v>161</v>
      </c>
      <c r="L1455">
        <v>322</v>
      </c>
      <c r="M1455">
        <v>54</v>
      </c>
      <c r="N1455" t="s">
        <v>21</v>
      </c>
      <c r="O1455">
        <v>4.4000000000000004</v>
      </c>
      <c r="P1455" s="2">
        <f>EOMONTH(Table1[[#This Row],[Order_Date]],0)</f>
        <v>45504</v>
      </c>
      <c r="Q1455" s="3">
        <f>WEEKNUM(Table1[[#This Row],[Order_Date]])</f>
        <v>28</v>
      </c>
      <c r="R1455">
        <f>YEAR(Table1[[#This Row],[Order_Date]])</f>
        <v>2024</v>
      </c>
      <c r="S1455" t="str">
        <f>IF(Table1[[#This Row],[Quantity]]&gt;=3,"Promo","Regular")</f>
        <v>Regular</v>
      </c>
    </row>
    <row r="1456" spans="1:19" x14ac:dyDescent="0.35">
      <c r="A1456" t="s">
        <v>2230</v>
      </c>
      <c r="B1456" t="s">
        <v>1529</v>
      </c>
      <c r="C1456" s="1">
        <v>45553</v>
      </c>
      <c r="D1456" t="s">
        <v>15</v>
      </c>
      <c r="E1456" t="s">
        <v>16</v>
      </c>
      <c r="F1456" t="s">
        <v>30</v>
      </c>
      <c r="G1456" t="s">
        <v>46</v>
      </c>
      <c r="H1456" t="s">
        <v>66</v>
      </c>
      <c r="I1456" t="s">
        <v>20</v>
      </c>
      <c r="J1456">
        <v>5</v>
      </c>
      <c r="K1456">
        <v>365</v>
      </c>
      <c r="L1456">
        <v>1825</v>
      </c>
      <c r="M1456">
        <v>53</v>
      </c>
      <c r="N1456" t="s">
        <v>38</v>
      </c>
      <c r="O1456">
        <v>4.8</v>
      </c>
      <c r="P1456" s="2">
        <f>EOMONTH(Table1[[#This Row],[Order_Date]],0)</f>
        <v>45565</v>
      </c>
      <c r="Q1456" s="3">
        <f>WEEKNUM(Table1[[#This Row],[Order_Date]])</f>
        <v>38</v>
      </c>
      <c r="R1456">
        <f>YEAR(Table1[[#This Row],[Order_Date]])</f>
        <v>2024</v>
      </c>
      <c r="S1456" t="str">
        <f>IF(Table1[[#This Row],[Quantity]]&gt;=3,"Promo","Regular")</f>
        <v>Promo</v>
      </c>
    </row>
    <row r="1457" spans="1:19" x14ac:dyDescent="0.35">
      <c r="A1457" t="s">
        <v>2230</v>
      </c>
      <c r="B1457" t="s">
        <v>1530</v>
      </c>
      <c r="C1457" s="1">
        <v>45368</v>
      </c>
      <c r="D1457" t="s">
        <v>28</v>
      </c>
      <c r="E1457" t="s">
        <v>71</v>
      </c>
      <c r="F1457" t="s">
        <v>35</v>
      </c>
      <c r="G1457" t="s">
        <v>31</v>
      </c>
      <c r="H1457" t="s">
        <v>50</v>
      </c>
      <c r="I1457" t="s">
        <v>20</v>
      </c>
      <c r="J1457">
        <v>3</v>
      </c>
      <c r="K1457">
        <v>156</v>
      </c>
      <c r="L1457">
        <v>468</v>
      </c>
      <c r="M1457">
        <v>22</v>
      </c>
      <c r="N1457" t="s">
        <v>38</v>
      </c>
      <c r="O1457">
        <v>4</v>
      </c>
      <c r="P1457" s="2">
        <f>EOMONTH(Table1[[#This Row],[Order_Date]],0)</f>
        <v>45382</v>
      </c>
      <c r="Q1457" s="3">
        <f>WEEKNUM(Table1[[#This Row],[Order_Date]])</f>
        <v>12</v>
      </c>
      <c r="R1457">
        <f>YEAR(Table1[[#This Row],[Order_Date]])</f>
        <v>2024</v>
      </c>
      <c r="S1457" t="str">
        <f>IF(Table1[[#This Row],[Quantity]]&gt;=3,"Promo","Regular")</f>
        <v>Promo</v>
      </c>
    </row>
    <row r="1458" spans="1:19" x14ac:dyDescent="0.35">
      <c r="A1458" t="s">
        <v>2230</v>
      </c>
      <c r="B1458" t="s">
        <v>1531</v>
      </c>
      <c r="C1458" s="1">
        <v>45364</v>
      </c>
      <c r="D1458" t="s">
        <v>28</v>
      </c>
      <c r="E1458" t="s">
        <v>98</v>
      </c>
      <c r="F1458" t="s">
        <v>24</v>
      </c>
      <c r="G1458" t="s">
        <v>25</v>
      </c>
      <c r="H1458" t="s">
        <v>37</v>
      </c>
      <c r="I1458" t="s">
        <v>20</v>
      </c>
      <c r="J1458">
        <v>2</v>
      </c>
      <c r="K1458">
        <v>394</v>
      </c>
      <c r="L1458">
        <v>788</v>
      </c>
      <c r="M1458">
        <v>40</v>
      </c>
      <c r="N1458" t="s">
        <v>21</v>
      </c>
      <c r="O1458">
        <v>3.4</v>
      </c>
      <c r="P1458" s="2">
        <f>EOMONTH(Table1[[#This Row],[Order_Date]],0)</f>
        <v>45382</v>
      </c>
      <c r="Q1458" s="3">
        <f>WEEKNUM(Table1[[#This Row],[Order_Date]])</f>
        <v>11</v>
      </c>
      <c r="R1458">
        <f>YEAR(Table1[[#This Row],[Order_Date]])</f>
        <v>2024</v>
      </c>
      <c r="S1458" t="str">
        <f>IF(Table1[[#This Row],[Quantity]]&gt;=3,"Promo","Regular")</f>
        <v>Regular</v>
      </c>
    </row>
    <row r="1459" spans="1:19" x14ac:dyDescent="0.35">
      <c r="A1459" t="s">
        <v>2230</v>
      </c>
      <c r="B1459" t="s">
        <v>1532</v>
      </c>
      <c r="C1459" s="1">
        <v>45533</v>
      </c>
      <c r="D1459" t="s">
        <v>15</v>
      </c>
      <c r="E1459" t="s">
        <v>103</v>
      </c>
      <c r="F1459" t="s">
        <v>17</v>
      </c>
      <c r="G1459" t="s">
        <v>31</v>
      </c>
      <c r="H1459" t="s">
        <v>53</v>
      </c>
      <c r="I1459" t="s">
        <v>20</v>
      </c>
      <c r="J1459">
        <v>2</v>
      </c>
      <c r="K1459">
        <v>200</v>
      </c>
      <c r="L1459">
        <v>400</v>
      </c>
      <c r="M1459">
        <v>50</v>
      </c>
      <c r="N1459" t="s">
        <v>33</v>
      </c>
      <c r="O1459">
        <v>3.2</v>
      </c>
      <c r="P1459" s="2">
        <f>EOMONTH(Table1[[#This Row],[Order_Date]],0)</f>
        <v>45535</v>
      </c>
      <c r="Q1459" s="3">
        <f>WEEKNUM(Table1[[#This Row],[Order_Date]])</f>
        <v>35</v>
      </c>
      <c r="R1459">
        <f>YEAR(Table1[[#This Row],[Order_Date]])</f>
        <v>2024</v>
      </c>
      <c r="S1459" t="str">
        <f>IF(Table1[[#This Row],[Quantity]]&gt;=3,"Promo","Regular")</f>
        <v>Regular</v>
      </c>
    </row>
    <row r="1460" spans="1:19" x14ac:dyDescent="0.35">
      <c r="A1460" t="s">
        <v>2231</v>
      </c>
      <c r="B1460" t="s">
        <v>1533</v>
      </c>
      <c r="C1460" s="1">
        <v>45577</v>
      </c>
      <c r="D1460" t="s">
        <v>28</v>
      </c>
      <c r="E1460" t="s">
        <v>29</v>
      </c>
      <c r="F1460" t="s">
        <v>17</v>
      </c>
      <c r="G1460" t="s">
        <v>36</v>
      </c>
      <c r="H1460" t="s">
        <v>53</v>
      </c>
      <c r="I1460" t="s">
        <v>20</v>
      </c>
      <c r="J1460">
        <v>1</v>
      </c>
      <c r="K1460">
        <v>416</v>
      </c>
      <c r="L1460">
        <v>416</v>
      </c>
      <c r="M1460">
        <v>51</v>
      </c>
      <c r="N1460" t="s">
        <v>38</v>
      </c>
      <c r="O1460">
        <v>3.8</v>
      </c>
      <c r="P1460" s="2">
        <f>EOMONTH(Table1[[#This Row],[Order_Date]],0)</f>
        <v>45596</v>
      </c>
      <c r="Q1460" s="3">
        <f>WEEKNUM(Table1[[#This Row],[Order_Date]])</f>
        <v>41</v>
      </c>
      <c r="R1460">
        <f>YEAR(Table1[[#This Row],[Order_Date]])</f>
        <v>2024</v>
      </c>
      <c r="S1460" t="str">
        <f>IF(Table1[[#This Row],[Quantity]]&gt;=3,"Promo","Regular")</f>
        <v>Regular</v>
      </c>
    </row>
    <row r="1461" spans="1:19" x14ac:dyDescent="0.35">
      <c r="A1461" t="s">
        <v>2231</v>
      </c>
      <c r="B1461" t="s">
        <v>1534</v>
      </c>
      <c r="C1461" s="1">
        <v>45347</v>
      </c>
      <c r="D1461" t="s">
        <v>43</v>
      </c>
      <c r="E1461" t="s">
        <v>110</v>
      </c>
      <c r="F1461" t="s">
        <v>24</v>
      </c>
      <c r="G1461" t="s">
        <v>25</v>
      </c>
      <c r="H1461" t="s">
        <v>19</v>
      </c>
      <c r="I1461" t="s">
        <v>20</v>
      </c>
      <c r="J1461">
        <v>1</v>
      </c>
      <c r="K1461">
        <v>180</v>
      </c>
      <c r="L1461">
        <v>180</v>
      </c>
      <c r="M1461">
        <v>51</v>
      </c>
      <c r="N1461" t="s">
        <v>38</v>
      </c>
      <c r="O1461">
        <v>4.5</v>
      </c>
      <c r="P1461" s="2">
        <f>EOMONTH(Table1[[#This Row],[Order_Date]],0)</f>
        <v>45351</v>
      </c>
      <c r="Q1461" s="3">
        <f>WEEKNUM(Table1[[#This Row],[Order_Date]])</f>
        <v>9</v>
      </c>
      <c r="R1461">
        <f>YEAR(Table1[[#This Row],[Order_Date]])</f>
        <v>2024</v>
      </c>
      <c r="S1461" t="str">
        <f>IF(Table1[[#This Row],[Quantity]]&gt;=3,"Promo","Regular")</f>
        <v>Regular</v>
      </c>
    </row>
    <row r="1462" spans="1:19" x14ac:dyDescent="0.35">
      <c r="A1462" t="s">
        <v>2231</v>
      </c>
      <c r="B1462" t="s">
        <v>1535</v>
      </c>
      <c r="C1462" s="1">
        <v>45533</v>
      </c>
      <c r="D1462" t="s">
        <v>57</v>
      </c>
      <c r="E1462" t="s">
        <v>62</v>
      </c>
      <c r="F1462" t="s">
        <v>85</v>
      </c>
      <c r="G1462" t="s">
        <v>36</v>
      </c>
      <c r="H1462" t="s">
        <v>120</v>
      </c>
      <c r="I1462" t="s">
        <v>60</v>
      </c>
      <c r="J1462">
        <v>3</v>
      </c>
      <c r="K1462">
        <v>288</v>
      </c>
      <c r="L1462">
        <v>864</v>
      </c>
      <c r="M1462">
        <v>48</v>
      </c>
      <c r="N1462" t="s">
        <v>21</v>
      </c>
      <c r="O1462">
        <v>4.0999999999999996</v>
      </c>
      <c r="P1462" s="2">
        <f>EOMONTH(Table1[[#This Row],[Order_Date]],0)</f>
        <v>45535</v>
      </c>
      <c r="Q1462" s="3">
        <f>WEEKNUM(Table1[[#This Row],[Order_Date]])</f>
        <v>35</v>
      </c>
      <c r="R1462">
        <f>YEAR(Table1[[#This Row],[Order_Date]])</f>
        <v>2024</v>
      </c>
      <c r="S1462" t="str">
        <f>IF(Table1[[#This Row],[Quantity]]&gt;=3,"Promo","Regular")</f>
        <v>Promo</v>
      </c>
    </row>
    <row r="1463" spans="1:19" x14ac:dyDescent="0.35">
      <c r="A1463" t="s">
        <v>2231</v>
      </c>
      <c r="B1463" t="s">
        <v>1536</v>
      </c>
      <c r="C1463" s="1">
        <v>45363</v>
      </c>
      <c r="D1463" t="s">
        <v>43</v>
      </c>
      <c r="E1463" t="s">
        <v>82</v>
      </c>
      <c r="F1463" t="s">
        <v>45</v>
      </c>
      <c r="G1463" t="s">
        <v>25</v>
      </c>
      <c r="H1463" t="s">
        <v>59</v>
      </c>
      <c r="I1463" t="s">
        <v>60</v>
      </c>
      <c r="J1463">
        <v>4</v>
      </c>
      <c r="K1463">
        <v>109</v>
      </c>
      <c r="L1463">
        <v>436</v>
      </c>
      <c r="M1463">
        <v>53</v>
      </c>
      <c r="N1463" t="s">
        <v>33</v>
      </c>
      <c r="O1463">
        <v>4.7</v>
      </c>
      <c r="P1463" s="2">
        <f>EOMONTH(Table1[[#This Row],[Order_Date]],0)</f>
        <v>45382</v>
      </c>
      <c r="Q1463" s="3">
        <f>WEEKNUM(Table1[[#This Row],[Order_Date]])</f>
        <v>11</v>
      </c>
      <c r="R1463">
        <f>YEAR(Table1[[#This Row],[Order_Date]])</f>
        <v>2024</v>
      </c>
      <c r="S1463" t="str">
        <f>IF(Table1[[#This Row],[Quantity]]&gt;=3,"Promo","Regular")</f>
        <v>Promo</v>
      </c>
    </row>
    <row r="1464" spans="1:19" x14ac:dyDescent="0.35">
      <c r="A1464" t="s">
        <v>2232</v>
      </c>
      <c r="B1464" t="s">
        <v>1537</v>
      </c>
      <c r="C1464" s="1">
        <v>45442</v>
      </c>
      <c r="D1464" t="s">
        <v>28</v>
      </c>
      <c r="E1464" t="s">
        <v>29</v>
      </c>
      <c r="F1464" t="s">
        <v>41</v>
      </c>
      <c r="G1464" t="s">
        <v>36</v>
      </c>
      <c r="H1464" t="s">
        <v>59</v>
      </c>
      <c r="I1464" t="s">
        <v>60</v>
      </c>
      <c r="J1464">
        <v>3</v>
      </c>
      <c r="K1464">
        <v>104</v>
      </c>
      <c r="L1464">
        <v>312</v>
      </c>
      <c r="M1464">
        <v>27</v>
      </c>
      <c r="N1464" t="s">
        <v>38</v>
      </c>
      <c r="O1464">
        <v>3.3</v>
      </c>
      <c r="P1464" s="2">
        <f>EOMONTH(Table1[[#This Row],[Order_Date]],0)</f>
        <v>45443</v>
      </c>
      <c r="Q1464" s="3">
        <f>WEEKNUM(Table1[[#This Row],[Order_Date]])</f>
        <v>22</v>
      </c>
      <c r="R1464">
        <f>YEAR(Table1[[#This Row],[Order_Date]])</f>
        <v>2024</v>
      </c>
      <c r="S1464" t="str">
        <f>IF(Table1[[#This Row],[Quantity]]&gt;=3,"Promo","Regular")</f>
        <v>Promo</v>
      </c>
    </row>
    <row r="1465" spans="1:19" x14ac:dyDescent="0.35">
      <c r="A1465" t="s">
        <v>2232</v>
      </c>
      <c r="B1465" t="s">
        <v>1538</v>
      </c>
      <c r="C1465" s="1">
        <v>45475</v>
      </c>
      <c r="D1465" t="s">
        <v>57</v>
      </c>
      <c r="E1465" t="s">
        <v>105</v>
      </c>
      <c r="F1465" t="s">
        <v>45</v>
      </c>
      <c r="G1465" t="s">
        <v>18</v>
      </c>
      <c r="H1465" t="s">
        <v>26</v>
      </c>
      <c r="I1465" t="s">
        <v>20</v>
      </c>
      <c r="J1465">
        <v>4</v>
      </c>
      <c r="K1465">
        <v>225</v>
      </c>
      <c r="L1465">
        <v>900</v>
      </c>
      <c r="M1465">
        <v>25</v>
      </c>
      <c r="N1465" t="s">
        <v>21</v>
      </c>
      <c r="O1465">
        <v>4.4000000000000004</v>
      </c>
      <c r="P1465" s="2">
        <f>EOMONTH(Table1[[#This Row],[Order_Date]],0)</f>
        <v>45504</v>
      </c>
      <c r="Q1465" s="3">
        <f>WEEKNUM(Table1[[#This Row],[Order_Date]])</f>
        <v>27</v>
      </c>
      <c r="R1465">
        <f>YEAR(Table1[[#This Row],[Order_Date]])</f>
        <v>2024</v>
      </c>
      <c r="S1465" t="str">
        <f>IF(Table1[[#This Row],[Quantity]]&gt;=3,"Promo","Regular")</f>
        <v>Promo</v>
      </c>
    </row>
    <row r="1466" spans="1:19" x14ac:dyDescent="0.35">
      <c r="A1466" t="s">
        <v>2233</v>
      </c>
      <c r="B1466" t="s">
        <v>1539</v>
      </c>
      <c r="C1466" s="1">
        <v>45494</v>
      </c>
      <c r="D1466" t="s">
        <v>43</v>
      </c>
      <c r="E1466" t="s">
        <v>110</v>
      </c>
      <c r="F1466" t="s">
        <v>35</v>
      </c>
      <c r="G1466" t="s">
        <v>36</v>
      </c>
      <c r="H1466" t="s">
        <v>55</v>
      </c>
      <c r="I1466" t="s">
        <v>20</v>
      </c>
      <c r="J1466">
        <v>2</v>
      </c>
      <c r="K1466">
        <v>106</v>
      </c>
      <c r="L1466">
        <v>212</v>
      </c>
      <c r="M1466">
        <v>55</v>
      </c>
      <c r="N1466" t="s">
        <v>33</v>
      </c>
      <c r="O1466">
        <v>4.2</v>
      </c>
      <c r="P1466" s="2">
        <f>EOMONTH(Table1[[#This Row],[Order_Date]],0)</f>
        <v>45504</v>
      </c>
      <c r="Q1466" s="3">
        <f>WEEKNUM(Table1[[#This Row],[Order_Date]])</f>
        <v>30</v>
      </c>
      <c r="R1466">
        <f>YEAR(Table1[[#This Row],[Order_Date]])</f>
        <v>2024</v>
      </c>
      <c r="S1466" t="str">
        <f>IF(Table1[[#This Row],[Quantity]]&gt;=3,"Promo","Regular")</f>
        <v>Regular</v>
      </c>
    </row>
    <row r="1467" spans="1:19" x14ac:dyDescent="0.35">
      <c r="A1467" t="s">
        <v>2233</v>
      </c>
      <c r="B1467" t="s">
        <v>1540</v>
      </c>
      <c r="C1467" s="1">
        <v>45316</v>
      </c>
      <c r="D1467" t="s">
        <v>43</v>
      </c>
      <c r="E1467" t="s">
        <v>110</v>
      </c>
      <c r="F1467" t="s">
        <v>45</v>
      </c>
      <c r="G1467" t="s">
        <v>73</v>
      </c>
      <c r="H1467" t="s">
        <v>53</v>
      </c>
      <c r="I1467" t="s">
        <v>20</v>
      </c>
      <c r="J1467">
        <v>5</v>
      </c>
      <c r="K1467">
        <v>337</v>
      </c>
      <c r="L1467">
        <v>1685</v>
      </c>
      <c r="M1467">
        <v>20</v>
      </c>
      <c r="N1467" t="s">
        <v>33</v>
      </c>
      <c r="O1467">
        <v>4.7</v>
      </c>
      <c r="P1467" s="2">
        <f>EOMONTH(Table1[[#This Row],[Order_Date]],0)</f>
        <v>45322</v>
      </c>
      <c r="Q1467" s="3">
        <f>WEEKNUM(Table1[[#This Row],[Order_Date]])</f>
        <v>4</v>
      </c>
      <c r="R1467">
        <f>YEAR(Table1[[#This Row],[Order_Date]])</f>
        <v>2024</v>
      </c>
      <c r="S1467" t="str">
        <f>IF(Table1[[#This Row],[Quantity]]&gt;=3,"Promo","Regular")</f>
        <v>Promo</v>
      </c>
    </row>
    <row r="1468" spans="1:19" x14ac:dyDescent="0.35">
      <c r="A1468" t="s">
        <v>2233</v>
      </c>
      <c r="B1468" t="s">
        <v>1541</v>
      </c>
      <c r="C1468" s="1">
        <v>45498</v>
      </c>
      <c r="D1468" t="s">
        <v>48</v>
      </c>
      <c r="E1468" t="s">
        <v>132</v>
      </c>
      <c r="F1468" t="s">
        <v>85</v>
      </c>
      <c r="G1468" t="s">
        <v>25</v>
      </c>
      <c r="H1468" t="s">
        <v>19</v>
      </c>
      <c r="I1468" t="s">
        <v>20</v>
      </c>
      <c r="J1468">
        <v>3</v>
      </c>
      <c r="K1468">
        <v>332</v>
      </c>
      <c r="L1468">
        <v>996</v>
      </c>
      <c r="M1468">
        <v>35</v>
      </c>
      <c r="N1468" t="s">
        <v>21</v>
      </c>
      <c r="O1468">
        <v>4.0999999999999996</v>
      </c>
      <c r="P1468" s="2">
        <f>EOMONTH(Table1[[#This Row],[Order_Date]],0)</f>
        <v>45504</v>
      </c>
      <c r="Q1468" s="3">
        <f>WEEKNUM(Table1[[#This Row],[Order_Date]])</f>
        <v>30</v>
      </c>
      <c r="R1468">
        <f>YEAR(Table1[[#This Row],[Order_Date]])</f>
        <v>2024</v>
      </c>
      <c r="S1468" t="str">
        <f>IF(Table1[[#This Row],[Quantity]]&gt;=3,"Promo","Regular")</f>
        <v>Promo</v>
      </c>
    </row>
    <row r="1469" spans="1:19" x14ac:dyDescent="0.35">
      <c r="A1469" t="s">
        <v>2233</v>
      </c>
      <c r="B1469" t="s">
        <v>1542</v>
      </c>
      <c r="C1469" s="1">
        <v>45313</v>
      </c>
      <c r="D1469" t="s">
        <v>48</v>
      </c>
      <c r="E1469" t="s">
        <v>127</v>
      </c>
      <c r="F1469" t="s">
        <v>65</v>
      </c>
      <c r="G1469" t="s">
        <v>25</v>
      </c>
      <c r="H1469" t="s">
        <v>120</v>
      </c>
      <c r="I1469" t="s">
        <v>60</v>
      </c>
      <c r="J1469">
        <v>1</v>
      </c>
      <c r="K1469">
        <v>344</v>
      </c>
      <c r="L1469">
        <v>344</v>
      </c>
      <c r="M1469">
        <v>26</v>
      </c>
      <c r="N1469" t="s">
        <v>33</v>
      </c>
      <c r="O1469">
        <v>4.0999999999999996</v>
      </c>
      <c r="P1469" s="2">
        <f>EOMONTH(Table1[[#This Row],[Order_Date]],0)</f>
        <v>45322</v>
      </c>
      <c r="Q1469" s="3">
        <f>WEEKNUM(Table1[[#This Row],[Order_Date]])</f>
        <v>4</v>
      </c>
      <c r="R1469">
        <f>YEAR(Table1[[#This Row],[Order_Date]])</f>
        <v>2024</v>
      </c>
      <c r="S1469" t="str">
        <f>IF(Table1[[#This Row],[Quantity]]&gt;=3,"Promo","Regular")</f>
        <v>Regular</v>
      </c>
    </row>
    <row r="1470" spans="1:19" x14ac:dyDescent="0.35">
      <c r="A1470" t="s">
        <v>2233</v>
      </c>
      <c r="B1470" t="s">
        <v>1543</v>
      </c>
      <c r="C1470" s="1">
        <v>45364</v>
      </c>
      <c r="D1470" t="s">
        <v>15</v>
      </c>
      <c r="E1470" t="s">
        <v>16</v>
      </c>
      <c r="F1470" t="s">
        <v>17</v>
      </c>
      <c r="G1470" t="s">
        <v>73</v>
      </c>
      <c r="H1470" t="s">
        <v>55</v>
      </c>
      <c r="I1470" t="s">
        <v>20</v>
      </c>
      <c r="J1470">
        <v>1</v>
      </c>
      <c r="K1470">
        <v>408</v>
      </c>
      <c r="L1470">
        <v>408</v>
      </c>
      <c r="M1470">
        <v>56</v>
      </c>
      <c r="N1470" t="s">
        <v>21</v>
      </c>
      <c r="O1470">
        <v>4.5</v>
      </c>
      <c r="P1470" s="2">
        <f>EOMONTH(Table1[[#This Row],[Order_Date]],0)</f>
        <v>45382</v>
      </c>
      <c r="Q1470" s="3">
        <f>WEEKNUM(Table1[[#This Row],[Order_Date]])</f>
        <v>11</v>
      </c>
      <c r="R1470">
        <f>YEAR(Table1[[#This Row],[Order_Date]])</f>
        <v>2024</v>
      </c>
      <c r="S1470" t="str">
        <f>IF(Table1[[#This Row],[Quantity]]&gt;=3,"Promo","Regular")</f>
        <v>Regular</v>
      </c>
    </row>
    <row r="1471" spans="1:19" x14ac:dyDescent="0.35">
      <c r="A1471" t="s">
        <v>2234</v>
      </c>
      <c r="B1471" t="s">
        <v>1544</v>
      </c>
      <c r="C1471" s="1">
        <v>45301</v>
      </c>
      <c r="D1471" t="s">
        <v>15</v>
      </c>
      <c r="E1471" t="s">
        <v>16</v>
      </c>
      <c r="F1471" t="s">
        <v>65</v>
      </c>
      <c r="G1471" t="s">
        <v>46</v>
      </c>
      <c r="H1471" t="s">
        <v>32</v>
      </c>
      <c r="I1471" t="s">
        <v>20</v>
      </c>
      <c r="J1471">
        <v>5</v>
      </c>
      <c r="K1471">
        <v>187</v>
      </c>
      <c r="L1471">
        <v>935</v>
      </c>
      <c r="M1471">
        <v>36</v>
      </c>
      <c r="N1471" t="s">
        <v>33</v>
      </c>
      <c r="O1471">
        <v>3.6</v>
      </c>
      <c r="P1471" s="2">
        <f>EOMONTH(Table1[[#This Row],[Order_Date]],0)</f>
        <v>45322</v>
      </c>
      <c r="Q1471" s="3">
        <f>WEEKNUM(Table1[[#This Row],[Order_Date]])</f>
        <v>2</v>
      </c>
      <c r="R1471">
        <f>YEAR(Table1[[#This Row],[Order_Date]])</f>
        <v>2024</v>
      </c>
      <c r="S1471" t="str">
        <f>IF(Table1[[#This Row],[Quantity]]&gt;=3,"Promo","Regular")</f>
        <v>Promo</v>
      </c>
    </row>
    <row r="1472" spans="1:19" x14ac:dyDescent="0.35">
      <c r="A1472" t="s">
        <v>2234</v>
      </c>
      <c r="B1472" t="s">
        <v>1545</v>
      </c>
      <c r="C1472" s="1">
        <v>45473</v>
      </c>
      <c r="D1472" t="s">
        <v>15</v>
      </c>
      <c r="E1472" t="s">
        <v>95</v>
      </c>
      <c r="F1472" t="s">
        <v>41</v>
      </c>
      <c r="G1472" t="s">
        <v>36</v>
      </c>
      <c r="H1472" t="s">
        <v>32</v>
      </c>
      <c r="I1472" t="s">
        <v>20</v>
      </c>
      <c r="J1472">
        <v>4</v>
      </c>
      <c r="K1472">
        <v>222</v>
      </c>
      <c r="L1472">
        <v>888</v>
      </c>
      <c r="M1472">
        <v>31</v>
      </c>
      <c r="N1472" t="s">
        <v>21</v>
      </c>
      <c r="O1472">
        <v>5</v>
      </c>
      <c r="P1472" s="2">
        <f>EOMONTH(Table1[[#This Row],[Order_Date]],0)</f>
        <v>45473</v>
      </c>
      <c r="Q1472" s="3">
        <f>WEEKNUM(Table1[[#This Row],[Order_Date]])</f>
        <v>27</v>
      </c>
      <c r="R1472">
        <f>YEAR(Table1[[#This Row],[Order_Date]])</f>
        <v>2024</v>
      </c>
      <c r="S1472" t="str">
        <f>IF(Table1[[#This Row],[Quantity]]&gt;=3,"Promo","Regular")</f>
        <v>Promo</v>
      </c>
    </row>
    <row r="1473" spans="1:19" x14ac:dyDescent="0.35">
      <c r="A1473" t="s">
        <v>2234</v>
      </c>
      <c r="B1473" t="s">
        <v>1546</v>
      </c>
      <c r="C1473" s="1">
        <v>45428</v>
      </c>
      <c r="D1473" t="s">
        <v>57</v>
      </c>
      <c r="E1473" t="s">
        <v>136</v>
      </c>
      <c r="F1473" t="s">
        <v>65</v>
      </c>
      <c r="G1473" t="s">
        <v>46</v>
      </c>
      <c r="H1473" t="s">
        <v>26</v>
      </c>
      <c r="I1473" t="s">
        <v>20</v>
      </c>
      <c r="J1473">
        <v>1</v>
      </c>
      <c r="K1473">
        <v>360</v>
      </c>
      <c r="L1473">
        <v>360</v>
      </c>
      <c r="M1473">
        <v>46</v>
      </c>
      <c r="N1473" t="s">
        <v>21</v>
      </c>
      <c r="O1473">
        <v>3.7</v>
      </c>
      <c r="P1473" s="2">
        <f>EOMONTH(Table1[[#This Row],[Order_Date]],0)</f>
        <v>45443</v>
      </c>
      <c r="Q1473" s="3">
        <f>WEEKNUM(Table1[[#This Row],[Order_Date]])</f>
        <v>20</v>
      </c>
      <c r="R1473">
        <f>YEAR(Table1[[#This Row],[Order_Date]])</f>
        <v>2024</v>
      </c>
      <c r="S1473" t="str">
        <f>IF(Table1[[#This Row],[Quantity]]&gt;=3,"Promo","Regular")</f>
        <v>Regular</v>
      </c>
    </row>
    <row r="1474" spans="1:19" x14ac:dyDescent="0.35">
      <c r="A1474" t="s">
        <v>2235</v>
      </c>
      <c r="B1474" t="s">
        <v>1547</v>
      </c>
      <c r="C1474" s="1">
        <v>45318</v>
      </c>
      <c r="D1474" t="s">
        <v>43</v>
      </c>
      <c r="E1474" t="s">
        <v>44</v>
      </c>
      <c r="F1474" t="s">
        <v>30</v>
      </c>
      <c r="G1474" t="s">
        <v>25</v>
      </c>
      <c r="H1474" t="s">
        <v>53</v>
      </c>
      <c r="I1474" t="s">
        <v>20</v>
      </c>
      <c r="J1474">
        <v>3</v>
      </c>
      <c r="K1474">
        <v>425</v>
      </c>
      <c r="L1474">
        <v>1275</v>
      </c>
      <c r="M1474">
        <v>57</v>
      </c>
      <c r="N1474" t="s">
        <v>21</v>
      </c>
      <c r="O1474">
        <v>3.4</v>
      </c>
      <c r="P1474" s="2">
        <f>EOMONTH(Table1[[#This Row],[Order_Date]],0)</f>
        <v>45322</v>
      </c>
      <c r="Q1474" s="3">
        <f>WEEKNUM(Table1[[#This Row],[Order_Date]])</f>
        <v>4</v>
      </c>
      <c r="R1474">
        <f>YEAR(Table1[[#This Row],[Order_Date]])</f>
        <v>2024</v>
      </c>
      <c r="S1474" t="str">
        <f>IF(Table1[[#This Row],[Quantity]]&gt;=3,"Promo","Regular")</f>
        <v>Promo</v>
      </c>
    </row>
    <row r="1475" spans="1:19" x14ac:dyDescent="0.35">
      <c r="A1475" t="s">
        <v>2235</v>
      </c>
      <c r="B1475" t="s">
        <v>1548</v>
      </c>
      <c r="C1475" s="1">
        <v>45403</v>
      </c>
      <c r="D1475" t="s">
        <v>15</v>
      </c>
      <c r="E1475" t="s">
        <v>95</v>
      </c>
      <c r="F1475" t="s">
        <v>30</v>
      </c>
      <c r="G1475" t="s">
        <v>18</v>
      </c>
      <c r="H1475" t="s">
        <v>120</v>
      </c>
      <c r="I1475" t="s">
        <v>60</v>
      </c>
      <c r="J1475">
        <v>3</v>
      </c>
      <c r="K1475">
        <v>398</v>
      </c>
      <c r="L1475">
        <v>1194</v>
      </c>
      <c r="M1475">
        <v>47</v>
      </c>
      <c r="N1475" t="s">
        <v>33</v>
      </c>
      <c r="O1475">
        <v>3</v>
      </c>
      <c r="P1475" s="2">
        <f>EOMONTH(Table1[[#This Row],[Order_Date]],0)</f>
        <v>45412</v>
      </c>
      <c r="Q1475" s="3">
        <f>WEEKNUM(Table1[[#This Row],[Order_Date]])</f>
        <v>17</v>
      </c>
      <c r="R1475">
        <f>YEAR(Table1[[#This Row],[Order_Date]])</f>
        <v>2024</v>
      </c>
      <c r="S1475" t="str">
        <f>IF(Table1[[#This Row],[Quantity]]&gt;=3,"Promo","Regular")</f>
        <v>Promo</v>
      </c>
    </row>
    <row r="1476" spans="1:19" x14ac:dyDescent="0.35">
      <c r="A1476" t="s">
        <v>2236</v>
      </c>
      <c r="B1476" t="s">
        <v>1549</v>
      </c>
      <c r="C1476" s="1">
        <v>45312</v>
      </c>
      <c r="D1476" t="s">
        <v>57</v>
      </c>
      <c r="E1476" t="s">
        <v>58</v>
      </c>
      <c r="F1476" t="s">
        <v>30</v>
      </c>
      <c r="G1476" t="s">
        <v>46</v>
      </c>
      <c r="H1476" t="s">
        <v>55</v>
      </c>
      <c r="I1476" t="s">
        <v>20</v>
      </c>
      <c r="J1476">
        <v>3</v>
      </c>
      <c r="K1476">
        <v>172</v>
      </c>
      <c r="L1476">
        <v>516</v>
      </c>
      <c r="M1476">
        <v>47</v>
      </c>
      <c r="N1476" t="s">
        <v>33</v>
      </c>
      <c r="O1476">
        <v>3.9</v>
      </c>
      <c r="P1476" s="2">
        <f>EOMONTH(Table1[[#This Row],[Order_Date]],0)</f>
        <v>45322</v>
      </c>
      <c r="Q1476" s="3">
        <f>WEEKNUM(Table1[[#This Row],[Order_Date]])</f>
        <v>4</v>
      </c>
      <c r="R1476">
        <f>YEAR(Table1[[#This Row],[Order_Date]])</f>
        <v>2024</v>
      </c>
      <c r="S1476" t="str">
        <f>IF(Table1[[#This Row],[Quantity]]&gt;=3,"Promo","Regular")</f>
        <v>Promo</v>
      </c>
    </row>
    <row r="1477" spans="1:19" x14ac:dyDescent="0.35">
      <c r="A1477" t="s">
        <v>2236</v>
      </c>
      <c r="B1477" t="s">
        <v>1550</v>
      </c>
      <c r="C1477" s="1">
        <v>45469</v>
      </c>
      <c r="D1477" t="s">
        <v>57</v>
      </c>
      <c r="E1477" t="s">
        <v>58</v>
      </c>
      <c r="F1477" t="s">
        <v>24</v>
      </c>
      <c r="G1477" t="s">
        <v>18</v>
      </c>
      <c r="H1477" t="s">
        <v>66</v>
      </c>
      <c r="I1477" t="s">
        <v>20</v>
      </c>
      <c r="J1477">
        <v>1</v>
      </c>
      <c r="K1477">
        <v>141</v>
      </c>
      <c r="L1477">
        <v>141</v>
      </c>
      <c r="M1477">
        <v>46</v>
      </c>
      <c r="N1477" t="s">
        <v>38</v>
      </c>
      <c r="O1477">
        <v>3.1</v>
      </c>
      <c r="P1477" s="2">
        <f>EOMONTH(Table1[[#This Row],[Order_Date]],0)</f>
        <v>45473</v>
      </c>
      <c r="Q1477" s="3">
        <f>WEEKNUM(Table1[[#This Row],[Order_Date]])</f>
        <v>26</v>
      </c>
      <c r="R1477">
        <f>YEAR(Table1[[#This Row],[Order_Date]])</f>
        <v>2024</v>
      </c>
      <c r="S1477" t="str">
        <f>IF(Table1[[#This Row],[Quantity]]&gt;=3,"Promo","Regular")</f>
        <v>Regular</v>
      </c>
    </row>
    <row r="1478" spans="1:19" x14ac:dyDescent="0.35">
      <c r="A1478" t="s">
        <v>2237</v>
      </c>
      <c r="B1478" t="s">
        <v>1551</v>
      </c>
      <c r="C1478" s="1">
        <v>45464</v>
      </c>
      <c r="D1478" t="s">
        <v>57</v>
      </c>
      <c r="E1478" t="s">
        <v>75</v>
      </c>
      <c r="F1478" t="s">
        <v>85</v>
      </c>
      <c r="G1478" t="s">
        <v>31</v>
      </c>
      <c r="H1478" t="s">
        <v>50</v>
      </c>
      <c r="I1478" t="s">
        <v>20</v>
      </c>
      <c r="J1478">
        <v>1</v>
      </c>
      <c r="K1478">
        <v>158</v>
      </c>
      <c r="L1478">
        <v>158</v>
      </c>
      <c r="M1478">
        <v>53</v>
      </c>
      <c r="N1478" t="s">
        <v>21</v>
      </c>
      <c r="O1478">
        <v>5</v>
      </c>
      <c r="P1478" s="2">
        <f>EOMONTH(Table1[[#This Row],[Order_Date]],0)</f>
        <v>45473</v>
      </c>
      <c r="Q1478" s="3">
        <f>WEEKNUM(Table1[[#This Row],[Order_Date]])</f>
        <v>25</v>
      </c>
      <c r="R1478">
        <f>YEAR(Table1[[#This Row],[Order_Date]])</f>
        <v>2024</v>
      </c>
      <c r="S1478" t="str">
        <f>IF(Table1[[#This Row],[Quantity]]&gt;=3,"Promo","Regular")</f>
        <v>Regular</v>
      </c>
    </row>
    <row r="1479" spans="1:19" x14ac:dyDescent="0.35">
      <c r="A1479" t="s">
        <v>2237</v>
      </c>
      <c r="B1479" t="s">
        <v>1552</v>
      </c>
      <c r="C1479" s="1">
        <v>45332</v>
      </c>
      <c r="D1479" t="s">
        <v>57</v>
      </c>
      <c r="E1479" t="s">
        <v>75</v>
      </c>
      <c r="F1479" t="s">
        <v>45</v>
      </c>
      <c r="G1479" t="s">
        <v>73</v>
      </c>
      <c r="H1479" t="s">
        <v>59</v>
      </c>
      <c r="I1479" t="s">
        <v>60</v>
      </c>
      <c r="J1479">
        <v>4</v>
      </c>
      <c r="K1479">
        <v>284</v>
      </c>
      <c r="L1479">
        <v>1136</v>
      </c>
      <c r="M1479">
        <v>35</v>
      </c>
      <c r="N1479" t="s">
        <v>38</v>
      </c>
      <c r="O1479">
        <v>4.4000000000000004</v>
      </c>
      <c r="P1479" s="2">
        <f>EOMONTH(Table1[[#This Row],[Order_Date]],0)</f>
        <v>45351</v>
      </c>
      <c r="Q1479" s="3">
        <f>WEEKNUM(Table1[[#This Row],[Order_Date]])</f>
        <v>6</v>
      </c>
      <c r="R1479">
        <f>YEAR(Table1[[#This Row],[Order_Date]])</f>
        <v>2024</v>
      </c>
      <c r="S1479" t="str">
        <f>IF(Table1[[#This Row],[Quantity]]&gt;=3,"Promo","Regular")</f>
        <v>Promo</v>
      </c>
    </row>
    <row r="1480" spans="1:19" x14ac:dyDescent="0.35">
      <c r="A1480" t="s">
        <v>2237</v>
      </c>
      <c r="B1480" t="s">
        <v>1553</v>
      </c>
      <c r="C1480" s="1">
        <v>45522</v>
      </c>
      <c r="D1480" t="s">
        <v>43</v>
      </c>
      <c r="E1480" t="s">
        <v>82</v>
      </c>
      <c r="F1480" t="s">
        <v>69</v>
      </c>
      <c r="G1480" t="s">
        <v>31</v>
      </c>
      <c r="H1480" t="s">
        <v>32</v>
      </c>
      <c r="I1480" t="s">
        <v>20</v>
      </c>
      <c r="J1480">
        <v>4</v>
      </c>
      <c r="K1480">
        <v>498</v>
      </c>
      <c r="L1480">
        <v>1992</v>
      </c>
      <c r="M1480">
        <v>22</v>
      </c>
      <c r="N1480" t="s">
        <v>33</v>
      </c>
      <c r="O1480">
        <v>4</v>
      </c>
      <c r="P1480" s="2">
        <f>EOMONTH(Table1[[#This Row],[Order_Date]],0)</f>
        <v>45535</v>
      </c>
      <c r="Q1480" s="3">
        <f>WEEKNUM(Table1[[#This Row],[Order_Date]])</f>
        <v>34</v>
      </c>
      <c r="R1480">
        <f>YEAR(Table1[[#This Row],[Order_Date]])</f>
        <v>2024</v>
      </c>
      <c r="S1480" t="str">
        <f>IF(Table1[[#This Row],[Quantity]]&gt;=3,"Promo","Regular")</f>
        <v>Promo</v>
      </c>
    </row>
    <row r="1481" spans="1:19" x14ac:dyDescent="0.35">
      <c r="A1481" t="s">
        <v>2237</v>
      </c>
      <c r="B1481" t="s">
        <v>1554</v>
      </c>
      <c r="C1481" s="1">
        <v>45426</v>
      </c>
      <c r="D1481" t="s">
        <v>43</v>
      </c>
      <c r="E1481" t="s">
        <v>93</v>
      </c>
      <c r="F1481" t="s">
        <v>17</v>
      </c>
      <c r="G1481" t="s">
        <v>18</v>
      </c>
      <c r="H1481" t="s">
        <v>37</v>
      </c>
      <c r="I1481" t="s">
        <v>20</v>
      </c>
      <c r="J1481">
        <v>3</v>
      </c>
      <c r="K1481">
        <v>298</v>
      </c>
      <c r="L1481">
        <v>894</v>
      </c>
      <c r="M1481">
        <v>20</v>
      </c>
      <c r="N1481" t="s">
        <v>38</v>
      </c>
      <c r="O1481">
        <v>3.5</v>
      </c>
      <c r="P1481" s="2">
        <f>EOMONTH(Table1[[#This Row],[Order_Date]],0)</f>
        <v>45443</v>
      </c>
      <c r="Q1481" s="3">
        <f>WEEKNUM(Table1[[#This Row],[Order_Date]])</f>
        <v>20</v>
      </c>
      <c r="R1481">
        <f>YEAR(Table1[[#This Row],[Order_Date]])</f>
        <v>2024</v>
      </c>
      <c r="S1481" t="str">
        <f>IF(Table1[[#This Row],[Quantity]]&gt;=3,"Promo","Regular")</f>
        <v>Promo</v>
      </c>
    </row>
    <row r="1482" spans="1:19" x14ac:dyDescent="0.35">
      <c r="A1482" t="s">
        <v>2237</v>
      </c>
      <c r="B1482" t="s">
        <v>1555</v>
      </c>
      <c r="C1482" s="1">
        <v>45574</v>
      </c>
      <c r="D1482" t="s">
        <v>28</v>
      </c>
      <c r="E1482" t="s">
        <v>40</v>
      </c>
      <c r="F1482" t="s">
        <v>24</v>
      </c>
      <c r="G1482" t="s">
        <v>25</v>
      </c>
      <c r="H1482" t="s">
        <v>59</v>
      </c>
      <c r="I1482" t="s">
        <v>60</v>
      </c>
      <c r="J1482">
        <v>5</v>
      </c>
      <c r="K1482">
        <v>390</v>
      </c>
      <c r="L1482">
        <v>1950</v>
      </c>
      <c r="M1482">
        <v>38</v>
      </c>
      <c r="N1482" t="s">
        <v>38</v>
      </c>
      <c r="O1482">
        <v>3.1</v>
      </c>
      <c r="P1482" s="2">
        <f>EOMONTH(Table1[[#This Row],[Order_Date]],0)</f>
        <v>45596</v>
      </c>
      <c r="Q1482" s="3">
        <f>WEEKNUM(Table1[[#This Row],[Order_Date]])</f>
        <v>41</v>
      </c>
      <c r="R1482">
        <f>YEAR(Table1[[#This Row],[Order_Date]])</f>
        <v>2024</v>
      </c>
      <c r="S1482" t="str">
        <f>IF(Table1[[#This Row],[Quantity]]&gt;=3,"Promo","Regular")</f>
        <v>Promo</v>
      </c>
    </row>
    <row r="1483" spans="1:19" x14ac:dyDescent="0.35">
      <c r="A1483" t="s">
        <v>2238</v>
      </c>
      <c r="B1483" t="s">
        <v>1556</v>
      </c>
      <c r="C1483" s="1">
        <v>45401</v>
      </c>
      <c r="D1483" t="s">
        <v>57</v>
      </c>
      <c r="E1483" t="s">
        <v>58</v>
      </c>
      <c r="F1483" t="s">
        <v>72</v>
      </c>
      <c r="G1483" t="s">
        <v>36</v>
      </c>
      <c r="H1483" t="s">
        <v>26</v>
      </c>
      <c r="I1483" t="s">
        <v>20</v>
      </c>
      <c r="J1483">
        <v>5</v>
      </c>
      <c r="K1483">
        <v>180</v>
      </c>
      <c r="L1483">
        <v>900</v>
      </c>
      <c r="M1483">
        <v>37</v>
      </c>
      <c r="N1483" t="s">
        <v>33</v>
      </c>
      <c r="O1483">
        <v>3.9</v>
      </c>
      <c r="P1483" s="2">
        <f>EOMONTH(Table1[[#This Row],[Order_Date]],0)</f>
        <v>45412</v>
      </c>
      <c r="Q1483" s="3">
        <f>WEEKNUM(Table1[[#This Row],[Order_Date]])</f>
        <v>16</v>
      </c>
      <c r="R1483">
        <f>YEAR(Table1[[#This Row],[Order_Date]])</f>
        <v>2024</v>
      </c>
      <c r="S1483" t="str">
        <f>IF(Table1[[#This Row],[Quantity]]&gt;=3,"Promo","Regular")</f>
        <v>Promo</v>
      </c>
    </row>
    <row r="1484" spans="1:19" x14ac:dyDescent="0.35">
      <c r="A1484" t="s">
        <v>2238</v>
      </c>
      <c r="B1484" t="s">
        <v>1557</v>
      </c>
      <c r="C1484" s="1">
        <v>45418</v>
      </c>
      <c r="D1484" t="s">
        <v>57</v>
      </c>
      <c r="E1484" t="s">
        <v>58</v>
      </c>
      <c r="F1484" t="s">
        <v>69</v>
      </c>
      <c r="G1484" t="s">
        <v>18</v>
      </c>
      <c r="H1484" t="s">
        <v>120</v>
      </c>
      <c r="I1484" t="s">
        <v>60</v>
      </c>
      <c r="J1484">
        <v>1</v>
      </c>
      <c r="K1484">
        <v>198</v>
      </c>
      <c r="L1484">
        <v>198</v>
      </c>
      <c r="M1484">
        <v>52</v>
      </c>
      <c r="N1484" t="s">
        <v>38</v>
      </c>
      <c r="O1484">
        <v>3.9</v>
      </c>
      <c r="P1484" s="2">
        <f>EOMONTH(Table1[[#This Row],[Order_Date]],0)</f>
        <v>45443</v>
      </c>
      <c r="Q1484" s="3">
        <f>WEEKNUM(Table1[[#This Row],[Order_Date]])</f>
        <v>19</v>
      </c>
      <c r="R1484">
        <f>YEAR(Table1[[#This Row],[Order_Date]])</f>
        <v>2024</v>
      </c>
      <c r="S1484" t="str">
        <f>IF(Table1[[#This Row],[Quantity]]&gt;=3,"Promo","Regular")</f>
        <v>Regular</v>
      </c>
    </row>
    <row r="1485" spans="1:19" x14ac:dyDescent="0.35">
      <c r="A1485" t="s">
        <v>2238</v>
      </c>
      <c r="B1485" t="s">
        <v>1558</v>
      </c>
      <c r="C1485" s="1">
        <v>45332</v>
      </c>
      <c r="D1485" t="s">
        <v>28</v>
      </c>
      <c r="E1485" t="s">
        <v>98</v>
      </c>
      <c r="F1485" t="s">
        <v>72</v>
      </c>
      <c r="G1485" t="s">
        <v>73</v>
      </c>
      <c r="H1485" t="s">
        <v>53</v>
      </c>
      <c r="I1485" t="s">
        <v>20</v>
      </c>
      <c r="J1485">
        <v>3</v>
      </c>
      <c r="K1485">
        <v>299</v>
      </c>
      <c r="L1485">
        <v>897</v>
      </c>
      <c r="M1485">
        <v>45</v>
      </c>
      <c r="N1485" t="s">
        <v>38</v>
      </c>
      <c r="O1485">
        <v>3.1</v>
      </c>
      <c r="P1485" s="2">
        <f>EOMONTH(Table1[[#This Row],[Order_Date]],0)</f>
        <v>45351</v>
      </c>
      <c r="Q1485" s="3">
        <f>WEEKNUM(Table1[[#This Row],[Order_Date]])</f>
        <v>6</v>
      </c>
      <c r="R1485">
        <f>YEAR(Table1[[#This Row],[Order_Date]])</f>
        <v>2024</v>
      </c>
      <c r="S1485" t="str">
        <f>IF(Table1[[#This Row],[Quantity]]&gt;=3,"Promo","Regular")</f>
        <v>Promo</v>
      </c>
    </row>
    <row r="1486" spans="1:19" x14ac:dyDescent="0.35">
      <c r="A1486" t="s">
        <v>2238</v>
      </c>
      <c r="B1486" t="s">
        <v>1559</v>
      </c>
      <c r="C1486" s="1">
        <v>45557</v>
      </c>
      <c r="D1486" t="s">
        <v>57</v>
      </c>
      <c r="E1486" t="s">
        <v>75</v>
      </c>
      <c r="F1486" t="s">
        <v>85</v>
      </c>
      <c r="G1486" t="s">
        <v>46</v>
      </c>
      <c r="H1486" t="s">
        <v>53</v>
      </c>
      <c r="I1486" t="s">
        <v>20</v>
      </c>
      <c r="J1486">
        <v>2</v>
      </c>
      <c r="K1486">
        <v>438</v>
      </c>
      <c r="L1486">
        <v>876</v>
      </c>
      <c r="M1486">
        <v>37</v>
      </c>
      <c r="N1486" t="s">
        <v>38</v>
      </c>
      <c r="O1486">
        <v>3.4</v>
      </c>
      <c r="P1486" s="2">
        <f>EOMONTH(Table1[[#This Row],[Order_Date]],0)</f>
        <v>45565</v>
      </c>
      <c r="Q1486" s="3">
        <f>WEEKNUM(Table1[[#This Row],[Order_Date]])</f>
        <v>39</v>
      </c>
      <c r="R1486">
        <f>YEAR(Table1[[#This Row],[Order_Date]])</f>
        <v>2024</v>
      </c>
      <c r="S1486" t="str">
        <f>IF(Table1[[#This Row],[Quantity]]&gt;=3,"Promo","Regular")</f>
        <v>Regular</v>
      </c>
    </row>
    <row r="1487" spans="1:19" x14ac:dyDescent="0.35">
      <c r="A1487" t="s">
        <v>2239</v>
      </c>
      <c r="B1487" t="s">
        <v>1560</v>
      </c>
      <c r="C1487" s="1">
        <v>45540</v>
      </c>
      <c r="D1487" t="s">
        <v>48</v>
      </c>
      <c r="E1487" t="s">
        <v>68</v>
      </c>
      <c r="F1487" t="s">
        <v>45</v>
      </c>
      <c r="G1487" t="s">
        <v>25</v>
      </c>
      <c r="H1487" t="s">
        <v>66</v>
      </c>
      <c r="I1487" t="s">
        <v>20</v>
      </c>
      <c r="J1487">
        <v>5</v>
      </c>
      <c r="K1487">
        <v>257</v>
      </c>
      <c r="L1487">
        <v>1285</v>
      </c>
      <c r="M1487">
        <v>54</v>
      </c>
      <c r="N1487" t="s">
        <v>21</v>
      </c>
      <c r="O1487">
        <v>3.2</v>
      </c>
      <c r="P1487" s="2">
        <f>EOMONTH(Table1[[#This Row],[Order_Date]],0)</f>
        <v>45565</v>
      </c>
      <c r="Q1487" s="3">
        <f>WEEKNUM(Table1[[#This Row],[Order_Date]])</f>
        <v>36</v>
      </c>
      <c r="R1487">
        <f>YEAR(Table1[[#This Row],[Order_Date]])</f>
        <v>2024</v>
      </c>
      <c r="S1487" t="str">
        <f>IF(Table1[[#This Row],[Quantity]]&gt;=3,"Promo","Regular")</f>
        <v>Promo</v>
      </c>
    </row>
    <row r="1488" spans="1:19" x14ac:dyDescent="0.35">
      <c r="A1488" t="s">
        <v>2239</v>
      </c>
      <c r="B1488" t="s">
        <v>1561</v>
      </c>
      <c r="C1488" s="1">
        <v>45590</v>
      </c>
      <c r="D1488" t="s">
        <v>43</v>
      </c>
      <c r="E1488" t="s">
        <v>44</v>
      </c>
      <c r="F1488" t="s">
        <v>72</v>
      </c>
      <c r="G1488" t="s">
        <v>73</v>
      </c>
      <c r="H1488" t="s">
        <v>32</v>
      </c>
      <c r="I1488" t="s">
        <v>20</v>
      </c>
      <c r="J1488">
        <v>3</v>
      </c>
      <c r="K1488">
        <v>272</v>
      </c>
      <c r="L1488">
        <v>816</v>
      </c>
      <c r="M1488">
        <v>30</v>
      </c>
      <c r="N1488" t="s">
        <v>38</v>
      </c>
      <c r="O1488">
        <v>3.8</v>
      </c>
      <c r="P1488" s="2">
        <f>EOMONTH(Table1[[#This Row],[Order_Date]],0)</f>
        <v>45596</v>
      </c>
      <c r="Q1488" s="3">
        <f>WEEKNUM(Table1[[#This Row],[Order_Date]])</f>
        <v>43</v>
      </c>
      <c r="R1488">
        <f>YEAR(Table1[[#This Row],[Order_Date]])</f>
        <v>2024</v>
      </c>
      <c r="S1488" t="str">
        <f>IF(Table1[[#This Row],[Quantity]]&gt;=3,"Promo","Regular")</f>
        <v>Promo</v>
      </c>
    </row>
    <row r="1489" spans="1:19" x14ac:dyDescent="0.35">
      <c r="A1489" t="s">
        <v>2239</v>
      </c>
      <c r="B1489" t="s">
        <v>1562</v>
      </c>
      <c r="C1489" s="1">
        <v>45309</v>
      </c>
      <c r="D1489" t="s">
        <v>28</v>
      </c>
      <c r="E1489" t="s">
        <v>29</v>
      </c>
      <c r="F1489" t="s">
        <v>41</v>
      </c>
      <c r="G1489" t="s">
        <v>36</v>
      </c>
      <c r="H1489" t="s">
        <v>19</v>
      </c>
      <c r="I1489" t="s">
        <v>20</v>
      </c>
      <c r="J1489">
        <v>2</v>
      </c>
      <c r="K1489">
        <v>249</v>
      </c>
      <c r="L1489">
        <v>498</v>
      </c>
      <c r="M1489">
        <v>31</v>
      </c>
      <c r="N1489" t="s">
        <v>21</v>
      </c>
      <c r="O1489">
        <v>4.5</v>
      </c>
      <c r="P1489" s="2">
        <f>EOMONTH(Table1[[#This Row],[Order_Date]],0)</f>
        <v>45322</v>
      </c>
      <c r="Q1489" s="3">
        <f>WEEKNUM(Table1[[#This Row],[Order_Date]])</f>
        <v>3</v>
      </c>
      <c r="R1489">
        <f>YEAR(Table1[[#This Row],[Order_Date]])</f>
        <v>2024</v>
      </c>
      <c r="S1489" t="str">
        <f>IF(Table1[[#This Row],[Quantity]]&gt;=3,"Promo","Regular")</f>
        <v>Regular</v>
      </c>
    </row>
    <row r="1490" spans="1:19" x14ac:dyDescent="0.35">
      <c r="A1490" t="s">
        <v>2239</v>
      </c>
      <c r="B1490" t="s">
        <v>1563</v>
      </c>
      <c r="C1490" s="1">
        <v>45462</v>
      </c>
      <c r="D1490" t="s">
        <v>15</v>
      </c>
      <c r="E1490" t="s">
        <v>16</v>
      </c>
      <c r="F1490" t="s">
        <v>65</v>
      </c>
      <c r="G1490" t="s">
        <v>25</v>
      </c>
      <c r="H1490" t="s">
        <v>59</v>
      </c>
      <c r="I1490" t="s">
        <v>60</v>
      </c>
      <c r="J1490">
        <v>5</v>
      </c>
      <c r="K1490">
        <v>297</v>
      </c>
      <c r="L1490">
        <v>1485</v>
      </c>
      <c r="M1490">
        <v>21</v>
      </c>
      <c r="N1490" t="s">
        <v>33</v>
      </c>
      <c r="O1490">
        <v>4.0999999999999996</v>
      </c>
      <c r="P1490" s="2">
        <f>EOMONTH(Table1[[#This Row],[Order_Date]],0)</f>
        <v>45473</v>
      </c>
      <c r="Q1490" s="3">
        <f>WEEKNUM(Table1[[#This Row],[Order_Date]])</f>
        <v>25</v>
      </c>
      <c r="R1490">
        <f>YEAR(Table1[[#This Row],[Order_Date]])</f>
        <v>2024</v>
      </c>
      <c r="S1490" t="str">
        <f>IF(Table1[[#This Row],[Quantity]]&gt;=3,"Promo","Regular")</f>
        <v>Promo</v>
      </c>
    </row>
    <row r="1491" spans="1:19" x14ac:dyDescent="0.35">
      <c r="A1491" t="s">
        <v>2239</v>
      </c>
      <c r="B1491" t="s">
        <v>1564</v>
      </c>
      <c r="C1491" s="1">
        <v>45553</v>
      </c>
      <c r="D1491" t="s">
        <v>57</v>
      </c>
      <c r="E1491" t="s">
        <v>58</v>
      </c>
      <c r="F1491" t="s">
        <v>72</v>
      </c>
      <c r="G1491" t="s">
        <v>31</v>
      </c>
      <c r="H1491" t="s">
        <v>50</v>
      </c>
      <c r="I1491" t="s">
        <v>20</v>
      </c>
      <c r="J1491">
        <v>4</v>
      </c>
      <c r="K1491">
        <v>402</v>
      </c>
      <c r="L1491">
        <v>1608</v>
      </c>
      <c r="M1491">
        <v>22</v>
      </c>
      <c r="N1491" t="s">
        <v>21</v>
      </c>
      <c r="O1491">
        <v>4.7</v>
      </c>
      <c r="P1491" s="2">
        <f>EOMONTH(Table1[[#This Row],[Order_Date]],0)</f>
        <v>45565</v>
      </c>
      <c r="Q1491" s="3">
        <f>WEEKNUM(Table1[[#This Row],[Order_Date]])</f>
        <v>38</v>
      </c>
      <c r="R1491">
        <f>YEAR(Table1[[#This Row],[Order_Date]])</f>
        <v>2024</v>
      </c>
      <c r="S1491" t="str">
        <f>IF(Table1[[#This Row],[Quantity]]&gt;=3,"Promo","Regular")</f>
        <v>Promo</v>
      </c>
    </row>
    <row r="1492" spans="1:19" x14ac:dyDescent="0.35">
      <c r="A1492" t="s">
        <v>2240</v>
      </c>
      <c r="B1492" t="s">
        <v>1565</v>
      </c>
      <c r="C1492" s="1">
        <v>45450</v>
      </c>
      <c r="D1492" t="s">
        <v>15</v>
      </c>
      <c r="E1492" t="s">
        <v>112</v>
      </c>
      <c r="F1492" t="s">
        <v>24</v>
      </c>
      <c r="G1492" t="s">
        <v>18</v>
      </c>
      <c r="H1492" t="s">
        <v>120</v>
      </c>
      <c r="I1492" t="s">
        <v>60</v>
      </c>
      <c r="J1492">
        <v>2</v>
      </c>
      <c r="K1492">
        <v>266</v>
      </c>
      <c r="L1492">
        <v>532</v>
      </c>
      <c r="M1492">
        <v>51</v>
      </c>
      <c r="N1492" t="s">
        <v>21</v>
      </c>
      <c r="O1492">
        <v>3.3</v>
      </c>
      <c r="P1492" s="2">
        <f>EOMONTH(Table1[[#This Row],[Order_Date]],0)</f>
        <v>45473</v>
      </c>
      <c r="Q1492" s="3">
        <f>WEEKNUM(Table1[[#This Row],[Order_Date]])</f>
        <v>23</v>
      </c>
      <c r="R1492">
        <f>YEAR(Table1[[#This Row],[Order_Date]])</f>
        <v>2024</v>
      </c>
      <c r="S1492" t="str">
        <f>IF(Table1[[#This Row],[Quantity]]&gt;=3,"Promo","Regular")</f>
        <v>Regular</v>
      </c>
    </row>
    <row r="1493" spans="1:19" x14ac:dyDescent="0.35">
      <c r="A1493" t="s">
        <v>2240</v>
      </c>
      <c r="B1493" t="s">
        <v>1566</v>
      </c>
      <c r="C1493" s="1">
        <v>45325</v>
      </c>
      <c r="D1493" t="s">
        <v>57</v>
      </c>
      <c r="E1493" t="s">
        <v>136</v>
      </c>
      <c r="F1493" t="s">
        <v>24</v>
      </c>
      <c r="G1493" t="s">
        <v>25</v>
      </c>
      <c r="H1493" t="s">
        <v>120</v>
      </c>
      <c r="I1493" t="s">
        <v>60</v>
      </c>
      <c r="J1493">
        <v>5</v>
      </c>
      <c r="K1493">
        <v>336</v>
      </c>
      <c r="L1493">
        <v>1680</v>
      </c>
      <c r="M1493">
        <v>53</v>
      </c>
      <c r="N1493" t="s">
        <v>21</v>
      </c>
      <c r="O1493">
        <v>4.4000000000000004</v>
      </c>
      <c r="P1493" s="2">
        <f>EOMONTH(Table1[[#This Row],[Order_Date]],0)</f>
        <v>45351</v>
      </c>
      <c r="Q1493" s="3">
        <f>WEEKNUM(Table1[[#This Row],[Order_Date]])</f>
        <v>5</v>
      </c>
      <c r="R1493">
        <f>YEAR(Table1[[#This Row],[Order_Date]])</f>
        <v>2024</v>
      </c>
      <c r="S1493" t="str">
        <f>IF(Table1[[#This Row],[Quantity]]&gt;=3,"Promo","Regular")</f>
        <v>Promo</v>
      </c>
    </row>
    <row r="1494" spans="1:19" x14ac:dyDescent="0.35">
      <c r="A1494" t="s">
        <v>2241</v>
      </c>
      <c r="B1494" t="s">
        <v>1567</v>
      </c>
      <c r="C1494" s="1">
        <v>45489</v>
      </c>
      <c r="D1494" t="s">
        <v>15</v>
      </c>
      <c r="E1494" t="s">
        <v>112</v>
      </c>
      <c r="F1494" t="s">
        <v>17</v>
      </c>
      <c r="G1494" t="s">
        <v>31</v>
      </c>
      <c r="H1494" t="s">
        <v>53</v>
      </c>
      <c r="I1494" t="s">
        <v>20</v>
      </c>
      <c r="J1494">
        <v>1</v>
      </c>
      <c r="K1494">
        <v>139</v>
      </c>
      <c r="L1494">
        <v>139</v>
      </c>
      <c r="M1494">
        <v>59</v>
      </c>
      <c r="N1494" t="s">
        <v>21</v>
      </c>
      <c r="O1494">
        <v>4.2</v>
      </c>
      <c r="P1494" s="2">
        <f>EOMONTH(Table1[[#This Row],[Order_Date]],0)</f>
        <v>45504</v>
      </c>
      <c r="Q1494" s="3">
        <f>WEEKNUM(Table1[[#This Row],[Order_Date]])</f>
        <v>29</v>
      </c>
      <c r="R1494">
        <f>YEAR(Table1[[#This Row],[Order_Date]])</f>
        <v>2024</v>
      </c>
      <c r="S1494" t="str">
        <f>IF(Table1[[#This Row],[Quantity]]&gt;=3,"Promo","Regular")</f>
        <v>Regular</v>
      </c>
    </row>
    <row r="1495" spans="1:19" x14ac:dyDescent="0.35">
      <c r="A1495" t="s">
        <v>2241</v>
      </c>
      <c r="B1495" t="s">
        <v>1568</v>
      </c>
      <c r="C1495" s="1">
        <v>45508</v>
      </c>
      <c r="D1495" t="s">
        <v>28</v>
      </c>
      <c r="E1495" t="s">
        <v>98</v>
      </c>
      <c r="F1495" t="s">
        <v>30</v>
      </c>
      <c r="G1495" t="s">
        <v>31</v>
      </c>
      <c r="H1495" t="s">
        <v>120</v>
      </c>
      <c r="I1495" t="s">
        <v>60</v>
      </c>
      <c r="J1495">
        <v>4</v>
      </c>
      <c r="K1495">
        <v>194</v>
      </c>
      <c r="L1495">
        <v>776</v>
      </c>
      <c r="M1495">
        <v>56</v>
      </c>
      <c r="N1495" t="s">
        <v>21</v>
      </c>
      <c r="O1495">
        <v>4.7</v>
      </c>
      <c r="P1495" s="2">
        <f>EOMONTH(Table1[[#This Row],[Order_Date]],0)</f>
        <v>45535</v>
      </c>
      <c r="Q1495" s="3">
        <f>WEEKNUM(Table1[[#This Row],[Order_Date]])</f>
        <v>32</v>
      </c>
      <c r="R1495">
        <f>YEAR(Table1[[#This Row],[Order_Date]])</f>
        <v>2024</v>
      </c>
      <c r="S1495" t="str">
        <f>IF(Table1[[#This Row],[Quantity]]&gt;=3,"Promo","Regular")</f>
        <v>Promo</v>
      </c>
    </row>
    <row r="1496" spans="1:19" x14ac:dyDescent="0.35">
      <c r="A1496" t="s">
        <v>2242</v>
      </c>
      <c r="B1496" t="s">
        <v>1569</v>
      </c>
      <c r="C1496" s="1">
        <v>45576</v>
      </c>
      <c r="D1496" t="s">
        <v>28</v>
      </c>
      <c r="E1496" t="s">
        <v>29</v>
      </c>
      <c r="F1496" t="s">
        <v>72</v>
      </c>
      <c r="G1496" t="s">
        <v>25</v>
      </c>
      <c r="H1496" t="s">
        <v>120</v>
      </c>
      <c r="I1496" t="s">
        <v>60</v>
      </c>
      <c r="J1496">
        <v>2</v>
      </c>
      <c r="K1496">
        <v>245</v>
      </c>
      <c r="L1496">
        <v>490</v>
      </c>
      <c r="M1496">
        <v>25</v>
      </c>
      <c r="N1496" t="s">
        <v>33</v>
      </c>
      <c r="O1496">
        <v>4.0999999999999996</v>
      </c>
      <c r="P1496" s="2">
        <f>EOMONTH(Table1[[#This Row],[Order_Date]],0)</f>
        <v>45596</v>
      </c>
      <c r="Q1496" s="3">
        <f>WEEKNUM(Table1[[#This Row],[Order_Date]])</f>
        <v>41</v>
      </c>
      <c r="R1496">
        <f>YEAR(Table1[[#This Row],[Order_Date]])</f>
        <v>2024</v>
      </c>
      <c r="S1496" t="str">
        <f>IF(Table1[[#This Row],[Quantity]]&gt;=3,"Promo","Regular")</f>
        <v>Regular</v>
      </c>
    </row>
    <row r="1497" spans="1:19" x14ac:dyDescent="0.35">
      <c r="A1497" t="s">
        <v>2242</v>
      </c>
      <c r="B1497" t="s">
        <v>1570</v>
      </c>
      <c r="C1497" s="1">
        <v>45577</v>
      </c>
      <c r="D1497" t="s">
        <v>15</v>
      </c>
      <c r="E1497" t="s">
        <v>95</v>
      </c>
      <c r="F1497" t="s">
        <v>41</v>
      </c>
      <c r="G1497" t="s">
        <v>18</v>
      </c>
      <c r="H1497" t="s">
        <v>19</v>
      </c>
      <c r="I1497" t="s">
        <v>20</v>
      </c>
      <c r="J1497">
        <v>2</v>
      </c>
      <c r="K1497">
        <v>308</v>
      </c>
      <c r="L1497">
        <v>616</v>
      </c>
      <c r="M1497">
        <v>28</v>
      </c>
      <c r="N1497" t="s">
        <v>38</v>
      </c>
      <c r="O1497">
        <v>4.0999999999999996</v>
      </c>
      <c r="P1497" s="2">
        <f>EOMONTH(Table1[[#This Row],[Order_Date]],0)</f>
        <v>45596</v>
      </c>
      <c r="Q1497" s="3">
        <f>WEEKNUM(Table1[[#This Row],[Order_Date]])</f>
        <v>41</v>
      </c>
      <c r="R1497">
        <f>YEAR(Table1[[#This Row],[Order_Date]])</f>
        <v>2024</v>
      </c>
      <c r="S1497" t="str">
        <f>IF(Table1[[#This Row],[Quantity]]&gt;=3,"Promo","Regular")</f>
        <v>Regular</v>
      </c>
    </row>
    <row r="1498" spans="1:19" x14ac:dyDescent="0.35">
      <c r="A1498" t="s">
        <v>2242</v>
      </c>
      <c r="B1498" t="s">
        <v>1571</v>
      </c>
      <c r="C1498" s="1">
        <v>45339</v>
      </c>
      <c r="D1498" t="s">
        <v>43</v>
      </c>
      <c r="E1498" t="s">
        <v>82</v>
      </c>
      <c r="F1498" t="s">
        <v>65</v>
      </c>
      <c r="G1498" t="s">
        <v>18</v>
      </c>
      <c r="H1498" t="s">
        <v>26</v>
      </c>
      <c r="I1498" t="s">
        <v>20</v>
      </c>
      <c r="J1498">
        <v>3</v>
      </c>
      <c r="K1498">
        <v>167</v>
      </c>
      <c r="L1498">
        <v>501</v>
      </c>
      <c r="M1498">
        <v>48</v>
      </c>
      <c r="N1498" t="s">
        <v>33</v>
      </c>
      <c r="O1498">
        <v>4.5</v>
      </c>
      <c r="P1498" s="2">
        <f>EOMONTH(Table1[[#This Row],[Order_Date]],0)</f>
        <v>45351</v>
      </c>
      <c r="Q1498" s="3">
        <f>WEEKNUM(Table1[[#This Row],[Order_Date]])</f>
        <v>7</v>
      </c>
      <c r="R1498">
        <f>YEAR(Table1[[#This Row],[Order_Date]])</f>
        <v>2024</v>
      </c>
      <c r="S1498" t="str">
        <f>IF(Table1[[#This Row],[Quantity]]&gt;=3,"Promo","Regular")</f>
        <v>Promo</v>
      </c>
    </row>
    <row r="1499" spans="1:19" x14ac:dyDescent="0.35">
      <c r="A1499" t="s">
        <v>2242</v>
      </c>
      <c r="B1499" t="s">
        <v>1572</v>
      </c>
      <c r="C1499" s="1">
        <v>45378</v>
      </c>
      <c r="D1499" t="s">
        <v>43</v>
      </c>
      <c r="E1499" t="s">
        <v>110</v>
      </c>
      <c r="F1499" t="s">
        <v>35</v>
      </c>
      <c r="G1499" t="s">
        <v>36</v>
      </c>
      <c r="H1499" t="s">
        <v>26</v>
      </c>
      <c r="I1499" t="s">
        <v>20</v>
      </c>
      <c r="J1499">
        <v>3</v>
      </c>
      <c r="K1499">
        <v>122</v>
      </c>
      <c r="L1499">
        <v>366</v>
      </c>
      <c r="M1499">
        <v>28</v>
      </c>
      <c r="N1499" t="s">
        <v>38</v>
      </c>
      <c r="O1499">
        <v>3.6</v>
      </c>
      <c r="P1499" s="2">
        <f>EOMONTH(Table1[[#This Row],[Order_Date]],0)</f>
        <v>45382</v>
      </c>
      <c r="Q1499" s="3">
        <f>WEEKNUM(Table1[[#This Row],[Order_Date]])</f>
        <v>13</v>
      </c>
      <c r="R1499">
        <f>YEAR(Table1[[#This Row],[Order_Date]])</f>
        <v>2024</v>
      </c>
      <c r="S1499" t="str">
        <f>IF(Table1[[#This Row],[Quantity]]&gt;=3,"Promo","Regular")</f>
        <v>Promo</v>
      </c>
    </row>
    <row r="1500" spans="1:19" x14ac:dyDescent="0.35">
      <c r="A1500" t="s">
        <v>2243</v>
      </c>
      <c r="B1500" t="s">
        <v>1573</v>
      </c>
      <c r="C1500" s="1">
        <v>45409</v>
      </c>
      <c r="D1500" t="s">
        <v>15</v>
      </c>
      <c r="E1500" t="s">
        <v>95</v>
      </c>
      <c r="F1500" t="s">
        <v>65</v>
      </c>
      <c r="G1500" t="s">
        <v>73</v>
      </c>
      <c r="H1500" t="s">
        <v>53</v>
      </c>
      <c r="I1500" t="s">
        <v>20</v>
      </c>
      <c r="J1500">
        <v>4</v>
      </c>
      <c r="K1500">
        <v>298</v>
      </c>
      <c r="L1500">
        <v>1192</v>
      </c>
      <c r="M1500">
        <v>20</v>
      </c>
      <c r="N1500" t="s">
        <v>21</v>
      </c>
      <c r="O1500">
        <v>5</v>
      </c>
      <c r="P1500" s="2">
        <f>EOMONTH(Table1[[#This Row],[Order_Date]],0)</f>
        <v>45412</v>
      </c>
      <c r="Q1500" s="3">
        <f>WEEKNUM(Table1[[#This Row],[Order_Date]])</f>
        <v>17</v>
      </c>
      <c r="R1500">
        <f>YEAR(Table1[[#This Row],[Order_Date]])</f>
        <v>2024</v>
      </c>
      <c r="S1500" t="str">
        <f>IF(Table1[[#This Row],[Quantity]]&gt;=3,"Promo","Regular")</f>
        <v>Promo</v>
      </c>
    </row>
    <row r="1501" spans="1:19" x14ac:dyDescent="0.35">
      <c r="A1501" t="s">
        <v>2243</v>
      </c>
      <c r="B1501" t="s">
        <v>1574</v>
      </c>
      <c r="C1501" s="1">
        <v>45510</v>
      </c>
      <c r="D1501" t="s">
        <v>57</v>
      </c>
      <c r="E1501" t="s">
        <v>136</v>
      </c>
      <c r="F1501" t="s">
        <v>30</v>
      </c>
      <c r="G1501" t="s">
        <v>36</v>
      </c>
      <c r="H1501" t="s">
        <v>55</v>
      </c>
      <c r="I1501" t="s">
        <v>20</v>
      </c>
      <c r="J1501">
        <v>1</v>
      </c>
      <c r="K1501">
        <v>458</v>
      </c>
      <c r="L1501">
        <v>458</v>
      </c>
      <c r="M1501">
        <v>49</v>
      </c>
      <c r="N1501" t="s">
        <v>21</v>
      </c>
      <c r="O1501">
        <v>3.7</v>
      </c>
      <c r="P1501" s="2">
        <f>EOMONTH(Table1[[#This Row],[Order_Date]],0)</f>
        <v>45535</v>
      </c>
      <c r="Q1501" s="3">
        <f>WEEKNUM(Table1[[#This Row],[Order_Date]])</f>
        <v>32</v>
      </c>
      <c r="R1501">
        <f>YEAR(Table1[[#This Row],[Order_Date]])</f>
        <v>2024</v>
      </c>
      <c r="S1501" t="str">
        <f>IF(Table1[[#This Row],[Quantity]]&gt;=3,"Promo","Regular")</f>
        <v>Regular</v>
      </c>
    </row>
    <row r="1502" spans="1:19" x14ac:dyDescent="0.35">
      <c r="A1502" t="s">
        <v>2243</v>
      </c>
      <c r="B1502" t="s">
        <v>1575</v>
      </c>
      <c r="C1502" s="1">
        <v>45353</v>
      </c>
      <c r="D1502" t="s">
        <v>15</v>
      </c>
      <c r="E1502" t="s">
        <v>16</v>
      </c>
      <c r="F1502" t="s">
        <v>17</v>
      </c>
      <c r="G1502" t="s">
        <v>18</v>
      </c>
      <c r="H1502" t="s">
        <v>59</v>
      </c>
      <c r="I1502" t="s">
        <v>60</v>
      </c>
      <c r="J1502">
        <v>3</v>
      </c>
      <c r="K1502">
        <v>104</v>
      </c>
      <c r="L1502">
        <v>312</v>
      </c>
      <c r="M1502">
        <v>27</v>
      </c>
      <c r="N1502" t="s">
        <v>38</v>
      </c>
      <c r="O1502">
        <v>3.4</v>
      </c>
      <c r="P1502" s="2">
        <f>EOMONTH(Table1[[#This Row],[Order_Date]],0)</f>
        <v>45382</v>
      </c>
      <c r="Q1502" s="3">
        <f>WEEKNUM(Table1[[#This Row],[Order_Date]])</f>
        <v>9</v>
      </c>
      <c r="R1502">
        <f>YEAR(Table1[[#This Row],[Order_Date]])</f>
        <v>2024</v>
      </c>
      <c r="S1502" t="str">
        <f>IF(Table1[[#This Row],[Quantity]]&gt;=3,"Promo","Regular")</f>
        <v>Promo</v>
      </c>
    </row>
    <row r="1503" spans="1:19" x14ac:dyDescent="0.35">
      <c r="A1503" t="s">
        <v>2243</v>
      </c>
      <c r="B1503" t="s">
        <v>1576</v>
      </c>
      <c r="C1503" s="1">
        <v>45517</v>
      </c>
      <c r="D1503" t="s">
        <v>15</v>
      </c>
      <c r="E1503" t="s">
        <v>23</v>
      </c>
      <c r="F1503" t="s">
        <v>24</v>
      </c>
      <c r="G1503" t="s">
        <v>25</v>
      </c>
      <c r="H1503" t="s">
        <v>26</v>
      </c>
      <c r="I1503" t="s">
        <v>20</v>
      </c>
      <c r="J1503">
        <v>4</v>
      </c>
      <c r="K1503">
        <v>225</v>
      </c>
      <c r="L1503">
        <v>900</v>
      </c>
      <c r="M1503">
        <v>25</v>
      </c>
      <c r="N1503" t="s">
        <v>21</v>
      </c>
      <c r="O1503">
        <v>3</v>
      </c>
      <c r="P1503" s="2">
        <f>EOMONTH(Table1[[#This Row],[Order_Date]],0)</f>
        <v>45535</v>
      </c>
      <c r="Q1503" s="3">
        <f>WEEKNUM(Table1[[#This Row],[Order_Date]])</f>
        <v>33</v>
      </c>
      <c r="R1503">
        <f>YEAR(Table1[[#This Row],[Order_Date]])</f>
        <v>2024</v>
      </c>
      <c r="S1503" t="str">
        <f>IF(Table1[[#This Row],[Quantity]]&gt;=3,"Promo","Regular")</f>
        <v>Promo</v>
      </c>
    </row>
    <row r="1504" spans="1:19" x14ac:dyDescent="0.35">
      <c r="A1504" t="s">
        <v>2243</v>
      </c>
      <c r="B1504" t="s">
        <v>1577</v>
      </c>
      <c r="C1504" s="1">
        <v>45383</v>
      </c>
      <c r="D1504" t="s">
        <v>28</v>
      </c>
      <c r="E1504" t="s">
        <v>29</v>
      </c>
      <c r="F1504" t="s">
        <v>30</v>
      </c>
      <c r="G1504" t="s">
        <v>31</v>
      </c>
      <c r="H1504" t="s">
        <v>55</v>
      </c>
      <c r="I1504" t="s">
        <v>20</v>
      </c>
      <c r="J1504">
        <v>2</v>
      </c>
      <c r="K1504">
        <v>106</v>
      </c>
      <c r="L1504">
        <v>212</v>
      </c>
      <c r="M1504">
        <v>55</v>
      </c>
      <c r="N1504" t="s">
        <v>33</v>
      </c>
      <c r="O1504">
        <v>3.9</v>
      </c>
      <c r="P1504" s="2">
        <f>EOMONTH(Table1[[#This Row],[Order_Date]],0)</f>
        <v>45412</v>
      </c>
      <c r="Q1504" s="3">
        <f>WEEKNUM(Table1[[#This Row],[Order_Date]])</f>
        <v>14</v>
      </c>
      <c r="R1504">
        <f>YEAR(Table1[[#This Row],[Order_Date]])</f>
        <v>2024</v>
      </c>
      <c r="S1504" t="str">
        <f>IF(Table1[[#This Row],[Quantity]]&gt;=3,"Promo","Regular")</f>
        <v>Regular</v>
      </c>
    </row>
    <row r="1505" spans="1:19" x14ac:dyDescent="0.35">
      <c r="A1505" t="s">
        <v>2244</v>
      </c>
      <c r="B1505" t="s">
        <v>1578</v>
      </c>
      <c r="C1505" s="1">
        <v>45310</v>
      </c>
      <c r="D1505" t="s">
        <v>15</v>
      </c>
      <c r="E1505" t="s">
        <v>23</v>
      </c>
      <c r="F1505" t="s">
        <v>35</v>
      </c>
      <c r="G1505" t="s">
        <v>36</v>
      </c>
      <c r="H1505" t="s">
        <v>53</v>
      </c>
      <c r="I1505" t="s">
        <v>20</v>
      </c>
      <c r="J1505">
        <v>5</v>
      </c>
      <c r="K1505">
        <v>337</v>
      </c>
      <c r="L1505">
        <v>1685</v>
      </c>
      <c r="M1505">
        <v>20</v>
      </c>
      <c r="N1505" t="s">
        <v>33</v>
      </c>
      <c r="O1505">
        <v>3.1</v>
      </c>
      <c r="P1505" s="2">
        <f>EOMONTH(Table1[[#This Row],[Order_Date]],0)</f>
        <v>45322</v>
      </c>
      <c r="Q1505" s="3">
        <f>WEEKNUM(Table1[[#This Row],[Order_Date]])</f>
        <v>3</v>
      </c>
      <c r="R1505">
        <f>YEAR(Table1[[#This Row],[Order_Date]])</f>
        <v>2024</v>
      </c>
      <c r="S1505" t="str">
        <f>IF(Table1[[#This Row],[Quantity]]&gt;=3,"Promo","Regular")</f>
        <v>Promo</v>
      </c>
    </row>
    <row r="1506" spans="1:19" x14ac:dyDescent="0.35">
      <c r="A1506" t="s">
        <v>2244</v>
      </c>
      <c r="B1506" t="s">
        <v>1579</v>
      </c>
      <c r="C1506" s="1">
        <v>45539</v>
      </c>
      <c r="D1506" t="s">
        <v>28</v>
      </c>
      <c r="E1506" t="s">
        <v>40</v>
      </c>
      <c r="F1506" t="s">
        <v>41</v>
      </c>
      <c r="G1506" t="s">
        <v>25</v>
      </c>
      <c r="H1506" t="s">
        <v>19</v>
      </c>
      <c r="I1506" t="s">
        <v>20</v>
      </c>
      <c r="J1506">
        <v>3</v>
      </c>
      <c r="K1506">
        <v>332</v>
      </c>
      <c r="L1506">
        <v>996</v>
      </c>
      <c r="M1506">
        <v>35</v>
      </c>
      <c r="N1506" t="s">
        <v>21</v>
      </c>
      <c r="O1506">
        <v>5</v>
      </c>
      <c r="P1506" s="2">
        <f>EOMONTH(Table1[[#This Row],[Order_Date]],0)</f>
        <v>45565</v>
      </c>
      <c r="Q1506" s="3">
        <f>WEEKNUM(Table1[[#This Row],[Order_Date]])</f>
        <v>36</v>
      </c>
      <c r="R1506">
        <f>YEAR(Table1[[#This Row],[Order_Date]])</f>
        <v>2024</v>
      </c>
      <c r="S1506" t="str">
        <f>IF(Table1[[#This Row],[Quantity]]&gt;=3,"Promo","Regular")</f>
        <v>Promo</v>
      </c>
    </row>
    <row r="1507" spans="1:19" x14ac:dyDescent="0.35">
      <c r="A1507" t="s">
        <v>2244</v>
      </c>
      <c r="B1507" t="s">
        <v>1580</v>
      </c>
      <c r="C1507" s="1">
        <v>45361</v>
      </c>
      <c r="D1507" t="s">
        <v>43</v>
      </c>
      <c r="E1507" t="s">
        <v>44</v>
      </c>
      <c r="F1507" t="s">
        <v>45</v>
      </c>
      <c r="G1507" t="s">
        <v>46</v>
      </c>
      <c r="H1507" t="s">
        <v>120</v>
      </c>
      <c r="I1507" t="s">
        <v>60</v>
      </c>
      <c r="J1507">
        <v>1</v>
      </c>
      <c r="K1507">
        <v>344</v>
      </c>
      <c r="L1507">
        <v>344</v>
      </c>
      <c r="M1507">
        <v>26</v>
      </c>
      <c r="N1507" t="s">
        <v>33</v>
      </c>
      <c r="O1507">
        <v>4.4000000000000004</v>
      </c>
      <c r="P1507" s="2">
        <f>EOMONTH(Table1[[#This Row],[Order_Date]],0)</f>
        <v>45382</v>
      </c>
      <c r="Q1507" s="3">
        <f>WEEKNUM(Table1[[#This Row],[Order_Date]])</f>
        <v>11</v>
      </c>
      <c r="R1507">
        <f>YEAR(Table1[[#This Row],[Order_Date]])</f>
        <v>2024</v>
      </c>
      <c r="S1507" t="str">
        <f>IF(Table1[[#This Row],[Quantity]]&gt;=3,"Promo","Regular")</f>
        <v>Regular</v>
      </c>
    </row>
    <row r="1508" spans="1:19" x14ac:dyDescent="0.35">
      <c r="A1508" t="s">
        <v>2245</v>
      </c>
      <c r="B1508" t="s">
        <v>1581</v>
      </c>
      <c r="C1508" s="1">
        <v>45353</v>
      </c>
      <c r="D1508" t="s">
        <v>48</v>
      </c>
      <c r="E1508" t="s">
        <v>49</v>
      </c>
      <c r="F1508" t="s">
        <v>17</v>
      </c>
      <c r="G1508" t="s">
        <v>36</v>
      </c>
      <c r="H1508" t="s">
        <v>55</v>
      </c>
      <c r="I1508" t="s">
        <v>20</v>
      </c>
      <c r="J1508">
        <v>1</v>
      </c>
      <c r="K1508">
        <v>408</v>
      </c>
      <c r="L1508">
        <v>408</v>
      </c>
      <c r="M1508">
        <v>56</v>
      </c>
      <c r="N1508" t="s">
        <v>21</v>
      </c>
      <c r="O1508">
        <v>4</v>
      </c>
      <c r="P1508" s="2">
        <f>EOMONTH(Table1[[#This Row],[Order_Date]],0)</f>
        <v>45382</v>
      </c>
      <c r="Q1508" s="3">
        <f>WEEKNUM(Table1[[#This Row],[Order_Date]])</f>
        <v>9</v>
      </c>
      <c r="R1508">
        <f>YEAR(Table1[[#This Row],[Order_Date]])</f>
        <v>2024</v>
      </c>
      <c r="S1508" t="str">
        <f>IF(Table1[[#This Row],[Quantity]]&gt;=3,"Promo","Regular")</f>
        <v>Regular</v>
      </c>
    </row>
    <row r="1509" spans="1:19" x14ac:dyDescent="0.35">
      <c r="A1509" t="s">
        <v>2245</v>
      </c>
      <c r="B1509" t="s">
        <v>1582</v>
      </c>
      <c r="C1509" s="1">
        <v>45292</v>
      </c>
      <c r="D1509" t="s">
        <v>43</v>
      </c>
      <c r="E1509" t="s">
        <v>52</v>
      </c>
      <c r="F1509" t="s">
        <v>24</v>
      </c>
      <c r="G1509" t="s">
        <v>18</v>
      </c>
      <c r="H1509" t="s">
        <v>32</v>
      </c>
      <c r="I1509" t="s">
        <v>20</v>
      </c>
      <c r="J1509">
        <v>5</v>
      </c>
      <c r="K1509">
        <v>187</v>
      </c>
      <c r="L1509">
        <v>935</v>
      </c>
      <c r="M1509">
        <v>36</v>
      </c>
      <c r="N1509" t="s">
        <v>33</v>
      </c>
      <c r="O1509">
        <v>3.5</v>
      </c>
      <c r="P1509" s="2">
        <f>EOMONTH(Table1[[#This Row],[Order_Date]],0)</f>
        <v>45322</v>
      </c>
      <c r="Q1509" s="3">
        <f>WEEKNUM(Table1[[#This Row],[Order_Date]])</f>
        <v>1</v>
      </c>
      <c r="R1509">
        <f>YEAR(Table1[[#This Row],[Order_Date]])</f>
        <v>2024</v>
      </c>
      <c r="S1509" t="str">
        <f>IF(Table1[[#This Row],[Quantity]]&gt;=3,"Promo","Regular")</f>
        <v>Promo</v>
      </c>
    </row>
    <row r="1510" spans="1:19" x14ac:dyDescent="0.35">
      <c r="A1510" t="s">
        <v>2245</v>
      </c>
      <c r="B1510" t="s">
        <v>1583</v>
      </c>
      <c r="C1510" s="1">
        <v>45467</v>
      </c>
      <c r="D1510" t="s">
        <v>28</v>
      </c>
      <c r="E1510" t="s">
        <v>40</v>
      </c>
      <c r="F1510" t="s">
        <v>17</v>
      </c>
      <c r="G1510" t="s">
        <v>25</v>
      </c>
      <c r="H1510" t="s">
        <v>32</v>
      </c>
      <c r="I1510" t="s">
        <v>20</v>
      </c>
      <c r="J1510">
        <v>4</v>
      </c>
      <c r="K1510">
        <v>222</v>
      </c>
      <c r="L1510">
        <v>888</v>
      </c>
      <c r="M1510">
        <v>31</v>
      </c>
      <c r="N1510" t="s">
        <v>21</v>
      </c>
      <c r="O1510">
        <v>3.1</v>
      </c>
      <c r="P1510" s="2">
        <f>EOMONTH(Table1[[#This Row],[Order_Date]],0)</f>
        <v>45473</v>
      </c>
      <c r="Q1510" s="3">
        <f>WEEKNUM(Table1[[#This Row],[Order_Date]])</f>
        <v>26</v>
      </c>
      <c r="R1510">
        <f>YEAR(Table1[[#This Row],[Order_Date]])</f>
        <v>2024</v>
      </c>
      <c r="S1510" t="str">
        <f>IF(Table1[[#This Row],[Quantity]]&gt;=3,"Promo","Regular")</f>
        <v>Promo</v>
      </c>
    </row>
    <row r="1511" spans="1:19" x14ac:dyDescent="0.35">
      <c r="A1511" t="s">
        <v>2245</v>
      </c>
      <c r="B1511" t="s">
        <v>1584</v>
      </c>
      <c r="C1511" s="1">
        <v>45422</v>
      </c>
      <c r="D1511" t="s">
        <v>57</v>
      </c>
      <c r="E1511" t="s">
        <v>58</v>
      </c>
      <c r="F1511" t="s">
        <v>45</v>
      </c>
      <c r="G1511" t="s">
        <v>31</v>
      </c>
      <c r="H1511" t="s">
        <v>26</v>
      </c>
      <c r="I1511" t="s">
        <v>20</v>
      </c>
      <c r="J1511">
        <v>1</v>
      </c>
      <c r="K1511">
        <v>360</v>
      </c>
      <c r="L1511">
        <v>360</v>
      </c>
      <c r="M1511">
        <v>46</v>
      </c>
      <c r="N1511" t="s">
        <v>21</v>
      </c>
      <c r="O1511">
        <v>3.9</v>
      </c>
      <c r="P1511" s="2">
        <f>EOMONTH(Table1[[#This Row],[Order_Date]],0)</f>
        <v>45443</v>
      </c>
      <c r="Q1511" s="3">
        <f>WEEKNUM(Table1[[#This Row],[Order_Date]])</f>
        <v>19</v>
      </c>
      <c r="R1511">
        <f>YEAR(Table1[[#This Row],[Order_Date]])</f>
        <v>2024</v>
      </c>
      <c r="S1511" t="str">
        <f>IF(Table1[[#This Row],[Quantity]]&gt;=3,"Promo","Regular")</f>
        <v>Regular</v>
      </c>
    </row>
    <row r="1512" spans="1:19" x14ac:dyDescent="0.35">
      <c r="A1512" t="s">
        <v>2246</v>
      </c>
      <c r="B1512" t="s">
        <v>1585</v>
      </c>
      <c r="C1512" s="1">
        <v>45538</v>
      </c>
      <c r="D1512" t="s">
        <v>57</v>
      </c>
      <c r="E1512" t="s">
        <v>62</v>
      </c>
      <c r="F1512" t="s">
        <v>41</v>
      </c>
      <c r="G1512" t="s">
        <v>18</v>
      </c>
      <c r="H1512" t="s">
        <v>53</v>
      </c>
      <c r="I1512" t="s">
        <v>20</v>
      </c>
      <c r="J1512">
        <v>3</v>
      </c>
      <c r="K1512">
        <v>425</v>
      </c>
      <c r="L1512">
        <v>1275</v>
      </c>
      <c r="M1512">
        <v>57</v>
      </c>
      <c r="N1512" t="s">
        <v>21</v>
      </c>
      <c r="O1512">
        <v>3.9</v>
      </c>
      <c r="P1512" s="2">
        <f>EOMONTH(Table1[[#This Row],[Order_Date]],0)</f>
        <v>45565</v>
      </c>
      <c r="Q1512" s="3">
        <f>WEEKNUM(Table1[[#This Row],[Order_Date]])</f>
        <v>36</v>
      </c>
      <c r="R1512">
        <f>YEAR(Table1[[#This Row],[Order_Date]])</f>
        <v>2024</v>
      </c>
      <c r="S1512" t="str">
        <f>IF(Table1[[#This Row],[Quantity]]&gt;=3,"Promo","Regular")</f>
        <v>Promo</v>
      </c>
    </row>
    <row r="1513" spans="1:19" x14ac:dyDescent="0.35">
      <c r="A1513" t="s">
        <v>2246</v>
      </c>
      <c r="B1513" t="s">
        <v>1586</v>
      </c>
      <c r="C1513" s="1">
        <v>45380</v>
      </c>
      <c r="D1513" t="s">
        <v>48</v>
      </c>
      <c r="E1513" t="s">
        <v>64</v>
      </c>
      <c r="F1513" t="s">
        <v>65</v>
      </c>
      <c r="G1513" t="s">
        <v>36</v>
      </c>
      <c r="H1513" t="s">
        <v>120</v>
      </c>
      <c r="I1513" t="s">
        <v>60</v>
      </c>
      <c r="J1513">
        <v>3</v>
      </c>
      <c r="K1513">
        <v>398</v>
      </c>
      <c r="L1513">
        <v>1194</v>
      </c>
      <c r="M1513">
        <v>47</v>
      </c>
      <c r="N1513" t="s">
        <v>33</v>
      </c>
      <c r="O1513">
        <v>4.5</v>
      </c>
      <c r="P1513" s="2">
        <f>EOMONTH(Table1[[#This Row],[Order_Date]],0)</f>
        <v>45382</v>
      </c>
      <c r="Q1513" s="3">
        <f>WEEKNUM(Table1[[#This Row],[Order_Date]])</f>
        <v>13</v>
      </c>
      <c r="R1513">
        <f>YEAR(Table1[[#This Row],[Order_Date]])</f>
        <v>2024</v>
      </c>
      <c r="S1513" t="str">
        <f>IF(Table1[[#This Row],[Quantity]]&gt;=3,"Promo","Regular")</f>
        <v>Promo</v>
      </c>
    </row>
    <row r="1514" spans="1:19" x14ac:dyDescent="0.35">
      <c r="A1514" t="s">
        <v>2247</v>
      </c>
      <c r="B1514" t="s">
        <v>1587</v>
      </c>
      <c r="C1514" s="1">
        <v>45357</v>
      </c>
      <c r="D1514" t="s">
        <v>48</v>
      </c>
      <c r="E1514" t="s">
        <v>68</v>
      </c>
      <c r="F1514" t="s">
        <v>69</v>
      </c>
      <c r="G1514" t="s">
        <v>25</v>
      </c>
      <c r="H1514" t="s">
        <v>55</v>
      </c>
      <c r="I1514" t="s">
        <v>20</v>
      </c>
      <c r="J1514">
        <v>3</v>
      </c>
      <c r="K1514">
        <v>172</v>
      </c>
      <c r="L1514">
        <v>516</v>
      </c>
      <c r="M1514">
        <v>47</v>
      </c>
      <c r="N1514" t="s">
        <v>33</v>
      </c>
      <c r="O1514">
        <v>3.4</v>
      </c>
      <c r="P1514" s="2">
        <f>EOMONTH(Table1[[#This Row],[Order_Date]],0)</f>
        <v>45382</v>
      </c>
      <c r="Q1514" s="3">
        <f>WEEKNUM(Table1[[#This Row],[Order_Date]])</f>
        <v>10</v>
      </c>
      <c r="R1514">
        <f>YEAR(Table1[[#This Row],[Order_Date]])</f>
        <v>2024</v>
      </c>
      <c r="S1514" t="str">
        <f>IF(Table1[[#This Row],[Quantity]]&gt;=3,"Promo","Regular")</f>
        <v>Promo</v>
      </c>
    </row>
    <row r="1515" spans="1:19" x14ac:dyDescent="0.35">
      <c r="A1515" t="s">
        <v>2247</v>
      </c>
      <c r="B1515" t="s">
        <v>1588</v>
      </c>
      <c r="C1515" s="1">
        <v>45567</v>
      </c>
      <c r="D1515" t="s">
        <v>28</v>
      </c>
      <c r="E1515" t="s">
        <v>71</v>
      </c>
      <c r="F1515" t="s">
        <v>72</v>
      </c>
      <c r="G1515" t="s">
        <v>73</v>
      </c>
      <c r="H1515" t="s">
        <v>66</v>
      </c>
      <c r="I1515" t="s">
        <v>20</v>
      </c>
      <c r="J1515">
        <v>1</v>
      </c>
      <c r="K1515">
        <v>141</v>
      </c>
      <c r="L1515">
        <v>141</v>
      </c>
      <c r="M1515">
        <v>46</v>
      </c>
      <c r="N1515" t="s">
        <v>38</v>
      </c>
      <c r="O1515">
        <v>3.2</v>
      </c>
      <c r="P1515" s="2">
        <f>EOMONTH(Table1[[#This Row],[Order_Date]],0)</f>
        <v>45596</v>
      </c>
      <c r="Q1515" s="3">
        <f>WEEKNUM(Table1[[#This Row],[Order_Date]])</f>
        <v>40</v>
      </c>
      <c r="R1515">
        <f>YEAR(Table1[[#This Row],[Order_Date]])</f>
        <v>2024</v>
      </c>
      <c r="S1515" t="str">
        <f>IF(Table1[[#This Row],[Quantity]]&gt;=3,"Promo","Regular")</f>
        <v>Regular</v>
      </c>
    </row>
    <row r="1516" spans="1:19" x14ac:dyDescent="0.35">
      <c r="A1516" t="s">
        <v>2248</v>
      </c>
      <c r="B1516" t="s">
        <v>1589</v>
      </c>
      <c r="C1516" s="1">
        <v>45335</v>
      </c>
      <c r="D1516" t="s">
        <v>57</v>
      </c>
      <c r="E1516" t="s">
        <v>75</v>
      </c>
      <c r="F1516" t="s">
        <v>69</v>
      </c>
      <c r="G1516" t="s">
        <v>36</v>
      </c>
      <c r="H1516" t="s">
        <v>50</v>
      </c>
      <c r="I1516" t="s">
        <v>20</v>
      </c>
      <c r="J1516">
        <v>1</v>
      </c>
      <c r="K1516">
        <v>158</v>
      </c>
      <c r="L1516">
        <v>158</v>
      </c>
      <c r="M1516">
        <v>53</v>
      </c>
      <c r="N1516" t="s">
        <v>21</v>
      </c>
      <c r="O1516">
        <v>3.8</v>
      </c>
      <c r="P1516" s="2">
        <f>EOMONTH(Table1[[#This Row],[Order_Date]],0)</f>
        <v>45351</v>
      </c>
      <c r="Q1516" s="3">
        <f>WEEKNUM(Table1[[#This Row],[Order_Date]])</f>
        <v>7</v>
      </c>
      <c r="R1516">
        <f>YEAR(Table1[[#This Row],[Order_Date]])</f>
        <v>2024</v>
      </c>
      <c r="S1516" t="str">
        <f>IF(Table1[[#This Row],[Quantity]]&gt;=3,"Promo","Regular")</f>
        <v>Regular</v>
      </c>
    </row>
    <row r="1517" spans="1:19" x14ac:dyDescent="0.35">
      <c r="A1517" t="s">
        <v>2248</v>
      </c>
      <c r="B1517" t="s">
        <v>1590</v>
      </c>
      <c r="C1517" s="1">
        <v>45370</v>
      </c>
      <c r="D1517" t="s">
        <v>28</v>
      </c>
      <c r="E1517" t="s">
        <v>77</v>
      </c>
      <c r="F1517" t="s">
        <v>45</v>
      </c>
      <c r="G1517" t="s">
        <v>18</v>
      </c>
      <c r="H1517" t="s">
        <v>59</v>
      </c>
      <c r="I1517" t="s">
        <v>60</v>
      </c>
      <c r="J1517">
        <v>4</v>
      </c>
      <c r="K1517">
        <v>284</v>
      </c>
      <c r="L1517">
        <v>1136</v>
      </c>
      <c r="M1517">
        <v>35</v>
      </c>
      <c r="N1517" t="s">
        <v>38</v>
      </c>
      <c r="O1517">
        <v>4.5</v>
      </c>
      <c r="P1517" s="2">
        <f>EOMONTH(Table1[[#This Row],[Order_Date]],0)</f>
        <v>45382</v>
      </c>
      <c r="Q1517" s="3">
        <f>WEEKNUM(Table1[[#This Row],[Order_Date]])</f>
        <v>12</v>
      </c>
      <c r="R1517">
        <f>YEAR(Table1[[#This Row],[Order_Date]])</f>
        <v>2024</v>
      </c>
      <c r="S1517" t="str">
        <f>IF(Table1[[#This Row],[Quantity]]&gt;=3,"Promo","Regular")</f>
        <v>Promo</v>
      </c>
    </row>
    <row r="1518" spans="1:19" x14ac:dyDescent="0.35">
      <c r="A1518" t="s">
        <v>2248</v>
      </c>
      <c r="B1518" t="s">
        <v>1591</v>
      </c>
      <c r="C1518" s="1">
        <v>45412</v>
      </c>
      <c r="D1518" t="s">
        <v>43</v>
      </c>
      <c r="E1518" t="s">
        <v>52</v>
      </c>
      <c r="F1518" t="s">
        <v>45</v>
      </c>
      <c r="G1518" t="s">
        <v>73</v>
      </c>
      <c r="H1518" t="s">
        <v>32</v>
      </c>
      <c r="I1518" t="s">
        <v>20</v>
      </c>
      <c r="J1518">
        <v>4</v>
      </c>
      <c r="K1518">
        <v>498</v>
      </c>
      <c r="L1518">
        <v>1992</v>
      </c>
      <c r="M1518">
        <v>22</v>
      </c>
      <c r="N1518" t="s">
        <v>33</v>
      </c>
      <c r="O1518">
        <v>4.0999999999999996</v>
      </c>
      <c r="P1518" s="2">
        <f>EOMONTH(Table1[[#This Row],[Order_Date]],0)</f>
        <v>45412</v>
      </c>
      <c r="Q1518" s="3">
        <f>WEEKNUM(Table1[[#This Row],[Order_Date]])</f>
        <v>18</v>
      </c>
      <c r="R1518">
        <f>YEAR(Table1[[#This Row],[Order_Date]])</f>
        <v>2024</v>
      </c>
      <c r="S1518" t="str">
        <f>IF(Table1[[#This Row],[Quantity]]&gt;=3,"Promo","Regular")</f>
        <v>Promo</v>
      </c>
    </row>
    <row r="1519" spans="1:19" x14ac:dyDescent="0.35">
      <c r="A1519" t="s">
        <v>2248</v>
      </c>
      <c r="B1519" t="s">
        <v>1592</v>
      </c>
      <c r="C1519" s="1">
        <v>45547</v>
      </c>
      <c r="D1519" t="s">
        <v>15</v>
      </c>
      <c r="E1519" t="s">
        <v>16</v>
      </c>
      <c r="F1519" t="s">
        <v>45</v>
      </c>
      <c r="G1519" t="s">
        <v>46</v>
      </c>
      <c r="H1519" t="s">
        <v>37</v>
      </c>
      <c r="I1519" t="s">
        <v>20</v>
      </c>
      <c r="J1519">
        <v>3</v>
      </c>
      <c r="K1519">
        <v>298</v>
      </c>
      <c r="L1519">
        <v>894</v>
      </c>
      <c r="M1519">
        <v>20</v>
      </c>
      <c r="N1519" t="s">
        <v>38</v>
      </c>
      <c r="O1519">
        <v>4.7</v>
      </c>
      <c r="P1519" s="2">
        <f>EOMONTH(Table1[[#This Row],[Order_Date]],0)</f>
        <v>45565</v>
      </c>
      <c r="Q1519" s="3">
        <f>WEEKNUM(Table1[[#This Row],[Order_Date]])</f>
        <v>37</v>
      </c>
      <c r="R1519">
        <f>YEAR(Table1[[#This Row],[Order_Date]])</f>
        <v>2024</v>
      </c>
      <c r="S1519" t="str">
        <f>IF(Table1[[#This Row],[Quantity]]&gt;=3,"Promo","Regular")</f>
        <v>Promo</v>
      </c>
    </row>
    <row r="1520" spans="1:19" x14ac:dyDescent="0.35">
      <c r="A1520" t="s">
        <v>2248</v>
      </c>
      <c r="B1520" t="s">
        <v>1593</v>
      </c>
      <c r="C1520" s="1">
        <v>45505</v>
      </c>
      <c r="D1520" t="s">
        <v>28</v>
      </c>
      <c r="E1520" t="s">
        <v>77</v>
      </c>
      <c r="F1520" t="s">
        <v>17</v>
      </c>
      <c r="G1520" t="s">
        <v>46</v>
      </c>
      <c r="H1520" t="s">
        <v>59</v>
      </c>
      <c r="I1520" t="s">
        <v>60</v>
      </c>
      <c r="J1520">
        <v>5</v>
      </c>
      <c r="K1520">
        <v>390</v>
      </c>
      <c r="L1520">
        <v>1950</v>
      </c>
      <c r="M1520">
        <v>38</v>
      </c>
      <c r="N1520" t="s">
        <v>38</v>
      </c>
      <c r="O1520">
        <v>3.3</v>
      </c>
      <c r="P1520" s="2">
        <f>EOMONTH(Table1[[#This Row],[Order_Date]],0)</f>
        <v>45535</v>
      </c>
      <c r="Q1520" s="3">
        <f>WEEKNUM(Table1[[#This Row],[Order_Date]])</f>
        <v>31</v>
      </c>
      <c r="R1520">
        <f>YEAR(Table1[[#This Row],[Order_Date]])</f>
        <v>2024</v>
      </c>
      <c r="S1520" t="str">
        <f>IF(Table1[[#This Row],[Quantity]]&gt;=3,"Promo","Regular")</f>
        <v>Promo</v>
      </c>
    </row>
    <row r="1521" spans="1:19" x14ac:dyDescent="0.35">
      <c r="A1521" t="s">
        <v>2249</v>
      </c>
      <c r="B1521" t="s">
        <v>1594</v>
      </c>
      <c r="C1521" s="1">
        <v>45334</v>
      </c>
      <c r="D1521" t="s">
        <v>43</v>
      </c>
      <c r="E1521" t="s">
        <v>82</v>
      </c>
      <c r="F1521" t="s">
        <v>30</v>
      </c>
      <c r="G1521" t="s">
        <v>25</v>
      </c>
      <c r="H1521" t="s">
        <v>26</v>
      </c>
      <c r="I1521" t="s">
        <v>20</v>
      </c>
      <c r="J1521">
        <v>5</v>
      </c>
      <c r="K1521">
        <v>180</v>
      </c>
      <c r="L1521">
        <v>900</v>
      </c>
      <c r="M1521">
        <v>37</v>
      </c>
      <c r="N1521" t="s">
        <v>33</v>
      </c>
      <c r="O1521">
        <v>4.4000000000000004</v>
      </c>
      <c r="P1521" s="2">
        <f>EOMONTH(Table1[[#This Row],[Order_Date]],0)</f>
        <v>45351</v>
      </c>
      <c r="Q1521" s="3">
        <f>WEEKNUM(Table1[[#This Row],[Order_Date]])</f>
        <v>7</v>
      </c>
      <c r="R1521">
        <f>YEAR(Table1[[#This Row],[Order_Date]])</f>
        <v>2024</v>
      </c>
      <c r="S1521" t="str">
        <f>IF(Table1[[#This Row],[Quantity]]&gt;=3,"Promo","Regular")</f>
        <v>Promo</v>
      </c>
    </row>
    <row r="1522" spans="1:19" x14ac:dyDescent="0.35">
      <c r="A1522" t="s">
        <v>2249</v>
      </c>
      <c r="B1522" t="s">
        <v>1595</v>
      </c>
      <c r="C1522" s="1">
        <v>45313</v>
      </c>
      <c r="D1522" t="s">
        <v>43</v>
      </c>
      <c r="E1522" t="s">
        <v>52</v>
      </c>
      <c r="F1522" t="s">
        <v>72</v>
      </c>
      <c r="G1522" t="s">
        <v>18</v>
      </c>
      <c r="H1522" t="s">
        <v>120</v>
      </c>
      <c r="I1522" t="s">
        <v>60</v>
      </c>
      <c r="J1522">
        <v>1</v>
      </c>
      <c r="K1522">
        <v>198</v>
      </c>
      <c r="L1522">
        <v>198</v>
      </c>
      <c r="M1522">
        <v>52</v>
      </c>
      <c r="N1522" t="s">
        <v>38</v>
      </c>
      <c r="O1522">
        <v>4.2</v>
      </c>
      <c r="P1522" s="2">
        <f>EOMONTH(Table1[[#This Row],[Order_Date]],0)</f>
        <v>45322</v>
      </c>
      <c r="Q1522" s="3">
        <f>WEEKNUM(Table1[[#This Row],[Order_Date]])</f>
        <v>4</v>
      </c>
      <c r="R1522">
        <f>YEAR(Table1[[#This Row],[Order_Date]])</f>
        <v>2024</v>
      </c>
      <c r="S1522" t="str">
        <f>IF(Table1[[#This Row],[Quantity]]&gt;=3,"Promo","Regular")</f>
        <v>Regular</v>
      </c>
    </row>
    <row r="1523" spans="1:19" x14ac:dyDescent="0.35">
      <c r="A1523" t="s">
        <v>2249</v>
      </c>
      <c r="B1523" t="s">
        <v>1596</v>
      </c>
      <c r="C1523" s="1">
        <v>45332</v>
      </c>
      <c r="D1523" t="s">
        <v>57</v>
      </c>
      <c r="E1523" t="s">
        <v>75</v>
      </c>
      <c r="F1523" t="s">
        <v>85</v>
      </c>
      <c r="G1523" t="s">
        <v>36</v>
      </c>
      <c r="H1523" t="s">
        <v>53</v>
      </c>
      <c r="I1523" t="s">
        <v>20</v>
      </c>
      <c r="J1523">
        <v>3</v>
      </c>
      <c r="K1523">
        <v>299</v>
      </c>
      <c r="L1523">
        <v>897</v>
      </c>
      <c r="M1523">
        <v>45</v>
      </c>
      <c r="N1523" t="s">
        <v>38</v>
      </c>
      <c r="O1523">
        <v>4.7</v>
      </c>
      <c r="P1523" s="2">
        <f>EOMONTH(Table1[[#This Row],[Order_Date]],0)</f>
        <v>45351</v>
      </c>
      <c r="Q1523" s="3">
        <f>WEEKNUM(Table1[[#This Row],[Order_Date]])</f>
        <v>6</v>
      </c>
      <c r="R1523">
        <f>YEAR(Table1[[#This Row],[Order_Date]])</f>
        <v>2024</v>
      </c>
      <c r="S1523" t="str">
        <f>IF(Table1[[#This Row],[Quantity]]&gt;=3,"Promo","Regular")</f>
        <v>Promo</v>
      </c>
    </row>
    <row r="1524" spans="1:19" x14ac:dyDescent="0.35">
      <c r="A1524" t="s">
        <v>2249</v>
      </c>
      <c r="B1524" t="s">
        <v>1597</v>
      </c>
      <c r="C1524" s="1">
        <v>45509</v>
      </c>
      <c r="D1524" t="s">
        <v>15</v>
      </c>
      <c r="E1524" t="s">
        <v>16</v>
      </c>
      <c r="F1524" t="s">
        <v>65</v>
      </c>
      <c r="G1524" t="s">
        <v>73</v>
      </c>
      <c r="H1524" t="s">
        <v>53</v>
      </c>
      <c r="I1524" t="s">
        <v>20</v>
      </c>
      <c r="J1524">
        <v>2</v>
      </c>
      <c r="K1524">
        <v>438</v>
      </c>
      <c r="L1524">
        <v>876</v>
      </c>
      <c r="M1524">
        <v>37</v>
      </c>
      <c r="N1524" t="s">
        <v>38</v>
      </c>
      <c r="O1524">
        <v>4.0999999999999996</v>
      </c>
      <c r="P1524" s="2">
        <f>EOMONTH(Table1[[#This Row],[Order_Date]],0)</f>
        <v>45535</v>
      </c>
      <c r="Q1524" s="3">
        <f>WEEKNUM(Table1[[#This Row],[Order_Date]])</f>
        <v>32</v>
      </c>
      <c r="R1524">
        <f>YEAR(Table1[[#This Row],[Order_Date]])</f>
        <v>2024</v>
      </c>
      <c r="S1524" t="str">
        <f>IF(Table1[[#This Row],[Quantity]]&gt;=3,"Promo","Regular")</f>
        <v>Regular</v>
      </c>
    </row>
    <row r="1525" spans="1:19" x14ac:dyDescent="0.35">
      <c r="A1525" t="s">
        <v>2250</v>
      </c>
      <c r="B1525" t="s">
        <v>1598</v>
      </c>
      <c r="C1525" s="1">
        <v>45371</v>
      </c>
      <c r="D1525" t="s">
        <v>48</v>
      </c>
      <c r="E1525" t="s">
        <v>49</v>
      </c>
      <c r="F1525" t="s">
        <v>30</v>
      </c>
      <c r="G1525" t="s">
        <v>25</v>
      </c>
      <c r="H1525" t="s">
        <v>66</v>
      </c>
      <c r="I1525" t="s">
        <v>20</v>
      </c>
      <c r="J1525">
        <v>5</v>
      </c>
      <c r="K1525">
        <v>257</v>
      </c>
      <c r="L1525">
        <v>1285</v>
      </c>
      <c r="M1525">
        <v>54</v>
      </c>
      <c r="N1525" t="s">
        <v>21</v>
      </c>
      <c r="O1525">
        <v>4.0999999999999996</v>
      </c>
      <c r="P1525" s="2">
        <f>EOMONTH(Table1[[#This Row],[Order_Date]],0)</f>
        <v>45382</v>
      </c>
      <c r="Q1525" s="3">
        <f>WEEKNUM(Table1[[#This Row],[Order_Date]])</f>
        <v>12</v>
      </c>
      <c r="R1525">
        <f>YEAR(Table1[[#This Row],[Order_Date]])</f>
        <v>2024</v>
      </c>
      <c r="S1525" t="str">
        <f>IF(Table1[[#This Row],[Quantity]]&gt;=3,"Promo","Regular")</f>
        <v>Promo</v>
      </c>
    </row>
    <row r="1526" spans="1:19" x14ac:dyDescent="0.35">
      <c r="A1526" t="s">
        <v>2250</v>
      </c>
      <c r="B1526" t="s">
        <v>1599</v>
      </c>
      <c r="C1526" s="1">
        <v>45338</v>
      </c>
      <c r="D1526" t="s">
        <v>43</v>
      </c>
      <c r="E1526" t="s">
        <v>82</v>
      </c>
      <c r="F1526" t="s">
        <v>24</v>
      </c>
      <c r="G1526" t="s">
        <v>18</v>
      </c>
      <c r="H1526" t="s">
        <v>32</v>
      </c>
      <c r="I1526" t="s">
        <v>20</v>
      </c>
      <c r="J1526">
        <v>3</v>
      </c>
      <c r="K1526">
        <v>272</v>
      </c>
      <c r="L1526">
        <v>816</v>
      </c>
      <c r="M1526">
        <v>30</v>
      </c>
      <c r="N1526" t="s">
        <v>38</v>
      </c>
      <c r="O1526">
        <v>4.5</v>
      </c>
      <c r="P1526" s="2">
        <f>EOMONTH(Table1[[#This Row],[Order_Date]],0)</f>
        <v>45351</v>
      </c>
      <c r="Q1526" s="3">
        <f>WEEKNUM(Table1[[#This Row],[Order_Date]])</f>
        <v>7</v>
      </c>
      <c r="R1526">
        <f>YEAR(Table1[[#This Row],[Order_Date]])</f>
        <v>2024</v>
      </c>
      <c r="S1526" t="str">
        <f>IF(Table1[[#This Row],[Quantity]]&gt;=3,"Promo","Regular")</f>
        <v>Promo</v>
      </c>
    </row>
    <row r="1527" spans="1:19" x14ac:dyDescent="0.35">
      <c r="A1527" t="s">
        <v>2251</v>
      </c>
      <c r="B1527" t="s">
        <v>1600</v>
      </c>
      <c r="C1527" s="1">
        <v>45520</v>
      </c>
      <c r="D1527" t="s">
        <v>28</v>
      </c>
      <c r="E1527" t="s">
        <v>71</v>
      </c>
      <c r="F1527" t="s">
        <v>17</v>
      </c>
      <c r="G1527" t="s">
        <v>25</v>
      </c>
      <c r="H1527" t="s">
        <v>19</v>
      </c>
      <c r="I1527" t="s">
        <v>20</v>
      </c>
      <c r="J1527">
        <v>2</v>
      </c>
      <c r="K1527">
        <v>249</v>
      </c>
      <c r="L1527">
        <v>498</v>
      </c>
      <c r="M1527">
        <v>31</v>
      </c>
      <c r="N1527" t="s">
        <v>21</v>
      </c>
      <c r="O1527">
        <v>3.6</v>
      </c>
      <c r="P1527" s="2">
        <f>EOMONTH(Table1[[#This Row],[Order_Date]],0)</f>
        <v>45535</v>
      </c>
      <c r="Q1527" s="3">
        <f>WEEKNUM(Table1[[#This Row],[Order_Date]])</f>
        <v>33</v>
      </c>
      <c r="R1527">
        <f>YEAR(Table1[[#This Row],[Order_Date]])</f>
        <v>2024</v>
      </c>
      <c r="S1527" t="str">
        <f>IF(Table1[[#This Row],[Quantity]]&gt;=3,"Promo","Regular")</f>
        <v>Regular</v>
      </c>
    </row>
    <row r="1528" spans="1:19" x14ac:dyDescent="0.35">
      <c r="A1528" t="s">
        <v>2251</v>
      </c>
      <c r="B1528" t="s">
        <v>1601</v>
      </c>
      <c r="C1528" s="1">
        <v>45477</v>
      </c>
      <c r="D1528" t="s">
        <v>57</v>
      </c>
      <c r="E1528" t="s">
        <v>75</v>
      </c>
      <c r="F1528" t="s">
        <v>45</v>
      </c>
      <c r="G1528" t="s">
        <v>46</v>
      </c>
      <c r="H1528" t="s">
        <v>59</v>
      </c>
      <c r="I1528" t="s">
        <v>60</v>
      </c>
      <c r="J1528">
        <v>5</v>
      </c>
      <c r="K1528">
        <v>297</v>
      </c>
      <c r="L1528">
        <v>1485</v>
      </c>
      <c r="M1528">
        <v>21</v>
      </c>
      <c r="N1528" t="s">
        <v>33</v>
      </c>
      <c r="O1528">
        <v>5</v>
      </c>
      <c r="P1528" s="2">
        <f>EOMONTH(Table1[[#This Row],[Order_Date]],0)</f>
        <v>45504</v>
      </c>
      <c r="Q1528" s="3">
        <f>WEEKNUM(Table1[[#This Row],[Order_Date]])</f>
        <v>27</v>
      </c>
      <c r="R1528">
        <f>YEAR(Table1[[#This Row],[Order_Date]])</f>
        <v>2024</v>
      </c>
      <c r="S1528" t="str">
        <f>IF(Table1[[#This Row],[Quantity]]&gt;=3,"Promo","Regular")</f>
        <v>Promo</v>
      </c>
    </row>
    <row r="1529" spans="1:19" x14ac:dyDescent="0.35">
      <c r="A1529" t="s">
        <v>2251</v>
      </c>
      <c r="B1529" t="s">
        <v>1602</v>
      </c>
      <c r="C1529" s="1">
        <v>45415</v>
      </c>
      <c r="D1529" t="s">
        <v>48</v>
      </c>
      <c r="E1529" t="s">
        <v>49</v>
      </c>
      <c r="F1529" t="s">
        <v>24</v>
      </c>
      <c r="G1529" t="s">
        <v>46</v>
      </c>
      <c r="H1529" t="s">
        <v>50</v>
      </c>
      <c r="I1529" t="s">
        <v>20</v>
      </c>
      <c r="J1529">
        <v>4</v>
      </c>
      <c r="K1529">
        <v>402</v>
      </c>
      <c r="L1529">
        <v>1608</v>
      </c>
      <c r="M1529">
        <v>22</v>
      </c>
      <c r="N1529" t="s">
        <v>21</v>
      </c>
      <c r="O1529">
        <v>3.7</v>
      </c>
      <c r="P1529" s="2">
        <f>EOMONTH(Table1[[#This Row],[Order_Date]],0)</f>
        <v>45443</v>
      </c>
      <c r="Q1529" s="3">
        <f>WEEKNUM(Table1[[#This Row],[Order_Date]])</f>
        <v>18</v>
      </c>
      <c r="R1529">
        <f>YEAR(Table1[[#This Row],[Order_Date]])</f>
        <v>2024</v>
      </c>
      <c r="S1529" t="str">
        <f>IF(Table1[[#This Row],[Quantity]]&gt;=3,"Promo","Regular")</f>
        <v>Promo</v>
      </c>
    </row>
    <row r="1530" spans="1:19" x14ac:dyDescent="0.35">
      <c r="A1530" t="s">
        <v>2251</v>
      </c>
      <c r="B1530" t="s">
        <v>1603</v>
      </c>
      <c r="C1530" s="1">
        <v>45517</v>
      </c>
      <c r="D1530" t="s">
        <v>43</v>
      </c>
      <c r="E1530" t="s">
        <v>93</v>
      </c>
      <c r="F1530" t="s">
        <v>45</v>
      </c>
      <c r="G1530" t="s">
        <v>73</v>
      </c>
      <c r="H1530" t="s">
        <v>120</v>
      </c>
      <c r="I1530" t="s">
        <v>60</v>
      </c>
      <c r="J1530">
        <v>2</v>
      </c>
      <c r="K1530">
        <v>266</v>
      </c>
      <c r="L1530">
        <v>532</v>
      </c>
      <c r="M1530">
        <v>51</v>
      </c>
      <c r="N1530" t="s">
        <v>21</v>
      </c>
      <c r="O1530">
        <v>3.4</v>
      </c>
      <c r="P1530" s="2">
        <f>EOMONTH(Table1[[#This Row],[Order_Date]],0)</f>
        <v>45535</v>
      </c>
      <c r="Q1530" s="3">
        <f>WEEKNUM(Table1[[#This Row],[Order_Date]])</f>
        <v>33</v>
      </c>
      <c r="R1530">
        <f>YEAR(Table1[[#This Row],[Order_Date]])</f>
        <v>2024</v>
      </c>
      <c r="S1530" t="str">
        <f>IF(Table1[[#This Row],[Quantity]]&gt;=3,"Promo","Regular")</f>
        <v>Regular</v>
      </c>
    </row>
    <row r="1531" spans="1:19" x14ac:dyDescent="0.35">
      <c r="A1531" t="s">
        <v>2251</v>
      </c>
      <c r="B1531" t="s">
        <v>1604</v>
      </c>
      <c r="C1531" s="1">
        <v>45398</v>
      </c>
      <c r="D1531" t="s">
        <v>15</v>
      </c>
      <c r="E1531" t="s">
        <v>95</v>
      </c>
      <c r="F1531" t="s">
        <v>85</v>
      </c>
      <c r="G1531" t="s">
        <v>36</v>
      </c>
      <c r="H1531" t="s">
        <v>120</v>
      </c>
      <c r="I1531" t="s">
        <v>60</v>
      </c>
      <c r="J1531">
        <v>5</v>
      </c>
      <c r="K1531">
        <v>336</v>
      </c>
      <c r="L1531">
        <v>1680</v>
      </c>
      <c r="M1531">
        <v>53</v>
      </c>
      <c r="N1531" t="s">
        <v>21</v>
      </c>
      <c r="O1531">
        <v>3</v>
      </c>
      <c r="P1531" s="2">
        <f>EOMONTH(Table1[[#This Row],[Order_Date]],0)</f>
        <v>45412</v>
      </c>
      <c r="Q1531" s="3">
        <f>WEEKNUM(Table1[[#This Row],[Order_Date]])</f>
        <v>16</v>
      </c>
      <c r="R1531">
        <f>YEAR(Table1[[#This Row],[Order_Date]])</f>
        <v>2024</v>
      </c>
      <c r="S1531" t="str">
        <f>IF(Table1[[#This Row],[Quantity]]&gt;=3,"Promo","Regular")</f>
        <v>Promo</v>
      </c>
    </row>
    <row r="1532" spans="1:19" x14ac:dyDescent="0.35">
      <c r="A1532" t="s">
        <v>2252</v>
      </c>
      <c r="B1532" t="s">
        <v>1605</v>
      </c>
      <c r="C1532" s="1">
        <v>45481</v>
      </c>
      <c r="D1532" t="s">
        <v>48</v>
      </c>
      <c r="E1532" t="s">
        <v>49</v>
      </c>
      <c r="F1532" t="s">
        <v>72</v>
      </c>
      <c r="G1532" t="s">
        <v>36</v>
      </c>
      <c r="H1532" t="s">
        <v>53</v>
      </c>
      <c r="I1532" t="s">
        <v>20</v>
      </c>
      <c r="J1532">
        <v>1</v>
      </c>
      <c r="K1532">
        <v>139</v>
      </c>
      <c r="L1532">
        <v>139</v>
      </c>
      <c r="M1532">
        <v>59</v>
      </c>
      <c r="N1532" t="s">
        <v>21</v>
      </c>
      <c r="O1532">
        <v>3.9</v>
      </c>
      <c r="P1532" s="2">
        <f>EOMONTH(Table1[[#This Row],[Order_Date]],0)</f>
        <v>45504</v>
      </c>
      <c r="Q1532" s="3">
        <f>WEEKNUM(Table1[[#This Row],[Order_Date]])</f>
        <v>28</v>
      </c>
      <c r="R1532">
        <f>YEAR(Table1[[#This Row],[Order_Date]])</f>
        <v>2024</v>
      </c>
      <c r="S1532" t="str">
        <f>IF(Table1[[#This Row],[Quantity]]&gt;=3,"Promo","Regular")</f>
        <v>Regular</v>
      </c>
    </row>
    <row r="1533" spans="1:19" x14ac:dyDescent="0.35">
      <c r="A1533" t="s">
        <v>2252</v>
      </c>
      <c r="B1533" t="s">
        <v>1606</v>
      </c>
      <c r="C1533" s="1">
        <v>45523</v>
      </c>
      <c r="D1533" t="s">
        <v>28</v>
      </c>
      <c r="E1533" t="s">
        <v>98</v>
      </c>
      <c r="F1533" t="s">
        <v>17</v>
      </c>
      <c r="G1533" t="s">
        <v>18</v>
      </c>
      <c r="H1533" t="s">
        <v>120</v>
      </c>
      <c r="I1533" t="s">
        <v>60</v>
      </c>
      <c r="J1533">
        <v>4</v>
      </c>
      <c r="K1533">
        <v>194</v>
      </c>
      <c r="L1533">
        <v>776</v>
      </c>
      <c r="M1533">
        <v>56</v>
      </c>
      <c r="N1533" t="s">
        <v>21</v>
      </c>
      <c r="O1533">
        <v>3.1</v>
      </c>
      <c r="P1533" s="2">
        <f>EOMONTH(Table1[[#This Row],[Order_Date]],0)</f>
        <v>45535</v>
      </c>
      <c r="Q1533" s="3">
        <f>WEEKNUM(Table1[[#This Row],[Order_Date]])</f>
        <v>34</v>
      </c>
      <c r="R1533">
        <f>YEAR(Table1[[#This Row],[Order_Date]])</f>
        <v>2024</v>
      </c>
      <c r="S1533" t="str">
        <f>IF(Table1[[#This Row],[Quantity]]&gt;=3,"Promo","Regular")</f>
        <v>Promo</v>
      </c>
    </row>
    <row r="1534" spans="1:19" x14ac:dyDescent="0.35">
      <c r="A1534" t="s">
        <v>2252</v>
      </c>
      <c r="B1534" t="s">
        <v>1607</v>
      </c>
      <c r="C1534" s="1">
        <v>45417</v>
      </c>
      <c r="D1534" t="s">
        <v>28</v>
      </c>
      <c r="E1534" t="s">
        <v>40</v>
      </c>
      <c r="F1534" t="s">
        <v>30</v>
      </c>
      <c r="G1534" t="s">
        <v>36</v>
      </c>
      <c r="H1534" t="s">
        <v>120</v>
      </c>
      <c r="I1534" t="s">
        <v>60</v>
      </c>
      <c r="J1534">
        <v>2</v>
      </c>
      <c r="K1534">
        <v>245</v>
      </c>
      <c r="L1534">
        <v>490</v>
      </c>
      <c r="M1534">
        <v>25</v>
      </c>
      <c r="N1534" t="s">
        <v>33</v>
      </c>
      <c r="O1534">
        <v>5</v>
      </c>
      <c r="P1534" s="2">
        <f>EOMONTH(Table1[[#This Row],[Order_Date]],0)</f>
        <v>45443</v>
      </c>
      <c r="Q1534" s="3">
        <f>WEEKNUM(Table1[[#This Row],[Order_Date]])</f>
        <v>19</v>
      </c>
      <c r="R1534">
        <f>YEAR(Table1[[#This Row],[Order_Date]])</f>
        <v>2024</v>
      </c>
      <c r="S1534" t="str">
        <f>IF(Table1[[#This Row],[Quantity]]&gt;=3,"Promo","Regular")</f>
        <v>Regular</v>
      </c>
    </row>
    <row r="1535" spans="1:19" x14ac:dyDescent="0.35">
      <c r="A1535" t="s">
        <v>2252</v>
      </c>
      <c r="B1535" t="s">
        <v>1608</v>
      </c>
      <c r="C1535" s="1">
        <v>45335</v>
      </c>
      <c r="D1535" t="s">
        <v>57</v>
      </c>
      <c r="E1535" t="s">
        <v>62</v>
      </c>
      <c r="F1535" t="s">
        <v>72</v>
      </c>
      <c r="G1535" t="s">
        <v>31</v>
      </c>
      <c r="H1535" t="s">
        <v>19</v>
      </c>
      <c r="I1535" t="s">
        <v>20</v>
      </c>
      <c r="J1535">
        <v>2</v>
      </c>
      <c r="K1535">
        <v>308</v>
      </c>
      <c r="L1535">
        <v>616</v>
      </c>
      <c r="M1535">
        <v>28</v>
      </c>
      <c r="N1535" t="s">
        <v>38</v>
      </c>
      <c r="O1535">
        <v>4.4000000000000004</v>
      </c>
      <c r="P1535" s="2">
        <f>EOMONTH(Table1[[#This Row],[Order_Date]],0)</f>
        <v>45351</v>
      </c>
      <c r="Q1535" s="3">
        <f>WEEKNUM(Table1[[#This Row],[Order_Date]])</f>
        <v>7</v>
      </c>
      <c r="R1535">
        <f>YEAR(Table1[[#This Row],[Order_Date]])</f>
        <v>2024</v>
      </c>
      <c r="S1535" t="str">
        <f>IF(Table1[[#This Row],[Quantity]]&gt;=3,"Promo","Regular")</f>
        <v>Regular</v>
      </c>
    </row>
    <row r="1536" spans="1:19" x14ac:dyDescent="0.35">
      <c r="A1536" t="s">
        <v>2252</v>
      </c>
      <c r="B1536" t="s">
        <v>1609</v>
      </c>
      <c r="C1536" s="1">
        <v>45444</v>
      </c>
      <c r="D1536" t="s">
        <v>43</v>
      </c>
      <c r="E1536" t="s">
        <v>52</v>
      </c>
      <c r="F1536" t="s">
        <v>45</v>
      </c>
      <c r="G1536" t="s">
        <v>36</v>
      </c>
      <c r="H1536" t="s">
        <v>26</v>
      </c>
      <c r="I1536" t="s">
        <v>20</v>
      </c>
      <c r="J1536">
        <v>3</v>
      </c>
      <c r="K1536">
        <v>167</v>
      </c>
      <c r="L1536">
        <v>501</v>
      </c>
      <c r="M1536">
        <v>48</v>
      </c>
      <c r="N1536" t="s">
        <v>33</v>
      </c>
      <c r="O1536">
        <v>4</v>
      </c>
      <c r="P1536" s="2">
        <f>EOMONTH(Table1[[#This Row],[Order_Date]],0)</f>
        <v>45473</v>
      </c>
      <c r="Q1536" s="3">
        <f>WEEKNUM(Table1[[#This Row],[Order_Date]])</f>
        <v>22</v>
      </c>
      <c r="R1536">
        <f>YEAR(Table1[[#This Row],[Order_Date]])</f>
        <v>2024</v>
      </c>
      <c r="S1536" t="str">
        <f>IF(Table1[[#This Row],[Quantity]]&gt;=3,"Promo","Regular")</f>
        <v>Promo</v>
      </c>
    </row>
    <row r="1537" spans="1:19" x14ac:dyDescent="0.35">
      <c r="A1537" t="s">
        <v>2253</v>
      </c>
      <c r="B1537" t="s">
        <v>1610</v>
      </c>
      <c r="C1537" s="1">
        <v>45497</v>
      </c>
      <c r="D1537" t="s">
        <v>15</v>
      </c>
      <c r="E1537" t="s">
        <v>103</v>
      </c>
      <c r="F1537" t="s">
        <v>17</v>
      </c>
      <c r="G1537" t="s">
        <v>36</v>
      </c>
      <c r="H1537" t="s">
        <v>26</v>
      </c>
      <c r="I1537" t="s">
        <v>20</v>
      </c>
      <c r="J1537">
        <v>3</v>
      </c>
      <c r="K1537">
        <v>122</v>
      </c>
      <c r="L1537">
        <v>366</v>
      </c>
      <c r="M1537">
        <v>28</v>
      </c>
      <c r="N1537" t="s">
        <v>38</v>
      </c>
      <c r="O1537">
        <v>3.5</v>
      </c>
      <c r="P1537" s="2">
        <f>EOMONTH(Table1[[#This Row],[Order_Date]],0)</f>
        <v>45504</v>
      </c>
      <c r="Q1537" s="3">
        <f>WEEKNUM(Table1[[#This Row],[Order_Date]])</f>
        <v>30</v>
      </c>
      <c r="R1537">
        <f>YEAR(Table1[[#This Row],[Order_Date]])</f>
        <v>2024</v>
      </c>
      <c r="S1537" t="str">
        <f>IF(Table1[[#This Row],[Quantity]]&gt;=3,"Promo","Regular")</f>
        <v>Promo</v>
      </c>
    </row>
    <row r="1538" spans="1:19" x14ac:dyDescent="0.35">
      <c r="A1538" t="s">
        <v>2253</v>
      </c>
      <c r="B1538" t="s">
        <v>1611</v>
      </c>
      <c r="C1538" s="1">
        <v>45582</v>
      </c>
      <c r="D1538" t="s">
        <v>57</v>
      </c>
      <c r="E1538" t="s">
        <v>105</v>
      </c>
      <c r="F1538" t="s">
        <v>30</v>
      </c>
      <c r="G1538" t="s">
        <v>25</v>
      </c>
      <c r="H1538" t="s">
        <v>53</v>
      </c>
      <c r="I1538" t="s">
        <v>20</v>
      </c>
      <c r="J1538">
        <v>4</v>
      </c>
      <c r="K1538">
        <v>298</v>
      </c>
      <c r="L1538">
        <v>1192</v>
      </c>
      <c r="M1538">
        <v>20</v>
      </c>
      <c r="N1538" t="s">
        <v>21</v>
      </c>
      <c r="O1538">
        <v>3.1</v>
      </c>
      <c r="P1538" s="2">
        <f>EOMONTH(Table1[[#This Row],[Order_Date]],0)</f>
        <v>45596</v>
      </c>
      <c r="Q1538" s="3">
        <f>WEEKNUM(Table1[[#This Row],[Order_Date]])</f>
        <v>42</v>
      </c>
      <c r="R1538">
        <f>YEAR(Table1[[#This Row],[Order_Date]])</f>
        <v>2024</v>
      </c>
      <c r="S1538" t="str">
        <f>IF(Table1[[#This Row],[Quantity]]&gt;=3,"Promo","Regular")</f>
        <v>Promo</v>
      </c>
    </row>
    <row r="1539" spans="1:19" x14ac:dyDescent="0.35">
      <c r="A1539" t="s">
        <v>2254</v>
      </c>
      <c r="B1539" t="s">
        <v>1612</v>
      </c>
      <c r="C1539" s="1">
        <v>45588</v>
      </c>
      <c r="D1539" t="s">
        <v>28</v>
      </c>
      <c r="E1539" t="s">
        <v>77</v>
      </c>
      <c r="F1539" t="s">
        <v>85</v>
      </c>
      <c r="G1539" t="s">
        <v>31</v>
      </c>
      <c r="H1539" t="s">
        <v>55</v>
      </c>
      <c r="I1539" t="s">
        <v>20</v>
      </c>
      <c r="J1539">
        <v>1</v>
      </c>
      <c r="K1539">
        <v>458</v>
      </c>
      <c r="L1539">
        <v>458</v>
      </c>
      <c r="M1539">
        <v>49</v>
      </c>
      <c r="N1539" t="s">
        <v>21</v>
      </c>
      <c r="O1539">
        <v>3.9</v>
      </c>
      <c r="P1539" s="2">
        <f>EOMONTH(Table1[[#This Row],[Order_Date]],0)</f>
        <v>45596</v>
      </c>
      <c r="Q1539" s="3">
        <f>WEEKNUM(Table1[[#This Row],[Order_Date]])</f>
        <v>43</v>
      </c>
      <c r="R1539">
        <f>YEAR(Table1[[#This Row],[Order_Date]])</f>
        <v>2024</v>
      </c>
      <c r="S1539" t="str">
        <f>IF(Table1[[#This Row],[Quantity]]&gt;=3,"Promo","Regular")</f>
        <v>Regular</v>
      </c>
    </row>
    <row r="1540" spans="1:19" x14ac:dyDescent="0.35">
      <c r="A1540" t="s">
        <v>2254</v>
      </c>
      <c r="B1540" t="s">
        <v>1613</v>
      </c>
      <c r="C1540" s="1">
        <v>45491</v>
      </c>
      <c r="D1540" t="s">
        <v>28</v>
      </c>
      <c r="E1540" t="s">
        <v>71</v>
      </c>
      <c r="F1540" t="s">
        <v>85</v>
      </c>
      <c r="G1540" t="s">
        <v>18</v>
      </c>
      <c r="H1540" t="s">
        <v>59</v>
      </c>
      <c r="I1540" t="s">
        <v>60</v>
      </c>
      <c r="J1540">
        <v>3</v>
      </c>
      <c r="K1540">
        <v>104</v>
      </c>
      <c r="L1540">
        <v>312</v>
      </c>
      <c r="M1540">
        <v>27</v>
      </c>
      <c r="N1540" t="s">
        <v>38</v>
      </c>
      <c r="O1540">
        <v>3.9</v>
      </c>
      <c r="P1540" s="2">
        <f>EOMONTH(Table1[[#This Row],[Order_Date]],0)</f>
        <v>45504</v>
      </c>
      <c r="Q1540" s="3">
        <f>WEEKNUM(Table1[[#This Row],[Order_Date]])</f>
        <v>29</v>
      </c>
      <c r="R1540">
        <f>YEAR(Table1[[#This Row],[Order_Date]])</f>
        <v>2024</v>
      </c>
      <c r="S1540" t="str">
        <f>IF(Table1[[#This Row],[Quantity]]&gt;=3,"Promo","Regular")</f>
        <v>Promo</v>
      </c>
    </row>
    <row r="1541" spans="1:19" x14ac:dyDescent="0.35">
      <c r="A1541" t="s">
        <v>2254</v>
      </c>
      <c r="B1541" t="s">
        <v>1614</v>
      </c>
      <c r="C1541" s="1">
        <v>45403</v>
      </c>
      <c r="D1541" t="s">
        <v>57</v>
      </c>
      <c r="E1541" t="s">
        <v>105</v>
      </c>
      <c r="F1541" t="s">
        <v>45</v>
      </c>
      <c r="G1541" t="s">
        <v>46</v>
      </c>
      <c r="H1541" t="s">
        <v>26</v>
      </c>
      <c r="I1541" t="s">
        <v>20</v>
      </c>
      <c r="J1541">
        <v>4</v>
      </c>
      <c r="K1541">
        <v>225</v>
      </c>
      <c r="L1541">
        <v>900</v>
      </c>
      <c r="M1541">
        <v>25</v>
      </c>
      <c r="N1541" t="s">
        <v>21</v>
      </c>
      <c r="O1541">
        <v>4.5</v>
      </c>
      <c r="P1541" s="2">
        <f>EOMONTH(Table1[[#This Row],[Order_Date]],0)</f>
        <v>45412</v>
      </c>
      <c r="Q1541" s="3">
        <f>WEEKNUM(Table1[[#This Row],[Order_Date]])</f>
        <v>17</v>
      </c>
      <c r="R1541">
        <f>YEAR(Table1[[#This Row],[Order_Date]])</f>
        <v>2024</v>
      </c>
      <c r="S1541" t="str">
        <f>IF(Table1[[#This Row],[Quantity]]&gt;=3,"Promo","Regular")</f>
        <v>Promo</v>
      </c>
    </row>
    <row r="1542" spans="1:19" x14ac:dyDescent="0.35">
      <c r="A1542" t="s">
        <v>2254</v>
      </c>
      <c r="B1542" t="s">
        <v>1615</v>
      </c>
      <c r="C1542" s="1">
        <v>45390</v>
      </c>
      <c r="D1542" t="s">
        <v>43</v>
      </c>
      <c r="E1542" t="s">
        <v>110</v>
      </c>
      <c r="F1542" t="s">
        <v>72</v>
      </c>
      <c r="G1542" t="s">
        <v>31</v>
      </c>
      <c r="H1542" t="s">
        <v>55</v>
      </c>
      <c r="I1542" t="s">
        <v>20</v>
      </c>
      <c r="J1542">
        <v>2</v>
      </c>
      <c r="K1542">
        <v>106</v>
      </c>
      <c r="L1542">
        <v>212</v>
      </c>
      <c r="M1542">
        <v>55</v>
      </c>
      <c r="N1542" t="s">
        <v>33</v>
      </c>
      <c r="O1542">
        <v>3.4</v>
      </c>
      <c r="P1542" s="2">
        <f>EOMONTH(Table1[[#This Row],[Order_Date]],0)</f>
        <v>45412</v>
      </c>
      <c r="Q1542" s="3">
        <f>WEEKNUM(Table1[[#This Row],[Order_Date]])</f>
        <v>15</v>
      </c>
      <c r="R1542">
        <f>YEAR(Table1[[#This Row],[Order_Date]])</f>
        <v>2024</v>
      </c>
      <c r="S1542" t="str">
        <f>IF(Table1[[#This Row],[Quantity]]&gt;=3,"Promo","Regular")</f>
        <v>Regular</v>
      </c>
    </row>
    <row r="1543" spans="1:19" x14ac:dyDescent="0.35">
      <c r="A1543" t="s">
        <v>2255</v>
      </c>
      <c r="B1543" t="s">
        <v>1616</v>
      </c>
      <c r="C1543" s="1">
        <v>45341</v>
      </c>
      <c r="D1543" t="s">
        <v>15</v>
      </c>
      <c r="E1543" t="s">
        <v>112</v>
      </c>
      <c r="F1543" t="s">
        <v>35</v>
      </c>
      <c r="G1543" t="s">
        <v>36</v>
      </c>
      <c r="H1543" t="s">
        <v>53</v>
      </c>
      <c r="I1543" t="s">
        <v>20</v>
      </c>
      <c r="J1543">
        <v>5</v>
      </c>
      <c r="K1543">
        <v>337</v>
      </c>
      <c r="L1543">
        <v>1685</v>
      </c>
      <c r="M1543">
        <v>20</v>
      </c>
      <c r="N1543" t="s">
        <v>33</v>
      </c>
      <c r="O1543">
        <v>3.2</v>
      </c>
      <c r="P1543" s="2">
        <f>EOMONTH(Table1[[#This Row],[Order_Date]],0)</f>
        <v>45351</v>
      </c>
      <c r="Q1543" s="3">
        <f>WEEKNUM(Table1[[#This Row],[Order_Date]])</f>
        <v>8</v>
      </c>
      <c r="R1543">
        <f>YEAR(Table1[[#This Row],[Order_Date]])</f>
        <v>2024</v>
      </c>
      <c r="S1543" t="str">
        <f>IF(Table1[[#This Row],[Quantity]]&gt;=3,"Promo","Regular")</f>
        <v>Promo</v>
      </c>
    </row>
    <row r="1544" spans="1:19" x14ac:dyDescent="0.35">
      <c r="A1544" t="s">
        <v>2255</v>
      </c>
      <c r="B1544" t="s">
        <v>1617</v>
      </c>
      <c r="C1544" s="1">
        <v>45338</v>
      </c>
      <c r="D1544" t="s">
        <v>28</v>
      </c>
      <c r="E1544" t="s">
        <v>77</v>
      </c>
      <c r="F1544" t="s">
        <v>69</v>
      </c>
      <c r="G1544" t="s">
        <v>18</v>
      </c>
      <c r="H1544" t="s">
        <v>19</v>
      </c>
      <c r="I1544" t="s">
        <v>20</v>
      </c>
      <c r="J1544">
        <v>3</v>
      </c>
      <c r="K1544">
        <v>332</v>
      </c>
      <c r="L1544">
        <v>996</v>
      </c>
      <c r="M1544">
        <v>35</v>
      </c>
      <c r="N1544" t="s">
        <v>21</v>
      </c>
      <c r="O1544">
        <v>3.8</v>
      </c>
      <c r="P1544" s="2">
        <f>EOMONTH(Table1[[#This Row],[Order_Date]],0)</f>
        <v>45351</v>
      </c>
      <c r="Q1544" s="3">
        <f>WEEKNUM(Table1[[#This Row],[Order_Date]])</f>
        <v>7</v>
      </c>
      <c r="R1544">
        <f>YEAR(Table1[[#This Row],[Order_Date]])</f>
        <v>2024</v>
      </c>
      <c r="S1544" t="str">
        <f>IF(Table1[[#This Row],[Quantity]]&gt;=3,"Promo","Regular")</f>
        <v>Promo</v>
      </c>
    </row>
    <row r="1545" spans="1:19" x14ac:dyDescent="0.35">
      <c r="A1545" t="s">
        <v>2255</v>
      </c>
      <c r="B1545" t="s">
        <v>1618</v>
      </c>
      <c r="C1545" s="1">
        <v>45547</v>
      </c>
      <c r="D1545" t="s">
        <v>15</v>
      </c>
      <c r="E1545" t="s">
        <v>95</v>
      </c>
      <c r="F1545" t="s">
        <v>69</v>
      </c>
      <c r="G1545" t="s">
        <v>36</v>
      </c>
      <c r="H1545" t="s">
        <v>120</v>
      </c>
      <c r="I1545" t="s">
        <v>60</v>
      </c>
      <c r="J1545">
        <v>1</v>
      </c>
      <c r="K1545">
        <v>344</v>
      </c>
      <c r="L1545">
        <v>344</v>
      </c>
      <c r="M1545">
        <v>26</v>
      </c>
      <c r="N1545" t="s">
        <v>33</v>
      </c>
      <c r="O1545">
        <v>4.5</v>
      </c>
      <c r="P1545" s="2">
        <f>EOMONTH(Table1[[#This Row],[Order_Date]],0)</f>
        <v>45565</v>
      </c>
      <c r="Q1545" s="3">
        <f>WEEKNUM(Table1[[#This Row],[Order_Date]])</f>
        <v>37</v>
      </c>
      <c r="R1545">
        <f>YEAR(Table1[[#This Row],[Order_Date]])</f>
        <v>2024</v>
      </c>
      <c r="S1545" t="str">
        <f>IF(Table1[[#This Row],[Quantity]]&gt;=3,"Promo","Regular")</f>
        <v>Regular</v>
      </c>
    </row>
    <row r="1546" spans="1:19" x14ac:dyDescent="0.35">
      <c r="A1546" t="s">
        <v>2256</v>
      </c>
      <c r="B1546" t="s">
        <v>1619</v>
      </c>
      <c r="C1546" s="1">
        <v>45591</v>
      </c>
      <c r="D1546" t="s">
        <v>43</v>
      </c>
      <c r="E1546" t="s">
        <v>93</v>
      </c>
      <c r="F1546" t="s">
        <v>85</v>
      </c>
      <c r="G1546" t="s">
        <v>25</v>
      </c>
      <c r="H1546" t="s">
        <v>55</v>
      </c>
      <c r="I1546" t="s">
        <v>20</v>
      </c>
      <c r="J1546">
        <v>1</v>
      </c>
      <c r="K1546">
        <v>408</v>
      </c>
      <c r="L1546">
        <v>408</v>
      </c>
      <c r="M1546">
        <v>56</v>
      </c>
      <c r="N1546" t="s">
        <v>21</v>
      </c>
      <c r="O1546">
        <v>4.0999999999999996</v>
      </c>
      <c r="P1546" s="2">
        <f>EOMONTH(Table1[[#This Row],[Order_Date]],0)</f>
        <v>45596</v>
      </c>
      <c r="Q1546" s="3">
        <f>WEEKNUM(Table1[[#This Row],[Order_Date]])</f>
        <v>43</v>
      </c>
      <c r="R1546">
        <f>YEAR(Table1[[#This Row],[Order_Date]])</f>
        <v>2024</v>
      </c>
      <c r="S1546" t="str">
        <f>IF(Table1[[#This Row],[Quantity]]&gt;=3,"Promo","Regular")</f>
        <v>Regular</v>
      </c>
    </row>
    <row r="1547" spans="1:19" x14ac:dyDescent="0.35">
      <c r="A1547" t="s">
        <v>2256</v>
      </c>
      <c r="B1547" t="s">
        <v>1620</v>
      </c>
      <c r="C1547" s="1">
        <v>45504</v>
      </c>
      <c r="D1547" t="s">
        <v>57</v>
      </c>
      <c r="E1547" t="s">
        <v>105</v>
      </c>
      <c r="F1547" t="s">
        <v>30</v>
      </c>
      <c r="G1547" t="s">
        <v>73</v>
      </c>
      <c r="H1547" t="s">
        <v>32</v>
      </c>
      <c r="I1547" t="s">
        <v>20</v>
      </c>
      <c r="J1547">
        <v>5</v>
      </c>
      <c r="K1547">
        <v>187</v>
      </c>
      <c r="L1547">
        <v>935</v>
      </c>
      <c r="M1547">
        <v>36</v>
      </c>
      <c r="N1547" t="s">
        <v>33</v>
      </c>
      <c r="O1547">
        <v>4.7</v>
      </c>
      <c r="P1547" s="2">
        <f>EOMONTH(Table1[[#This Row],[Order_Date]],0)</f>
        <v>45504</v>
      </c>
      <c r="Q1547" s="3">
        <f>WEEKNUM(Table1[[#This Row],[Order_Date]])</f>
        <v>31</v>
      </c>
      <c r="R1547">
        <f>YEAR(Table1[[#This Row],[Order_Date]])</f>
        <v>2024</v>
      </c>
      <c r="S1547" t="str">
        <f>IF(Table1[[#This Row],[Quantity]]&gt;=3,"Promo","Regular")</f>
        <v>Promo</v>
      </c>
    </row>
    <row r="1548" spans="1:19" x14ac:dyDescent="0.35">
      <c r="A1548" t="s">
        <v>2256</v>
      </c>
      <c r="B1548" t="s">
        <v>1621</v>
      </c>
      <c r="C1548" s="1">
        <v>45302</v>
      </c>
      <c r="D1548" t="s">
        <v>48</v>
      </c>
      <c r="E1548" t="s">
        <v>64</v>
      </c>
      <c r="F1548" t="s">
        <v>17</v>
      </c>
      <c r="G1548" t="s">
        <v>25</v>
      </c>
      <c r="H1548" t="s">
        <v>32</v>
      </c>
      <c r="I1548" t="s">
        <v>20</v>
      </c>
      <c r="J1548">
        <v>4</v>
      </c>
      <c r="K1548">
        <v>222</v>
      </c>
      <c r="L1548">
        <v>888</v>
      </c>
      <c r="M1548">
        <v>31</v>
      </c>
      <c r="N1548" t="s">
        <v>21</v>
      </c>
      <c r="O1548">
        <v>3.3</v>
      </c>
      <c r="P1548" s="2">
        <f>EOMONTH(Table1[[#This Row],[Order_Date]],0)</f>
        <v>45322</v>
      </c>
      <c r="Q1548" s="3">
        <f>WEEKNUM(Table1[[#This Row],[Order_Date]])</f>
        <v>2</v>
      </c>
      <c r="R1548">
        <f>YEAR(Table1[[#This Row],[Order_Date]])</f>
        <v>2024</v>
      </c>
      <c r="S1548" t="str">
        <f>IF(Table1[[#This Row],[Quantity]]&gt;=3,"Promo","Regular")</f>
        <v>Promo</v>
      </c>
    </row>
    <row r="1549" spans="1:19" x14ac:dyDescent="0.35">
      <c r="A1549" t="s">
        <v>2256</v>
      </c>
      <c r="B1549" t="s">
        <v>1622</v>
      </c>
      <c r="C1549" s="1">
        <v>45554</v>
      </c>
      <c r="D1549" t="s">
        <v>48</v>
      </c>
      <c r="E1549" t="s">
        <v>49</v>
      </c>
      <c r="F1549" t="s">
        <v>69</v>
      </c>
      <c r="G1549" t="s">
        <v>25</v>
      </c>
      <c r="H1549" t="s">
        <v>26</v>
      </c>
      <c r="I1549" t="s">
        <v>20</v>
      </c>
      <c r="J1549">
        <v>1</v>
      </c>
      <c r="K1549">
        <v>360</v>
      </c>
      <c r="L1549">
        <v>360</v>
      </c>
      <c r="M1549">
        <v>46</v>
      </c>
      <c r="N1549" t="s">
        <v>21</v>
      </c>
      <c r="O1549">
        <v>4.4000000000000004</v>
      </c>
      <c r="P1549" s="2">
        <f>EOMONTH(Table1[[#This Row],[Order_Date]],0)</f>
        <v>45565</v>
      </c>
      <c r="Q1549" s="3">
        <f>WEEKNUM(Table1[[#This Row],[Order_Date]])</f>
        <v>38</v>
      </c>
      <c r="R1549">
        <f>YEAR(Table1[[#This Row],[Order_Date]])</f>
        <v>2024</v>
      </c>
      <c r="S1549" t="str">
        <f>IF(Table1[[#This Row],[Quantity]]&gt;=3,"Promo","Regular")</f>
        <v>Regular</v>
      </c>
    </row>
    <row r="1550" spans="1:19" x14ac:dyDescent="0.35">
      <c r="A1550" t="s">
        <v>2256</v>
      </c>
      <c r="B1550" t="s">
        <v>1623</v>
      </c>
      <c r="C1550" s="1">
        <v>45378</v>
      </c>
      <c r="D1550" t="s">
        <v>15</v>
      </c>
      <c r="E1550" t="s">
        <v>112</v>
      </c>
      <c r="F1550" t="s">
        <v>85</v>
      </c>
      <c r="G1550" t="s">
        <v>36</v>
      </c>
      <c r="H1550" t="s">
        <v>53</v>
      </c>
      <c r="I1550" t="s">
        <v>20</v>
      </c>
      <c r="J1550">
        <v>3</v>
      </c>
      <c r="K1550">
        <v>425</v>
      </c>
      <c r="L1550">
        <v>1275</v>
      </c>
      <c r="M1550">
        <v>57</v>
      </c>
      <c r="N1550" t="s">
        <v>21</v>
      </c>
      <c r="O1550">
        <v>4.2</v>
      </c>
      <c r="P1550" s="2">
        <f>EOMONTH(Table1[[#This Row],[Order_Date]],0)</f>
        <v>45382</v>
      </c>
      <c r="Q1550" s="3">
        <f>WEEKNUM(Table1[[#This Row],[Order_Date]])</f>
        <v>13</v>
      </c>
      <c r="R1550">
        <f>YEAR(Table1[[#This Row],[Order_Date]])</f>
        <v>2024</v>
      </c>
      <c r="S1550" t="str">
        <f>IF(Table1[[#This Row],[Quantity]]&gt;=3,"Promo","Regular")</f>
        <v>Promo</v>
      </c>
    </row>
    <row r="1551" spans="1:19" x14ac:dyDescent="0.35">
      <c r="A1551" t="s">
        <v>2257</v>
      </c>
      <c r="B1551" t="s">
        <v>1624</v>
      </c>
      <c r="C1551" s="1">
        <v>45391</v>
      </c>
      <c r="D1551" t="s">
        <v>57</v>
      </c>
      <c r="E1551" t="s">
        <v>105</v>
      </c>
      <c r="F1551" t="s">
        <v>72</v>
      </c>
      <c r="G1551" t="s">
        <v>25</v>
      </c>
      <c r="H1551" t="s">
        <v>120</v>
      </c>
      <c r="I1551" t="s">
        <v>60</v>
      </c>
      <c r="J1551">
        <v>3</v>
      </c>
      <c r="K1551">
        <v>398</v>
      </c>
      <c r="L1551">
        <v>1194</v>
      </c>
      <c r="M1551">
        <v>47</v>
      </c>
      <c r="N1551" t="s">
        <v>33</v>
      </c>
      <c r="O1551">
        <v>4.7</v>
      </c>
      <c r="P1551" s="2">
        <f>EOMONTH(Table1[[#This Row],[Order_Date]],0)</f>
        <v>45412</v>
      </c>
      <c r="Q1551" s="3">
        <f>WEEKNUM(Table1[[#This Row],[Order_Date]])</f>
        <v>15</v>
      </c>
      <c r="R1551">
        <f>YEAR(Table1[[#This Row],[Order_Date]])</f>
        <v>2024</v>
      </c>
      <c r="S1551" t="str">
        <f>IF(Table1[[#This Row],[Quantity]]&gt;=3,"Promo","Regular")</f>
        <v>Promo</v>
      </c>
    </row>
    <row r="1552" spans="1:19" x14ac:dyDescent="0.35">
      <c r="A1552" t="s">
        <v>2257</v>
      </c>
      <c r="B1552" t="s">
        <v>1625</v>
      </c>
      <c r="C1552" s="1">
        <v>45311</v>
      </c>
      <c r="D1552" t="s">
        <v>15</v>
      </c>
      <c r="E1552" t="s">
        <v>23</v>
      </c>
      <c r="F1552" t="s">
        <v>72</v>
      </c>
      <c r="G1552" t="s">
        <v>25</v>
      </c>
      <c r="H1552" t="s">
        <v>55</v>
      </c>
      <c r="I1552" t="s">
        <v>20</v>
      </c>
      <c r="J1552">
        <v>3</v>
      </c>
      <c r="K1552">
        <v>172</v>
      </c>
      <c r="L1552">
        <v>516</v>
      </c>
      <c r="M1552">
        <v>47</v>
      </c>
      <c r="N1552" t="s">
        <v>33</v>
      </c>
      <c r="O1552">
        <v>4.0999999999999996</v>
      </c>
      <c r="P1552" s="2">
        <f>EOMONTH(Table1[[#This Row],[Order_Date]],0)</f>
        <v>45322</v>
      </c>
      <c r="Q1552" s="3">
        <f>WEEKNUM(Table1[[#This Row],[Order_Date]])</f>
        <v>3</v>
      </c>
      <c r="R1552">
        <f>YEAR(Table1[[#This Row],[Order_Date]])</f>
        <v>2024</v>
      </c>
      <c r="S1552" t="str">
        <f>IF(Table1[[#This Row],[Quantity]]&gt;=3,"Promo","Regular")</f>
        <v>Promo</v>
      </c>
    </row>
    <row r="1553" spans="1:19" x14ac:dyDescent="0.35">
      <c r="A1553" t="s">
        <v>2257</v>
      </c>
      <c r="B1553" t="s">
        <v>1626</v>
      </c>
      <c r="C1553" s="1">
        <v>45470</v>
      </c>
      <c r="D1553" t="s">
        <v>57</v>
      </c>
      <c r="E1553" t="s">
        <v>75</v>
      </c>
      <c r="F1553" t="s">
        <v>41</v>
      </c>
      <c r="G1553" t="s">
        <v>18</v>
      </c>
      <c r="H1553" t="s">
        <v>66</v>
      </c>
      <c r="I1553" t="s">
        <v>20</v>
      </c>
      <c r="J1553">
        <v>1</v>
      </c>
      <c r="K1553">
        <v>141</v>
      </c>
      <c r="L1553">
        <v>141</v>
      </c>
      <c r="M1553">
        <v>46</v>
      </c>
      <c r="N1553" t="s">
        <v>38</v>
      </c>
      <c r="O1553">
        <v>4.0999999999999996</v>
      </c>
      <c r="P1553" s="2">
        <f>EOMONTH(Table1[[#This Row],[Order_Date]],0)</f>
        <v>45473</v>
      </c>
      <c r="Q1553" s="3">
        <f>WEEKNUM(Table1[[#This Row],[Order_Date]])</f>
        <v>26</v>
      </c>
      <c r="R1553">
        <f>YEAR(Table1[[#This Row],[Order_Date]])</f>
        <v>2024</v>
      </c>
      <c r="S1553" t="str">
        <f>IF(Table1[[#This Row],[Quantity]]&gt;=3,"Promo","Regular")</f>
        <v>Regular</v>
      </c>
    </row>
    <row r="1554" spans="1:19" x14ac:dyDescent="0.35">
      <c r="A1554" t="s">
        <v>2258</v>
      </c>
      <c r="B1554" t="s">
        <v>1627</v>
      </c>
      <c r="C1554" s="1">
        <v>45533</v>
      </c>
      <c r="D1554" t="s">
        <v>48</v>
      </c>
      <c r="E1554" t="s">
        <v>68</v>
      </c>
      <c r="F1554" t="s">
        <v>85</v>
      </c>
      <c r="G1554" t="s">
        <v>46</v>
      </c>
      <c r="H1554" t="s">
        <v>50</v>
      </c>
      <c r="I1554" t="s">
        <v>20</v>
      </c>
      <c r="J1554">
        <v>1</v>
      </c>
      <c r="K1554">
        <v>158</v>
      </c>
      <c r="L1554">
        <v>158</v>
      </c>
      <c r="M1554">
        <v>53</v>
      </c>
      <c r="N1554" t="s">
        <v>21</v>
      </c>
      <c r="O1554">
        <v>4.5</v>
      </c>
      <c r="P1554" s="2">
        <f>EOMONTH(Table1[[#This Row],[Order_Date]],0)</f>
        <v>45535</v>
      </c>
      <c r="Q1554" s="3">
        <f>WEEKNUM(Table1[[#This Row],[Order_Date]])</f>
        <v>35</v>
      </c>
      <c r="R1554">
        <f>YEAR(Table1[[#This Row],[Order_Date]])</f>
        <v>2024</v>
      </c>
      <c r="S1554" t="str">
        <f>IF(Table1[[#This Row],[Quantity]]&gt;=3,"Promo","Regular")</f>
        <v>Regular</v>
      </c>
    </row>
    <row r="1555" spans="1:19" x14ac:dyDescent="0.35">
      <c r="A1555" t="s">
        <v>2258</v>
      </c>
      <c r="B1555" t="s">
        <v>1628</v>
      </c>
      <c r="C1555" s="1">
        <v>45446</v>
      </c>
      <c r="D1555" t="s">
        <v>43</v>
      </c>
      <c r="E1555" t="s">
        <v>93</v>
      </c>
      <c r="F1555" t="s">
        <v>30</v>
      </c>
      <c r="G1555" t="s">
        <v>18</v>
      </c>
      <c r="H1555" t="s">
        <v>59</v>
      </c>
      <c r="I1555" t="s">
        <v>60</v>
      </c>
      <c r="J1555">
        <v>4</v>
      </c>
      <c r="K1555">
        <v>284</v>
      </c>
      <c r="L1555">
        <v>1136</v>
      </c>
      <c r="M1555">
        <v>35</v>
      </c>
      <c r="N1555" t="s">
        <v>38</v>
      </c>
      <c r="O1555">
        <v>3.6</v>
      </c>
      <c r="P1555" s="2">
        <f>EOMONTH(Table1[[#This Row],[Order_Date]],0)</f>
        <v>45473</v>
      </c>
      <c r="Q1555" s="3">
        <f>WEEKNUM(Table1[[#This Row],[Order_Date]])</f>
        <v>23</v>
      </c>
      <c r="R1555">
        <f>YEAR(Table1[[#This Row],[Order_Date]])</f>
        <v>2024</v>
      </c>
      <c r="S1555" t="str">
        <f>IF(Table1[[#This Row],[Quantity]]&gt;=3,"Promo","Regular")</f>
        <v>Promo</v>
      </c>
    </row>
    <row r="1556" spans="1:19" x14ac:dyDescent="0.35">
      <c r="A1556" t="s">
        <v>2258</v>
      </c>
      <c r="B1556" t="s">
        <v>1629</v>
      </c>
      <c r="C1556" s="1">
        <v>45522</v>
      </c>
      <c r="D1556" t="s">
        <v>48</v>
      </c>
      <c r="E1556" t="s">
        <v>127</v>
      </c>
      <c r="F1556" t="s">
        <v>72</v>
      </c>
      <c r="G1556" t="s">
        <v>46</v>
      </c>
      <c r="H1556" t="s">
        <v>32</v>
      </c>
      <c r="I1556" t="s">
        <v>20</v>
      </c>
      <c r="J1556">
        <v>4</v>
      </c>
      <c r="K1556">
        <v>498</v>
      </c>
      <c r="L1556">
        <v>1992</v>
      </c>
      <c r="M1556">
        <v>22</v>
      </c>
      <c r="N1556" t="s">
        <v>33</v>
      </c>
      <c r="O1556">
        <v>5</v>
      </c>
      <c r="P1556" s="2">
        <f>EOMONTH(Table1[[#This Row],[Order_Date]],0)</f>
        <v>45535</v>
      </c>
      <c r="Q1556" s="3">
        <f>WEEKNUM(Table1[[#This Row],[Order_Date]])</f>
        <v>34</v>
      </c>
      <c r="R1556">
        <f>YEAR(Table1[[#This Row],[Order_Date]])</f>
        <v>2024</v>
      </c>
      <c r="S1556" t="str">
        <f>IF(Table1[[#This Row],[Quantity]]&gt;=3,"Promo","Regular")</f>
        <v>Promo</v>
      </c>
    </row>
    <row r="1557" spans="1:19" x14ac:dyDescent="0.35">
      <c r="A1557" t="s">
        <v>2259</v>
      </c>
      <c r="B1557" t="s">
        <v>1630</v>
      </c>
      <c r="C1557" s="1">
        <v>45557</v>
      </c>
      <c r="D1557" t="s">
        <v>48</v>
      </c>
      <c r="E1557" t="s">
        <v>68</v>
      </c>
      <c r="F1557" t="s">
        <v>41</v>
      </c>
      <c r="G1557" t="s">
        <v>25</v>
      </c>
      <c r="H1557" t="s">
        <v>37</v>
      </c>
      <c r="I1557" t="s">
        <v>20</v>
      </c>
      <c r="J1557">
        <v>3</v>
      </c>
      <c r="K1557">
        <v>298</v>
      </c>
      <c r="L1557">
        <v>894</v>
      </c>
      <c r="M1557">
        <v>20</v>
      </c>
      <c r="N1557" t="s">
        <v>38</v>
      </c>
      <c r="O1557">
        <v>3.7</v>
      </c>
      <c r="P1557" s="2">
        <f>EOMONTH(Table1[[#This Row],[Order_Date]],0)</f>
        <v>45565</v>
      </c>
      <c r="Q1557" s="3">
        <f>WEEKNUM(Table1[[#This Row],[Order_Date]])</f>
        <v>39</v>
      </c>
      <c r="R1557">
        <f>YEAR(Table1[[#This Row],[Order_Date]])</f>
        <v>2024</v>
      </c>
      <c r="S1557" t="str">
        <f>IF(Table1[[#This Row],[Quantity]]&gt;=3,"Promo","Regular")</f>
        <v>Promo</v>
      </c>
    </row>
    <row r="1558" spans="1:19" x14ac:dyDescent="0.35">
      <c r="A1558" t="s">
        <v>2259</v>
      </c>
      <c r="B1558" t="s">
        <v>1631</v>
      </c>
      <c r="C1558" s="1">
        <v>45294</v>
      </c>
      <c r="D1558" t="s">
        <v>48</v>
      </c>
      <c r="E1558" t="s">
        <v>49</v>
      </c>
      <c r="F1558" t="s">
        <v>41</v>
      </c>
      <c r="G1558" t="s">
        <v>18</v>
      </c>
      <c r="H1558" t="s">
        <v>59</v>
      </c>
      <c r="I1558" t="s">
        <v>60</v>
      </c>
      <c r="J1558">
        <v>5</v>
      </c>
      <c r="K1558">
        <v>390</v>
      </c>
      <c r="L1558">
        <v>1950</v>
      </c>
      <c r="M1558">
        <v>38</v>
      </c>
      <c r="N1558" t="s">
        <v>38</v>
      </c>
      <c r="O1558">
        <v>3.4</v>
      </c>
      <c r="P1558" s="2">
        <f>EOMONTH(Table1[[#This Row],[Order_Date]],0)</f>
        <v>45322</v>
      </c>
      <c r="Q1558" s="3">
        <f>WEEKNUM(Table1[[#This Row],[Order_Date]])</f>
        <v>1</v>
      </c>
      <c r="R1558">
        <f>YEAR(Table1[[#This Row],[Order_Date]])</f>
        <v>2024</v>
      </c>
      <c r="S1558" t="str">
        <f>IF(Table1[[#This Row],[Quantity]]&gt;=3,"Promo","Regular")</f>
        <v>Promo</v>
      </c>
    </row>
    <row r="1559" spans="1:19" x14ac:dyDescent="0.35">
      <c r="A1559" t="s">
        <v>2259</v>
      </c>
      <c r="B1559" t="s">
        <v>1632</v>
      </c>
      <c r="C1559" s="1">
        <v>45504</v>
      </c>
      <c r="D1559" t="s">
        <v>57</v>
      </c>
      <c r="E1559" t="s">
        <v>75</v>
      </c>
      <c r="F1559" t="s">
        <v>69</v>
      </c>
      <c r="G1559" t="s">
        <v>31</v>
      </c>
      <c r="H1559" t="s">
        <v>26</v>
      </c>
      <c r="I1559" t="s">
        <v>20</v>
      </c>
      <c r="J1559">
        <v>5</v>
      </c>
      <c r="K1559">
        <v>180</v>
      </c>
      <c r="L1559">
        <v>900</v>
      </c>
      <c r="M1559">
        <v>37</v>
      </c>
      <c r="N1559" t="s">
        <v>33</v>
      </c>
      <c r="O1559">
        <v>3</v>
      </c>
      <c r="P1559" s="2">
        <f>EOMONTH(Table1[[#This Row],[Order_Date]],0)</f>
        <v>45504</v>
      </c>
      <c r="Q1559" s="3">
        <f>WEEKNUM(Table1[[#This Row],[Order_Date]])</f>
        <v>31</v>
      </c>
      <c r="R1559">
        <f>YEAR(Table1[[#This Row],[Order_Date]])</f>
        <v>2024</v>
      </c>
      <c r="S1559" t="str">
        <f>IF(Table1[[#This Row],[Quantity]]&gt;=3,"Promo","Regular")</f>
        <v>Promo</v>
      </c>
    </row>
    <row r="1560" spans="1:19" x14ac:dyDescent="0.35">
      <c r="A1560" t="s">
        <v>2260</v>
      </c>
      <c r="B1560" t="s">
        <v>1633</v>
      </c>
      <c r="C1560" s="1">
        <v>45388</v>
      </c>
      <c r="D1560" t="s">
        <v>48</v>
      </c>
      <c r="E1560" t="s">
        <v>132</v>
      </c>
      <c r="F1560" t="s">
        <v>65</v>
      </c>
      <c r="G1560" t="s">
        <v>36</v>
      </c>
      <c r="H1560" t="s">
        <v>120</v>
      </c>
      <c r="I1560" t="s">
        <v>60</v>
      </c>
      <c r="J1560">
        <v>1</v>
      </c>
      <c r="K1560">
        <v>198</v>
      </c>
      <c r="L1560">
        <v>198</v>
      </c>
      <c r="M1560">
        <v>52</v>
      </c>
      <c r="N1560" t="s">
        <v>38</v>
      </c>
      <c r="O1560">
        <v>3.9</v>
      </c>
      <c r="P1560" s="2">
        <f>EOMONTH(Table1[[#This Row],[Order_Date]],0)</f>
        <v>45412</v>
      </c>
      <c r="Q1560" s="3">
        <f>WEEKNUM(Table1[[#This Row],[Order_Date]])</f>
        <v>14</v>
      </c>
      <c r="R1560">
        <f>YEAR(Table1[[#This Row],[Order_Date]])</f>
        <v>2024</v>
      </c>
      <c r="S1560" t="str">
        <f>IF(Table1[[#This Row],[Quantity]]&gt;=3,"Promo","Regular")</f>
        <v>Regular</v>
      </c>
    </row>
    <row r="1561" spans="1:19" x14ac:dyDescent="0.35">
      <c r="A1561" t="s">
        <v>2260</v>
      </c>
      <c r="B1561" t="s">
        <v>1634</v>
      </c>
      <c r="C1561" s="1">
        <v>45337</v>
      </c>
      <c r="D1561" t="s">
        <v>28</v>
      </c>
      <c r="E1561" t="s">
        <v>77</v>
      </c>
      <c r="F1561" t="s">
        <v>72</v>
      </c>
      <c r="G1561" t="s">
        <v>31</v>
      </c>
      <c r="H1561" t="s">
        <v>53</v>
      </c>
      <c r="I1561" t="s">
        <v>20</v>
      </c>
      <c r="J1561">
        <v>3</v>
      </c>
      <c r="K1561">
        <v>299</v>
      </c>
      <c r="L1561">
        <v>897</v>
      </c>
      <c r="M1561">
        <v>45</v>
      </c>
      <c r="N1561" t="s">
        <v>38</v>
      </c>
      <c r="O1561">
        <v>3.1</v>
      </c>
      <c r="P1561" s="2">
        <f>EOMONTH(Table1[[#This Row],[Order_Date]],0)</f>
        <v>45351</v>
      </c>
      <c r="Q1561" s="3">
        <f>WEEKNUM(Table1[[#This Row],[Order_Date]])</f>
        <v>7</v>
      </c>
      <c r="R1561">
        <f>YEAR(Table1[[#This Row],[Order_Date]])</f>
        <v>2024</v>
      </c>
      <c r="S1561" t="str">
        <f>IF(Table1[[#This Row],[Quantity]]&gt;=3,"Promo","Regular")</f>
        <v>Promo</v>
      </c>
    </row>
    <row r="1562" spans="1:19" x14ac:dyDescent="0.35">
      <c r="A1562" t="s">
        <v>2260</v>
      </c>
      <c r="B1562" t="s">
        <v>1635</v>
      </c>
      <c r="C1562" s="1">
        <v>45494</v>
      </c>
      <c r="D1562" t="s">
        <v>28</v>
      </c>
      <c r="E1562" t="s">
        <v>98</v>
      </c>
      <c r="F1562" t="s">
        <v>24</v>
      </c>
      <c r="G1562" t="s">
        <v>25</v>
      </c>
      <c r="H1562" t="s">
        <v>53</v>
      </c>
      <c r="I1562" t="s">
        <v>20</v>
      </c>
      <c r="J1562">
        <v>2</v>
      </c>
      <c r="K1562">
        <v>438</v>
      </c>
      <c r="L1562">
        <v>876</v>
      </c>
      <c r="M1562">
        <v>37</v>
      </c>
      <c r="N1562" t="s">
        <v>38</v>
      </c>
      <c r="O1562">
        <v>5</v>
      </c>
      <c r="P1562" s="2">
        <f>EOMONTH(Table1[[#This Row],[Order_Date]],0)</f>
        <v>45504</v>
      </c>
      <c r="Q1562" s="3">
        <f>WEEKNUM(Table1[[#This Row],[Order_Date]])</f>
        <v>30</v>
      </c>
      <c r="R1562">
        <f>YEAR(Table1[[#This Row],[Order_Date]])</f>
        <v>2024</v>
      </c>
      <c r="S1562" t="str">
        <f>IF(Table1[[#This Row],[Quantity]]&gt;=3,"Promo","Regular")</f>
        <v>Regular</v>
      </c>
    </row>
    <row r="1563" spans="1:19" x14ac:dyDescent="0.35">
      <c r="A1563" t="s">
        <v>2260</v>
      </c>
      <c r="B1563" t="s">
        <v>1636</v>
      </c>
      <c r="C1563" s="1">
        <v>45454</v>
      </c>
      <c r="D1563" t="s">
        <v>57</v>
      </c>
      <c r="E1563" t="s">
        <v>136</v>
      </c>
      <c r="F1563" t="s">
        <v>69</v>
      </c>
      <c r="G1563" t="s">
        <v>46</v>
      </c>
      <c r="H1563" t="s">
        <v>66</v>
      </c>
      <c r="I1563" t="s">
        <v>20</v>
      </c>
      <c r="J1563">
        <v>5</v>
      </c>
      <c r="K1563">
        <v>257</v>
      </c>
      <c r="L1563">
        <v>1285</v>
      </c>
      <c r="M1563">
        <v>54</v>
      </c>
      <c r="N1563" t="s">
        <v>21</v>
      </c>
      <c r="O1563">
        <v>4.4000000000000004</v>
      </c>
      <c r="P1563" s="2">
        <f>EOMONTH(Table1[[#This Row],[Order_Date]],0)</f>
        <v>45473</v>
      </c>
      <c r="Q1563" s="3">
        <f>WEEKNUM(Table1[[#This Row],[Order_Date]])</f>
        <v>24</v>
      </c>
      <c r="R1563">
        <f>YEAR(Table1[[#This Row],[Order_Date]])</f>
        <v>2024</v>
      </c>
      <c r="S1563" t="str">
        <f>IF(Table1[[#This Row],[Quantity]]&gt;=3,"Promo","Regular")</f>
        <v>Promo</v>
      </c>
    </row>
    <row r="1564" spans="1:19" x14ac:dyDescent="0.35">
      <c r="A1564" t="s">
        <v>2261</v>
      </c>
      <c r="B1564" t="s">
        <v>1637</v>
      </c>
      <c r="C1564" s="1">
        <v>45577</v>
      </c>
      <c r="D1564" t="s">
        <v>28</v>
      </c>
      <c r="E1564" t="s">
        <v>71</v>
      </c>
      <c r="F1564" t="s">
        <v>41</v>
      </c>
      <c r="G1564" t="s">
        <v>46</v>
      </c>
      <c r="H1564" t="s">
        <v>32</v>
      </c>
      <c r="I1564" t="s">
        <v>20</v>
      </c>
      <c r="J1564">
        <v>3</v>
      </c>
      <c r="K1564">
        <v>272</v>
      </c>
      <c r="L1564">
        <v>816</v>
      </c>
      <c r="M1564">
        <v>30</v>
      </c>
      <c r="N1564" t="s">
        <v>38</v>
      </c>
      <c r="O1564">
        <v>4</v>
      </c>
      <c r="P1564" s="2">
        <f>EOMONTH(Table1[[#This Row],[Order_Date]],0)</f>
        <v>45596</v>
      </c>
      <c r="Q1564" s="3">
        <f>WEEKNUM(Table1[[#This Row],[Order_Date]])</f>
        <v>41</v>
      </c>
      <c r="R1564">
        <f>YEAR(Table1[[#This Row],[Order_Date]])</f>
        <v>2024</v>
      </c>
      <c r="S1564" t="str">
        <f>IF(Table1[[#This Row],[Quantity]]&gt;=3,"Promo","Regular")</f>
        <v>Promo</v>
      </c>
    </row>
    <row r="1565" spans="1:19" x14ac:dyDescent="0.35">
      <c r="A1565" t="s">
        <v>2261</v>
      </c>
      <c r="B1565" t="s">
        <v>1638</v>
      </c>
      <c r="C1565" s="1">
        <v>45448</v>
      </c>
      <c r="D1565" t="s">
        <v>43</v>
      </c>
      <c r="E1565" t="s">
        <v>93</v>
      </c>
      <c r="F1565" t="s">
        <v>30</v>
      </c>
      <c r="G1565" t="s">
        <v>46</v>
      </c>
      <c r="H1565" t="s">
        <v>19</v>
      </c>
      <c r="I1565" t="s">
        <v>20</v>
      </c>
      <c r="J1565">
        <v>2</v>
      </c>
      <c r="K1565">
        <v>249</v>
      </c>
      <c r="L1565">
        <v>498</v>
      </c>
      <c r="M1565">
        <v>31</v>
      </c>
      <c r="N1565" t="s">
        <v>21</v>
      </c>
      <c r="O1565">
        <v>3.5</v>
      </c>
      <c r="P1565" s="2">
        <f>EOMONTH(Table1[[#This Row],[Order_Date]],0)</f>
        <v>45473</v>
      </c>
      <c r="Q1565" s="3">
        <f>WEEKNUM(Table1[[#This Row],[Order_Date]])</f>
        <v>23</v>
      </c>
      <c r="R1565">
        <f>YEAR(Table1[[#This Row],[Order_Date]])</f>
        <v>2024</v>
      </c>
      <c r="S1565" t="str">
        <f>IF(Table1[[#This Row],[Quantity]]&gt;=3,"Promo","Regular")</f>
        <v>Regular</v>
      </c>
    </row>
    <row r="1566" spans="1:19" x14ac:dyDescent="0.35">
      <c r="A1566" t="s">
        <v>2261</v>
      </c>
      <c r="B1566" t="s">
        <v>1639</v>
      </c>
      <c r="C1566" s="1">
        <v>45456</v>
      </c>
      <c r="D1566" t="s">
        <v>57</v>
      </c>
      <c r="E1566" t="s">
        <v>136</v>
      </c>
      <c r="F1566" t="s">
        <v>45</v>
      </c>
      <c r="G1566" t="s">
        <v>25</v>
      </c>
      <c r="H1566" t="s">
        <v>59</v>
      </c>
      <c r="I1566" t="s">
        <v>60</v>
      </c>
      <c r="J1566">
        <v>5</v>
      </c>
      <c r="K1566">
        <v>297</v>
      </c>
      <c r="L1566">
        <v>1485</v>
      </c>
      <c r="M1566">
        <v>21</v>
      </c>
      <c r="N1566" t="s">
        <v>33</v>
      </c>
      <c r="O1566">
        <v>3.1</v>
      </c>
      <c r="P1566" s="2">
        <f>EOMONTH(Table1[[#This Row],[Order_Date]],0)</f>
        <v>45473</v>
      </c>
      <c r="Q1566" s="3">
        <f>WEEKNUM(Table1[[#This Row],[Order_Date]])</f>
        <v>24</v>
      </c>
      <c r="R1566">
        <f>YEAR(Table1[[#This Row],[Order_Date]])</f>
        <v>2024</v>
      </c>
      <c r="S1566" t="str">
        <f>IF(Table1[[#This Row],[Quantity]]&gt;=3,"Promo","Regular")</f>
        <v>Promo</v>
      </c>
    </row>
    <row r="1567" spans="1:19" x14ac:dyDescent="0.35">
      <c r="A1567" t="s">
        <v>2261</v>
      </c>
      <c r="B1567" t="s">
        <v>1640</v>
      </c>
      <c r="C1567" s="1">
        <v>45569</v>
      </c>
      <c r="D1567" t="s">
        <v>43</v>
      </c>
      <c r="E1567" t="s">
        <v>52</v>
      </c>
      <c r="F1567" t="s">
        <v>41</v>
      </c>
      <c r="G1567" t="s">
        <v>73</v>
      </c>
      <c r="H1567" t="s">
        <v>50</v>
      </c>
      <c r="I1567" t="s">
        <v>20</v>
      </c>
      <c r="J1567">
        <v>4</v>
      </c>
      <c r="K1567">
        <v>402</v>
      </c>
      <c r="L1567">
        <v>1608</v>
      </c>
      <c r="M1567">
        <v>22</v>
      </c>
      <c r="N1567" t="s">
        <v>21</v>
      </c>
      <c r="O1567">
        <v>3.9</v>
      </c>
      <c r="P1567" s="2">
        <f>EOMONTH(Table1[[#This Row],[Order_Date]],0)</f>
        <v>45596</v>
      </c>
      <c r="Q1567" s="3">
        <f>WEEKNUM(Table1[[#This Row],[Order_Date]])</f>
        <v>40</v>
      </c>
      <c r="R1567">
        <f>YEAR(Table1[[#This Row],[Order_Date]])</f>
        <v>2024</v>
      </c>
      <c r="S1567" t="str">
        <f>IF(Table1[[#This Row],[Quantity]]&gt;=3,"Promo","Regular")</f>
        <v>Promo</v>
      </c>
    </row>
    <row r="1568" spans="1:19" x14ac:dyDescent="0.35">
      <c r="A1568" t="s">
        <v>2261</v>
      </c>
      <c r="B1568" t="s">
        <v>1641</v>
      </c>
      <c r="C1568" s="1">
        <v>45357</v>
      </c>
      <c r="D1568" t="s">
        <v>43</v>
      </c>
      <c r="E1568" t="s">
        <v>110</v>
      </c>
      <c r="F1568" t="s">
        <v>30</v>
      </c>
      <c r="G1568" t="s">
        <v>31</v>
      </c>
      <c r="H1568" t="s">
        <v>120</v>
      </c>
      <c r="I1568" t="s">
        <v>60</v>
      </c>
      <c r="J1568">
        <v>2</v>
      </c>
      <c r="K1568">
        <v>266</v>
      </c>
      <c r="L1568">
        <v>532</v>
      </c>
      <c r="M1568">
        <v>51</v>
      </c>
      <c r="N1568" t="s">
        <v>21</v>
      </c>
      <c r="O1568">
        <v>3.9</v>
      </c>
      <c r="P1568" s="2">
        <f>EOMONTH(Table1[[#This Row],[Order_Date]],0)</f>
        <v>45382</v>
      </c>
      <c r="Q1568" s="3">
        <f>WEEKNUM(Table1[[#This Row],[Order_Date]])</f>
        <v>10</v>
      </c>
      <c r="R1568">
        <f>YEAR(Table1[[#This Row],[Order_Date]])</f>
        <v>2024</v>
      </c>
      <c r="S1568" t="str">
        <f>IF(Table1[[#This Row],[Quantity]]&gt;=3,"Promo","Regular")</f>
        <v>Regular</v>
      </c>
    </row>
    <row r="1569" spans="1:19" x14ac:dyDescent="0.35">
      <c r="A1569" t="s">
        <v>2262</v>
      </c>
      <c r="B1569" t="s">
        <v>1642</v>
      </c>
      <c r="C1569" s="1">
        <v>45349</v>
      </c>
      <c r="D1569" t="s">
        <v>28</v>
      </c>
      <c r="E1569" t="s">
        <v>71</v>
      </c>
      <c r="F1569" t="s">
        <v>85</v>
      </c>
      <c r="G1569" t="s">
        <v>25</v>
      </c>
      <c r="H1569" t="s">
        <v>120</v>
      </c>
      <c r="I1569" t="s">
        <v>60</v>
      </c>
      <c r="J1569">
        <v>5</v>
      </c>
      <c r="K1569">
        <v>336</v>
      </c>
      <c r="L1569">
        <v>1680</v>
      </c>
      <c r="M1569">
        <v>53</v>
      </c>
      <c r="N1569" t="s">
        <v>21</v>
      </c>
      <c r="O1569">
        <v>4.5</v>
      </c>
      <c r="P1569" s="2">
        <f>EOMONTH(Table1[[#This Row],[Order_Date]],0)</f>
        <v>45351</v>
      </c>
      <c r="Q1569" s="3">
        <f>WEEKNUM(Table1[[#This Row],[Order_Date]])</f>
        <v>9</v>
      </c>
      <c r="R1569">
        <f>YEAR(Table1[[#This Row],[Order_Date]])</f>
        <v>2024</v>
      </c>
      <c r="S1569" t="str">
        <f>IF(Table1[[#This Row],[Quantity]]&gt;=3,"Promo","Regular")</f>
        <v>Promo</v>
      </c>
    </row>
    <row r="1570" spans="1:19" x14ac:dyDescent="0.35">
      <c r="A1570" t="s">
        <v>2262</v>
      </c>
      <c r="B1570" t="s">
        <v>1643</v>
      </c>
      <c r="C1570" s="1">
        <v>45324</v>
      </c>
      <c r="D1570" t="s">
        <v>28</v>
      </c>
      <c r="E1570" t="s">
        <v>71</v>
      </c>
      <c r="F1570" t="s">
        <v>85</v>
      </c>
      <c r="G1570" t="s">
        <v>31</v>
      </c>
      <c r="H1570" t="s">
        <v>53</v>
      </c>
      <c r="I1570" t="s">
        <v>20</v>
      </c>
      <c r="J1570">
        <v>1</v>
      </c>
      <c r="K1570">
        <v>139</v>
      </c>
      <c r="L1570">
        <v>139</v>
      </c>
      <c r="M1570">
        <v>59</v>
      </c>
      <c r="N1570" t="s">
        <v>21</v>
      </c>
      <c r="O1570">
        <v>3.4</v>
      </c>
      <c r="P1570" s="2">
        <f>EOMONTH(Table1[[#This Row],[Order_Date]],0)</f>
        <v>45351</v>
      </c>
      <c r="Q1570" s="3">
        <f>WEEKNUM(Table1[[#This Row],[Order_Date]])</f>
        <v>5</v>
      </c>
      <c r="R1570">
        <f>YEAR(Table1[[#This Row],[Order_Date]])</f>
        <v>2024</v>
      </c>
      <c r="S1570" t="str">
        <f>IF(Table1[[#This Row],[Quantity]]&gt;=3,"Promo","Regular")</f>
        <v>Regular</v>
      </c>
    </row>
    <row r="1571" spans="1:19" x14ac:dyDescent="0.35">
      <c r="A1571" t="s">
        <v>2262</v>
      </c>
      <c r="B1571" t="s">
        <v>1644</v>
      </c>
      <c r="C1571" s="1">
        <v>45426</v>
      </c>
      <c r="D1571" t="s">
        <v>28</v>
      </c>
      <c r="E1571" t="s">
        <v>98</v>
      </c>
      <c r="F1571" t="s">
        <v>30</v>
      </c>
      <c r="G1571" t="s">
        <v>73</v>
      </c>
      <c r="H1571" t="s">
        <v>120</v>
      </c>
      <c r="I1571" t="s">
        <v>60</v>
      </c>
      <c r="J1571">
        <v>4</v>
      </c>
      <c r="K1571">
        <v>194</v>
      </c>
      <c r="L1571">
        <v>776</v>
      </c>
      <c r="M1571">
        <v>56</v>
      </c>
      <c r="N1571" t="s">
        <v>21</v>
      </c>
      <c r="O1571">
        <v>3.2</v>
      </c>
      <c r="P1571" s="2">
        <f>EOMONTH(Table1[[#This Row],[Order_Date]],0)</f>
        <v>45443</v>
      </c>
      <c r="Q1571" s="3">
        <f>WEEKNUM(Table1[[#This Row],[Order_Date]])</f>
        <v>20</v>
      </c>
      <c r="R1571">
        <f>YEAR(Table1[[#This Row],[Order_Date]])</f>
        <v>2024</v>
      </c>
      <c r="S1571" t="str">
        <f>IF(Table1[[#This Row],[Quantity]]&gt;=3,"Promo","Regular")</f>
        <v>Promo</v>
      </c>
    </row>
    <row r="1572" spans="1:19" x14ac:dyDescent="0.35">
      <c r="A1572" t="s">
        <v>2262</v>
      </c>
      <c r="B1572" t="s">
        <v>1645</v>
      </c>
      <c r="C1572" s="1">
        <v>45390</v>
      </c>
      <c r="D1572" t="s">
        <v>15</v>
      </c>
      <c r="E1572" t="s">
        <v>16</v>
      </c>
      <c r="F1572" t="s">
        <v>85</v>
      </c>
      <c r="G1572" t="s">
        <v>46</v>
      </c>
      <c r="H1572" t="s">
        <v>120</v>
      </c>
      <c r="I1572" t="s">
        <v>60</v>
      </c>
      <c r="J1572">
        <v>2</v>
      </c>
      <c r="K1572">
        <v>245</v>
      </c>
      <c r="L1572">
        <v>490</v>
      </c>
      <c r="M1572">
        <v>25</v>
      </c>
      <c r="N1572" t="s">
        <v>33</v>
      </c>
      <c r="O1572">
        <v>3.8</v>
      </c>
      <c r="P1572" s="2">
        <f>EOMONTH(Table1[[#This Row],[Order_Date]],0)</f>
        <v>45412</v>
      </c>
      <c r="Q1572" s="3">
        <f>WEEKNUM(Table1[[#This Row],[Order_Date]])</f>
        <v>15</v>
      </c>
      <c r="R1572">
        <f>YEAR(Table1[[#This Row],[Order_Date]])</f>
        <v>2024</v>
      </c>
      <c r="S1572" t="str">
        <f>IF(Table1[[#This Row],[Quantity]]&gt;=3,"Promo","Regular")</f>
        <v>Regular</v>
      </c>
    </row>
    <row r="1573" spans="1:19" x14ac:dyDescent="0.35">
      <c r="A1573" t="s">
        <v>2263</v>
      </c>
      <c r="B1573" t="s">
        <v>1646</v>
      </c>
      <c r="C1573" s="1">
        <v>45568</v>
      </c>
      <c r="D1573" t="s">
        <v>57</v>
      </c>
      <c r="E1573" t="s">
        <v>75</v>
      </c>
      <c r="F1573" t="s">
        <v>72</v>
      </c>
      <c r="G1573" t="s">
        <v>36</v>
      </c>
      <c r="H1573" t="s">
        <v>19</v>
      </c>
      <c r="I1573" t="s">
        <v>20</v>
      </c>
      <c r="J1573">
        <v>2</v>
      </c>
      <c r="K1573">
        <v>308</v>
      </c>
      <c r="L1573">
        <v>616</v>
      </c>
      <c r="M1573">
        <v>28</v>
      </c>
      <c r="N1573" t="s">
        <v>38</v>
      </c>
      <c r="O1573">
        <v>4.5</v>
      </c>
      <c r="P1573" s="2">
        <f>EOMONTH(Table1[[#This Row],[Order_Date]],0)</f>
        <v>45596</v>
      </c>
      <c r="Q1573" s="3">
        <f>WEEKNUM(Table1[[#This Row],[Order_Date]])</f>
        <v>40</v>
      </c>
      <c r="R1573">
        <f>YEAR(Table1[[#This Row],[Order_Date]])</f>
        <v>2024</v>
      </c>
      <c r="S1573" t="str">
        <f>IF(Table1[[#This Row],[Quantity]]&gt;=3,"Promo","Regular")</f>
        <v>Regular</v>
      </c>
    </row>
    <row r="1574" spans="1:19" x14ac:dyDescent="0.35">
      <c r="A1574" t="s">
        <v>2263</v>
      </c>
      <c r="B1574" t="s">
        <v>1647</v>
      </c>
      <c r="C1574" s="1">
        <v>45354</v>
      </c>
      <c r="D1574" t="s">
        <v>43</v>
      </c>
      <c r="E1574" t="s">
        <v>52</v>
      </c>
      <c r="F1574" t="s">
        <v>69</v>
      </c>
      <c r="G1574" t="s">
        <v>18</v>
      </c>
      <c r="H1574" t="s">
        <v>26</v>
      </c>
      <c r="I1574" t="s">
        <v>20</v>
      </c>
      <c r="J1574">
        <v>3</v>
      </c>
      <c r="K1574">
        <v>167</v>
      </c>
      <c r="L1574">
        <v>501</v>
      </c>
      <c r="M1574">
        <v>48</v>
      </c>
      <c r="N1574" t="s">
        <v>33</v>
      </c>
      <c r="O1574">
        <v>4.0999999999999996</v>
      </c>
      <c r="P1574" s="2">
        <f>EOMONTH(Table1[[#This Row],[Order_Date]],0)</f>
        <v>45382</v>
      </c>
      <c r="Q1574" s="3">
        <f>WEEKNUM(Table1[[#This Row],[Order_Date]])</f>
        <v>10</v>
      </c>
      <c r="R1574">
        <f>YEAR(Table1[[#This Row],[Order_Date]])</f>
        <v>2024</v>
      </c>
      <c r="S1574" t="str">
        <f>IF(Table1[[#This Row],[Quantity]]&gt;=3,"Promo","Regular")</f>
        <v>Promo</v>
      </c>
    </row>
    <row r="1575" spans="1:19" x14ac:dyDescent="0.35">
      <c r="A1575" t="s">
        <v>2263</v>
      </c>
      <c r="B1575" t="s">
        <v>1648</v>
      </c>
      <c r="C1575" s="1">
        <v>45327</v>
      </c>
      <c r="D1575" t="s">
        <v>57</v>
      </c>
      <c r="E1575" t="s">
        <v>105</v>
      </c>
      <c r="F1575" t="s">
        <v>30</v>
      </c>
      <c r="G1575" t="s">
        <v>18</v>
      </c>
      <c r="H1575" t="s">
        <v>26</v>
      </c>
      <c r="I1575" t="s">
        <v>20</v>
      </c>
      <c r="J1575">
        <v>3</v>
      </c>
      <c r="K1575">
        <v>122</v>
      </c>
      <c r="L1575">
        <v>366</v>
      </c>
      <c r="M1575">
        <v>28</v>
      </c>
      <c r="N1575" t="s">
        <v>38</v>
      </c>
      <c r="O1575">
        <v>4.7</v>
      </c>
      <c r="P1575" s="2">
        <f>EOMONTH(Table1[[#This Row],[Order_Date]],0)</f>
        <v>45351</v>
      </c>
      <c r="Q1575" s="3">
        <f>WEEKNUM(Table1[[#This Row],[Order_Date]])</f>
        <v>6</v>
      </c>
      <c r="R1575">
        <f>YEAR(Table1[[#This Row],[Order_Date]])</f>
        <v>2024</v>
      </c>
      <c r="S1575" t="str">
        <f>IF(Table1[[#This Row],[Quantity]]&gt;=3,"Promo","Regular")</f>
        <v>Promo</v>
      </c>
    </row>
    <row r="1576" spans="1:19" x14ac:dyDescent="0.35">
      <c r="A1576" t="s">
        <v>2264</v>
      </c>
      <c r="B1576" t="s">
        <v>1649</v>
      </c>
      <c r="C1576" s="1">
        <v>45560</v>
      </c>
      <c r="D1576" t="s">
        <v>57</v>
      </c>
      <c r="E1576" t="s">
        <v>105</v>
      </c>
      <c r="F1576" t="s">
        <v>41</v>
      </c>
      <c r="G1576" t="s">
        <v>18</v>
      </c>
      <c r="H1576" t="s">
        <v>53</v>
      </c>
      <c r="I1576" t="s">
        <v>20</v>
      </c>
      <c r="J1576">
        <v>4</v>
      </c>
      <c r="K1576">
        <v>298</v>
      </c>
      <c r="L1576">
        <v>1192</v>
      </c>
      <c r="M1576">
        <v>20</v>
      </c>
      <c r="N1576" t="s">
        <v>21</v>
      </c>
      <c r="O1576">
        <v>3.3</v>
      </c>
      <c r="P1576" s="2">
        <f>EOMONTH(Table1[[#This Row],[Order_Date]],0)</f>
        <v>45565</v>
      </c>
      <c r="Q1576" s="3">
        <f>WEEKNUM(Table1[[#This Row],[Order_Date]])</f>
        <v>39</v>
      </c>
      <c r="R1576">
        <f>YEAR(Table1[[#This Row],[Order_Date]])</f>
        <v>2024</v>
      </c>
      <c r="S1576" t="str">
        <f>IF(Table1[[#This Row],[Quantity]]&gt;=3,"Promo","Regular")</f>
        <v>Promo</v>
      </c>
    </row>
    <row r="1577" spans="1:19" x14ac:dyDescent="0.35">
      <c r="A1577" t="s">
        <v>2264</v>
      </c>
      <c r="B1577" t="s">
        <v>1650</v>
      </c>
      <c r="C1577" s="1">
        <v>45422</v>
      </c>
      <c r="D1577" t="s">
        <v>57</v>
      </c>
      <c r="E1577" t="s">
        <v>136</v>
      </c>
      <c r="F1577" t="s">
        <v>17</v>
      </c>
      <c r="G1577" t="s">
        <v>46</v>
      </c>
      <c r="H1577" t="s">
        <v>55</v>
      </c>
      <c r="I1577" t="s">
        <v>20</v>
      </c>
      <c r="J1577">
        <v>1</v>
      </c>
      <c r="K1577">
        <v>458</v>
      </c>
      <c r="L1577">
        <v>458</v>
      </c>
      <c r="M1577">
        <v>49</v>
      </c>
      <c r="N1577" t="s">
        <v>21</v>
      </c>
      <c r="O1577">
        <v>4.4000000000000004</v>
      </c>
      <c r="P1577" s="2">
        <f>EOMONTH(Table1[[#This Row],[Order_Date]],0)</f>
        <v>45443</v>
      </c>
      <c r="Q1577" s="3">
        <f>WEEKNUM(Table1[[#This Row],[Order_Date]])</f>
        <v>19</v>
      </c>
      <c r="R1577">
        <f>YEAR(Table1[[#This Row],[Order_Date]])</f>
        <v>2024</v>
      </c>
      <c r="S1577" t="str">
        <f>IF(Table1[[#This Row],[Quantity]]&gt;=3,"Promo","Regular")</f>
        <v>Regular</v>
      </c>
    </row>
    <row r="1578" spans="1:19" x14ac:dyDescent="0.35">
      <c r="A1578" t="s">
        <v>2264</v>
      </c>
      <c r="B1578" t="s">
        <v>1651</v>
      </c>
      <c r="C1578" s="1">
        <v>45576</v>
      </c>
      <c r="D1578" t="s">
        <v>43</v>
      </c>
      <c r="E1578" t="s">
        <v>82</v>
      </c>
      <c r="F1578" t="s">
        <v>85</v>
      </c>
      <c r="G1578" t="s">
        <v>46</v>
      </c>
      <c r="H1578" t="s">
        <v>59</v>
      </c>
      <c r="I1578" t="s">
        <v>60</v>
      </c>
      <c r="J1578">
        <v>3</v>
      </c>
      <c r="K1578">
        <v>104</v>
      </c>
      <c r="L1578">
        <v>312</v>
      </c>
      <c r="M1578">
        <v>27</v>
      </c>
      <c r="N1578" t="s">
        <v>38</v>
      </c>
      <c r="O1578">
        <v>4.2</v>
      </c>
      <c r="P1578" s="2">
        <f>EOMONTH(Table1[[#This Row],[Order_Date]],0)</f>
        <v>45596</v>
      </c>
      <c r="Q1578" s="3">
        <f>WEEKNUM(Table1[[#This Row],[Order_Date]])</f>
        <v>41</v>
      </c>
      <c r="R1578">
        <f>YEAR(Table1[[#This Row],[Order_Date]])</f>
        <v>2024</v>
      </c>
      <c r="S1578" t="str">
        <f>IF(Table1[[#This Row],[Quantity]]&gt;=3,"Promo","Regular")</f>
        <v>Promo</v>
      </c>
    </row>
    <row r="1579" spans="1:19" x14ac:dyDescent="0.35">
      <c r="A1579" t="s">
        <v>2264</v>
      </c>
      <c r="B1579" t="s">
        <v>1652</v>
      </c>
      <c r="C1579" s="1">
        <v>45538</v>
      </c>
      <c r="D1579" t="s">
        <v>43</v>
      </c>
      <c r="E1579" t="s">
        <v>52</v>
      </c>
      <c r="F1579" t="s">
        <v>65</v>
      </c>
      <c r="G1579" t="s">
        <v>18</v>
      </c>
      <c r="H1579" t="s">
        <v>26</v>
      </c>
      <c r="I1579" t="s">
        <v>20</v>
      </c>
      <c r="J1579">
        <v>4</v>
      </c>
      <c r="K1579">
        <v>225</v>
      </c>
      <c r="L1579">
        <v>900</v>
      </c>
      <c r="M1579">
        <v>25</v>
      </c>
      <c r="N1579" t="s">
        <v>21</v>
      </c>
      <c r="O1579">
        <v>4.7</v>
      </c>
      <c r="P1579" s="2">
        <f>EOMONTH(Table1[[#This Row],[Order_Date]],0)</f>
        <v>45565</v>
      </c>
      <c r="Q1579" s="3">
        <f>WEEKNUM(Table1[[#This Row],[Order_Date]])</f>
        <v>36</v>
      </c>
      <c r="R1579">
        <f>YEAR(Table1[[#This Row],[Order_Date]])</f>
        <v>2024</v>
      </c>
      <c r="S1579" t="str">
        <f>IF(Table1[[#This Row],[Quantity]]&gt;=3,"Promo","Regular")</f>
        <v>Promo</v>
      </c>
    </row>
    <row r="1580" spans="1:19" x14ac:dyDescent="0.35">
      <c r="A1580" t="s">
        <v>2264</v>
      </c>
      <c r="B1580" t="s">
        <v>1653</v>
      </c>
      <c r="C1580" s="1">
        <v>45314</v>
      </c>
      <c r="D1580" t="s">
        <v>43</v>
      </c>
      <c r="E1580" t="s">
        <v>52</v>
      </c>
      <c r="F1580" t="s">
        <v>30</v>
      </c>
      <c r="G1580" t="s">
        <v>18</v>
      </c>
      <c r="H1580" t="s">
        <v>55</v>
      </c>
      <c r="I1580" t="s">
        <v>20</v>
      </c>
      <c r="J1580">
        <v>2</v>
      </c>
      <c r="K1580">
        <v>106</v>
      </c>
      <c r="L1580">
        <v>212</v>
      </c>
      <c r="M1580">
        <v>55</v>
      </c>
      <c r="N1580" t="s">
        <v>33</v>
      </c>
      <c r="O1580">
        <v>4.0999999999999996</v>
      </c>
      <c r="P1580" s="2">
        <f>EOMONTH(Table1[[#This Row],[Order_Date]],0)</f>
        <v>45322</v>
      </c>
      <c r="Q1580" s="3">
        <f>WEEKNUM(Table1[[#This Row],[Order_Date]])</f>
        <v>4</v>
      </c>
      <c r="R1580">
        <f>YEAR(Table1[[#This Row],[Order_Date]])</f>
        <v>2024</v>
      </c>
      <c r="S1580" t="str">
        <f>IF(Table1[[#This Row],[Quantity]]&gt;=3,"Promo","Regular")</f>
        <v>Regular</v>
      </c>
    </row>
    <row r="1581" spans="1:19" x14ac:dyDescent="0.35">
      <c r="A1581" t="s">
        <v>2265</v>
      </c>
      <c r="B1581" t="s">
        <v>1654</v>
      </c>
      <c r="C1581" s="1">
        <v>45303</v>
      </c>
      <c r="D1581" t="s">
        <v>15</v>
      </c>
      <c r="E1581" t="s">
        <v>23</v>
      </c>
      <c r="F1581" t="s">
        <v>72</v>
      </c>
      <c r="G1581" t="s">
        <v>73</v>
      </c>
      <c r="H1581" t="s">
        <v>53</v>
      </c>
      <c r="I1581" t="s">
        <v>20</v>
      </c>
      <c r="J1581">
        <v>5</v>
      </c>
      <c r="K1581">
        <v>337</v>
      </c>
      <c r="L1581">
        <v>1685</v>
      </c>
      <c r="M1581">
        <v>20</v>
      </c>
      <c r="N1581" t="s">
        <v>33</v>
      </c>
      <c r="O1581">
        <v>4.0999999999999996</v>
      </c>
      <c r="P1581" s="2">
        <f>EOMONTH(Table1[[#This Row],[Order_Date]],0)</f>
        <v>45322</v>
      </c>
      <c r="Q1581" s="3">
        <f>WEEKNUM(Table1[[#This Row],[Order_Date]])</f>
        <v>2</v>
      </c>
      <c r="R1581">
        <f>YEAR(Table1[[#This Row],[Order_Date]])</f>
        <v>2024</v>
      </c>
      <c r="S1581" t="str">
        <f>IF(Table1[[#This Row],[Quantity]]&gt;=3,"Promo","Regular")</f>
        <v>Promo</v>
      </c>
    </row>
    <row r="1582" spans="1:19" x14ac:dyDescent="0.35">
      <c r="A1582" t="s">
        <v>2265</v>
      </c>
      <c r="B1582" t="s">
        <v>1655</v>
      </c>
      <c r="C1582" s="1">
        <v>45398</v>
      </c>
      <c r="D1582" t="s">
        <v>48</v>
      </c>
      <c r="E1582" t="s">
        <v>64</v>
      </c>
      <c r="F1582" t="s">
        <v>65</v>
      </c>
      <c r="G1582" t="s">
        <v>31</v>
      </c>
      <c r="H1582" t="s">
        <v>19</v>
      </c>
      <c r="I1582" t="s">
        <v>20</v>
      </c>
      <c r="J1582">
        <v>3</v>
      </c>
      <c r="K1582">
        <v>332</v>
      </c>
      <c r="L1582">
        <v>996</v>
      </c>
      <c r="M1582">
        <v>35</v>
      </c>
      <c r="N1582" t="s">
        <v>21</v>
      </c>
      <c r="O1582">
        <v>4.5</v>
      </c>
      <c r="P1582" s="2">
        <f>EOMONTH(Table1[[#This Row],[Order_Date]],0)</f>
        <v>45412</v>
      </c>
      <c r="Q1582" s="3">
        <f>WEEKNUM(Table1[[#This Row],[Order_Date]])</f>
        <v>16</v>
      </c>
      <c r="R1582">
        <f>YEAR(Table1[[#This Row],[Order_Date]])</f>
        <v>2024</v>
      </c>
      <c r="S1582" t="str">
        <f>IF(Table1[[#This Row],[Quantity]]&gt;=3,"Promo","Regular")</f>
        <v>Promo</v>
      </c>
    </row>
    <row r="1583" spans="1:19" x14ac:dyDescent="0.35">
      <c r="A1583" t="s">
        <v>2265</v>
      </c>
      <c r="B1583" t="s">
        <v>1656</v>
      </c>
      <c r="C1583" s="1">
        <v>45342</v>
      </c>
      <c r="D1583" t="s">
        <v>43</v>
      </c>
      <c r="E1583" t="s">
        <v>110</v>
      </c>
      <c r="F1583" t="s">
        <v>35</v>
      </c>
      <c r="G1583" t="s">
        <v>18</v>
      </c>
      <c r="H1583" t="s">
        <v>120</v>
      </c>
      <c r="I1583" t="s">
        <v>60</v>
      </c>
      <c r="J1583">
        <v>1</v>
      </c>
      <c r="K1583">
        <v>344</v>
      </c>
      <c r="L1583">
        <v>344</v>
      </c>
      <c r="M1583">
        <v>26</v>
      </c>
      <c r="N1583" t="s">
        <v>33</v>
      </c>
      <c r="O1583">
        <v>3.6</v>
      </c>
      <c r="P1583" s="2">
        <f>EOMONTH(Table1[[#This Row],[Order_Date]],0)</f>
        <v>45351</v>
      </c>
      <c r="Q1583" s="3">
        <f>WEEKNUM(Table1[[#This Row],[Order_Date]])</f>
        <v>8</v>
      </c>
      <c r="R1583">
        <f>YEAR(Table1[[#This Row],[Order_Date]])</f>
        <v>2024</v>
      </c>
      <c r="S1583" t="str">
        <f>IF(Table1[[#This Row],[Quantity]]&gt;=3,"Promo","Regular")</f>
        <v>Regular</v>
      </c>
    </row>
    <row r="1584" spans="1:19" x14ac:dyDescent="0.35">
      <c r="A1584" t="s">
        <v>2265</v>
      </c>
      <c r="B1584" t="s">
        <v>1657</v>
      </c>
      <c r="C1584" s="1">
        <v>45317</v>
      </c>
      <c r="D1584" t="s">
        <v>28</v>
      </c>
      <c r="E1584" t="s">
        <v>77</v>
      </c>
      <c r="F1584" t="s">
        <v>35</v>
      </c>
      <c r="G1584" t="s">
        <v>73</v>
      </c>
      <c r="H1584" t="s">
        <v>55</v>
      </c>
      <c r="I1584" t="s">
        <v>20</v>
      </c>
      <c r="J1584">
        <v>1</v>
      </c>
      <c r="K1584">
        <v>408</v>
      </c>
      <c r="L1584">
        <v>408</v>
      </c>
      <c r="M1584">
        <v>56</v>
      </c>
      <c r="N1584" t="s">
        <v>21</v>
      </c>
      <c r="O1584">
        <v>5</v>
      </c>
      <c r="P1584" s="2">
        <f>EOMONTH(Table1[[#This Row],[Order_Date]],0)</f>
        <v>45322</v>
      </c>
      <c r="Q1584" s="3">
        <f>WEEKNUM(Table1[[#This Row],[Order_Date]])</f>
        <v>4</v>
      </c>
      <c r="R1584">
        <f>YEAR(Table1[[#This Row],[Order_Date]])</f>
        <v>2024</v>
      </c>
      <c r="S1584" t="str">
        <f>IF(Table1[[#This Row],[Quantity]]&gt;=3,"Promo","Regular")</f>
        <v>Regular</v>
      </c>
    </row>
    <row r="1585" spans="1:19" x14ac:dyDescent="0.35">
      <c r="A1585" t="s">
        <v>2265</v>
      </c>
      <c r="B1585" t="s">
        <v>1658</v>
      </c>
      <c r="C1585" s="1">
        <v>45495</v>
      </c>
      <c r="D1585" t="s">
        <v>57</v>
      </c>
      <c r="E1585" t="s">
        <v>62</v>
      </c>
      <c r="F1585" t="s">
        <v>41</v>
      </c>
      <c r="G1585" t="s">
        <v>18</v>
      </c>
      <c r="H1585" t="s">
        <v>32</v>
      </c>
      <c r="I1585" t="s">
        <v>20</v>
      </c>
      <c r="J1585">
        <v>5</v>
      </c>
      <c r="K1585">
        <v>187</v>
      </c>
      <c r="L1585">
        <v>935</v>
      </c>
      <c r="M1585">
        <v>36</v>
      </c>
      <c r="N1585" t="s">
        <v>33</v>
      </c>
      <c r="O1585">
        <v>3.7</v>
      </c>
      <c r="P1585" s="2">
        <f>EOMONTH(Table1[[#This Row],[Order_Date]],0)</f>
        <v>45504</v>
      </c>
      <c r="Q1585" s="3">
        <f>WEEKNUM(Table1[[#This Row],[Order_Date]])</f>
        <v>30</v>
      </c>
      <c r="R1585">
        <f>YEAR(Table1[[#This Row],[Order_Date]])</f>
        <v>2024</v>
      </c>
      <c r="S1585" t="str">
        <f>IF(Table1[[#This Row],[Quantity]]&gt;=3,"Promo","Regular")</f>
        <v>Promo</v>
      </c>
    </row>
    <row r="1586" spans="1:19" x14ac:dyDescent="0.35">
      <c r="A1586" t="s">
        <v>2266</v>
      </c>
      <c r="B1586" t="s">
        <v>1659</v>
      </c>
      <c r="C1586" s="1">
        <v>45481</v>
      </c>
      <c r="D1586" t="s">
        <v>57</v>
      </c>
      <c r="E1586" t="s">
        <v>105</v>
      </c>
      <c r="F1586" t="s">
        <v>35</v>
      </c>
      <c r="G1586" t="s">
        <v>73</v>
      </c>
      <c r="H1586" t="s">
        <v>32</v>
      </c>
      <c r="I1586" t="s">
        <v>20</v>
      </c>
      <c r="J1586">
        <v>4</v>
      </c>
      <c r="K1586">
        <v>222</v>
      </c>
      <c r="L1586">
        <v>888</v>
      </c>
      <c r="M1586">
        <v>31</v>
      </c>
      <c r="N1586" t="s">
        <v>21</v>
      </c>
      <c r="O1586">
        <v>3.4</v>
      </c>
      <c r="P1586" s="2">
        <f>EOMONTH(Table1[[#This Row],[Order_Date]],0)</f>
        <v>45504</v>
      </c>
      <c r="Q1586" s="3">
        <f>WEEKNUM(Table1[[#This Row],[Order_Date]])</f>
        <v>28</v>
      </c>
      <c r="R1586">
        <f>YEAR(Table1[[#This Row],[Order_Date]])</f>
        <v>2024</v>
      </c>
      <c r="S1586" t="str">
        <f>IF(Table1[[#This Row],[Quantity]]&gt;=3,"Promo","Regular")</f>
        <v>Promo</v>
      </c>
    </row>
    <row r="1587" spans="1:19" x14ac:dyDescent="0.35">
      <c r="A1587" t="s">
        <v>2266</v>
      </c>
      <c r="B1587" t="s">
        <v>1660</v>
      </c>
      <c r="C1587" s="1">
        <v>45445</v>
      </c>
      <c r="D1587" t="s">
        <v>28</v>
      </c>
      <c r="E1587" t="s">
        <v>40</v>
      </c>
      <c r="F1587" t="s">
        <v>30</v>
      </c>
      <c r="G1587" t="s">
        <v>46</v>
      </c>
      <c r="H1587" t="s">
        <v>26</v>
      </c>
      <c r="I1587" t="s">
        <v>20</v>
      </c>
      <c r="J1587">
        <v>1</v>
      </c>
      <c r="K1587">
        <v>360</v>
      </c>
      <c r="L1587">
        <v>360</v>
      </c>
      <c r="M1587">
        <v>46</v>
      </c>
      <c r="N1587" t="s">
        <v>21</v>
      </c>
      <c r="O1587">
        <v>3</v>
      </c>
      <c r="P1587" s="2">
        <f>EOMONTH(Table1[[#This Row],[Order_Date]],0)</f>
        <v>45473</v>
      </c>
      <c r="Q1587" s="3">
        <f>WEEKNUM(Table1[[#This Row],[Order_Date]])</f>
        <v>23</v>
      </c>
      <c r="R1587">
        <f>YEAR(Table1[[#This Row],[Order_Date]])</f>
        <v>2024</v>
      </c>
      <c r="S1587" t="str">
        <f>IF(Table1[[#This Row],[Quantity]]&gt;=3,"Promo","Regular")</f>
        <v>Regular</v>
      </c>
    </row>
    <row r="1588" spans="1:19" x14ac:dyDescent="0.35">
      <c r="A1588" t="s">
        <v>2267</v>
      </c>
      <c r="B1588" t="s">
        <v>1661</v>
      </c>
      <c r="C1588" s="1">
        <v>45431</v>
      </c>
      <c r="D1588" t="s">
        <v>48</v>
      </c>
      <c r="E1588" t="s">
        <v>132</v>
      </c>
      <c r="F1588" t="s">
        <v>17</v>
      </c>
      <c r="G1588" t="s">
        <v>73</v>
      </c>
      <c r="H1588" t="s">
        <v>53</v>
      </c>
      <c r="I1588" t="s">
        <v>20</v>
      </c>
      <c r="J1588">
        <v>3</v>
      </c>
      <c r="K1588">
        <v>425</v>
      </c>
      <c r="L1588">
        <v>1275</v>
      </c>
      <c r="M1588">
        <v>57</v>
      </c>
      <c r="N1588" t="s">
        <v>21</v>
      </c>
      <c r="O1588">
        <v>3.9</v>
      </c>
      <c r="P1588" s="2">
        <f>EOMONTH(Table1[[#This Row],[Order_Date]],0)</f>
        <v>45443</v>
      </c>
      <c r="Q1588" s="3">
        <f>WEEKNUM(Table1[[#This Row],[Order_Date]])</f>
        <v>21</v>
      </c>
      <c r="R1588">
        <f>YEAR(Table1[[#This Row],[Order_Date]])</f>
        <v>2024</v>
      </c>
      <c r="S1588" t="str">
        <f>IF(Table1[[#This Row],[Quantity]]&gt;=3,"Promo","Regular")</f>
        <v>Promo</v>
      </c>
    </row>
    <row r="1589" spans="1:19" x14ac:dyDescent="0.35">
      <c r="A1589" t="s">
        <v>2267</v>
      </c>
      <c r="B1589" t="s">
        <v>1662</v>
      </c>
      <c r="C1589" s="1">
        <v>45495</v>
      </c>
      <c r="D1589" t="s">
        <v>15</v>
      </c>
      <c r="E1589" t="s">
        <v>112</v>
      </c>
      <c r="F1589" t="s">
        <v>85</v>
      </c>
      <c r="G1589" t="s">
        <v>31</v>
      </c>
      <c r="H1589" t="s">
        <v>120</v>
      </c>
      <c r="I1589" t="s">
        <v>60</v>
      </c>
      <c r="J1589">
        <v>3</v>
      </c>
      <c r="K1589">
        <v>398</v>
      </c>
      <c r="L1589">
        <v>1194</v>
      </c>
      <c r="M1589">
        <v>47</v>
      </c>
      <c r="N1589" t="s">
        <v>33</v>
      </c>
      <c r="O1589">
        <v>3.1</v>
      </c>
      <c r="P1589" s="2">
        <f>EOMONTH(Table1[[#This Row],[Order_Date]],0)</f>
        <v>45504</v>
      </c>
      <c r="Q1589" s="3">
        <f>WEEKNUM(Table1[[#This Row],[Order_Date]])</f>
        <v>30</v>
      </c>
      <c r="R1589">
        <f>YEAR(Table1[[#This Row],[Order_Date]])</f>
        <v>2024</v>
      </c>
      <c r="S1589" t="str">
        <f>IF(Table1[[#This Row],[Quantity]]&gt;=3,"Promo","Regular")</f>
        <v>Promo</v>
      </c>
    </row>
    <row r="1590" spans="1:19" x14ac:dyDescent="0.35">
      <c r="A1590" t="s">
        <v>2267</v>
      </c>
      <c r="B1590" t="s">
        <v>1663</v>
      </c>
      <c r="C1590" s="1">
        <v>45324</v>
      </c>
      <c r="D1590" t="s">
        <v>28</v>
      </c>
      <c r="E1590" t="s">
        <v>77</v>
      </c>
      <c r="F1590" t="s">
        <v>30</v>
      </c>
      <c r="G1590" t="s">
        <v>46</v>
      </c>
      <c r="H1590" t="s">
        <v>55</v>
      </c>
      <c r="I1590" t="s">
        <v>20</v>
      </c>
      <c r="J1590">
        <v>3</v>
      </c>
      <c r="K1590">
        <v>172</v>
      </c>
      <c r="L1590">
        <v>516</v>
      </c>
      <c r="M1590">
        <v>47</v>
      </c>
      <c r="N1590" t="s">
        <v>33</v>
      </c>
      <c r="O1590">
        <v>5</v>
      </c>
      <c r="P1590" s="2">
        <f>EOMONTH(Table1[[#This Row],[Order_Date]],0)</f>
        <v>45351</v>
      </c>
      <c r="Q1590" s="3">
        <f>WEEKNUM(Table1[[#This Row],[Order_Date]])</f>
        <v>5</v>
      </c>
      <c r="R1590">
        <f>YEAR(Table1[[#This Row],[Order_Date]])</f>
        <v>2024</v>
      </c>
      <c r="S1590" t="str">
        <f>IF(Table1[[#This Row],[Quantity]]&gt;=3,"Promo","Regular")</f>
        <v>Promo</v>
      </c>
    </row>
    <row r="1591" spans="1:19" x14ac:dyDescent="0.35">
      <c r="A1591" t="s">
        <v>2267</v>
      </c>
      <c r="B1591" t="s">
        <v>1664</v>
      </c>
      <c r="C1591" s="1">
        <v>45446</v>
      </c>
      <c r="D1591" t="s">
        <v>15</v>
      </c>
      <c r="E1591" t="s">
        <v>95</v>
      </c>
      <c r="F1591" t="s">
        <v>35</v>
      </c>
      <c r="G1591" t="s">
        <v>25</v>
      </c>
      <c r="H1591" t="s">
        <v>66</v>
      </c>
      <c r="I1591" t="s">
        <v>20</v>
      </c>
      <c r="J1591">
        <v>1</v>
      </c>
      <c r="K1591">
        <v>141</v>
      </c>
      <c r="L1591">
        <v>141</v>
      </c>
      <c r="M1591">
        <v>46</v>
      </c>
      <c r="N1591" t="s">
        <v>38</v>
      </c>
      <c r="O1591">
        <v>4.4000000000000004</v>
      </c>
      <c r="P1591" s="2">
        <f>EOMONTH(Table1[[#This Row],[Order_Date]],0)</f>
        <v>45473</v>
      </c>
      <c r="Q1591" s="3">
        <f>WEEKNUM(Table1[[#This Row],[Order_Date]])</f>
        <v>23</v>
      </c>
      <c r="R1591">
        <f>YEAR(Table1[[#This Row],[Order_Date]])</f>
        <v>2024</v>
      </c>
      <c r="S1591" t="str">
        <f>IF(Table1[[#This Row],[Quantity]]&gt;=3,"Promo","Regular")</f>
        <v>Regular</v>
      </c>
    </row>
    <row r="1592" spans="1:19" x14ac:dyDescent="0.35">
      <c r="A1592" t="s">
        <v>2267</v>
      </c>
      <c r="B1592" t="s">
        <v>1665</v>
      </c>
      <c r="C1592" s="1">
        <v>45310</v>
      </c>
      <c r="D1592" t="s">
        <v>43</v>
      </c>
      <c r="E1592" t="s">
        <v>110</v>
      </c>
      <c r="F1592" t="s">
        <v>72</v>
      </c>
      <c r="G1592" t="s">
        <v>46</v>
      </c>
      <c r="H1592" t="s">
        <v>50</v>
      </c>
      <c r="I1592" t="s">
        <v>20</v>
      </c>
      <c r="J1592">
        <v>1</v>
      </c>
      <c r="K1592">
        <v>158</v>
      </c>
      <c r="L1592">
        <v>158</v>
      </c>
      <c r="M1592">
        <v>53</v>
      </c>
      <c r="N1592" t="s">
        <v>21</v>
      </c>
      <c r="O1592">
        <v>4</v>
      </c>
      <c r="P1592" s="2">
        <f>EOMONTH(Table1[[#This Row],[Order_Date]],0)</f>
        <v>45322</v>
      </c>
      <c r="Q1592" s="3">
        <f>WEEKNUM(Table1[[#This Row],[Order_Date]])</f>
        <v>3</v>
      </c>
      <c r="R1592">
        <f>YEAR(Table1[[#This Row],[Order_Date]])</f>
        <v>2024</v>
      </c>
      <c r="S1592" t="str">
        <f>IF(Table1[[#This Row],[Quantity]]&gt;=3,"Promo","Regular")</f>
        <v>Regular</v>
      </c>
    </row>
    <row r="1593" spans="1:19" x14ac:dyDescent="0.35">
      <c r="A1593" t="s">
        <v>2268</v>
      </c>
      <c r="B1593" t="s">
        <v>1666</v>
      </c>
      <c r="C1593" s="1">
        <v>45356</v>
      </c>
      <c r="D1593" t="s">
        <v>28</v>
      </c>
      <c r="E1593" t="s">
        <v>71</v>
      </c>
      <c r="F1593" t="s">
        <v>30</v>
      </c>
      <c r="G1593" t="s">
        <v>73</v>
      </c>
      <c r="H1593" t="s">
        <v>59</v>
      </c>
      <c r="I1593" t="s">
        <v>60</v>
      </c>
      <c r="J1593">
        <v>4</v>
      </c>
      <c r="K1593">
        <v>284</v>
      </c>
      <c r="L1593">
        <v>1136</v>
      </c>
      <c r="M1593">
        <v>35</v>
      </c>
      <c r="N1593" t="s">
        <v>38</v>
      </c>
      <c r="O1593">
        <v>3.5</v>
      </c>
      <c r="P1593" s="2">
        <f>EOMONTH(Table1[[#This Row],[Order_Date]],0)</f>
        <v>45382</v>
      </c>
      <c r="Q1593" s="3">
        <f>WEEKNUM(Table1[[#This Row],[Order_Date]])</f>
        <v>10</v>
      </c>
      <c r="R1593">
        <f>YEAR(Table1[[#This Row],[Order_Date]])</f>
        <v>2024</v>
      </c>
      <c r="S1593" t="str">
        <f>IF(Table1[[#This Row],[Quantity]]&gt;=3,"Promo","Regular")</f>
        <v>Promo</v>
      </c>
    </row>
    <row r="1594" spans="1:19" x14ac:dyDescent="0.35">
      <c r="A1594" t="s">
        <v>2268</v>
      </c>
      <c r="B1594" t="s">
        <v>1667</v>
      </c>
      <c r="C1594" s="1">
        <v>45417</v>
      </c>
      <c r="D1594" t="s">
        <v>15</v>
      </c>
      <c r="E1594" t="s">
        <v>95</v>
      </c>
      <c r="F1594" t="s">
        <v>69</v>
      </c>
      <c r="G1594" t="s">
        <v>18</v>
      </c>
      <c r="H1594" t="s">
        <v>32</v>
      </c>
      <c r="I1594" t="s">
        <v>20</v>
      </c>
      <c r="J1594">
        <v>4</v>
      </c>
      <c r="K1594">
        <v>498</v>
      </c>
      <c r="L1594">
        <v>1992</v>
      </c>
      <c r="M1594">
        <v>22</v>
      </c>
      <c r="N1594" t="s">
        <v>33</v>
      </c>
      <c r="O1594">
        <v>3.1</v>
      </c>
      <c r="P1594" s="2">
        <f>EOMONTH(Table1[[#This Row],[Order_Date]],0)</f>
        <v>45443</v>
      </c>
      <c r="Q1594" s="3">
        <f>WEEKNUM(Table1[[#This Row],[Order_Date]])</f>
        <v>19</v>
      </c>
      <c r="R1594">
        <f>YEAR(Table1[[#This Row],[Order_Date]])</f>
        <v>2024</v>
      </c>
      <c r="S1594" t="str">
        <f>IF(Table1[[#This Row],[Quantity]]&gt;=3,"Promo","Regular")</f>
        <v>Promo</v>
      </c>
    </row>
    <row r="1595" spans="1:19" x14ac:dyDescent="0.35">
      <c r="A1595" t="s">
        <v>2269</v>
      </c>
      <c r="B1595" t="s">
        <v>1668</v>
      </c>
      <c r="C1595" s="1">
        <v>45466</v>
      </c>
      <c r="D1595" t="s">
        <v>48</v>
      </c>
      <c r="E1595" t="s">
        <v>68</v>
      </c>
      <c r="F1595" t="s">
        <v>24</v>
      </c>
      <c r="G1595" t="s">
        <v>46</v>
      </c>
      <c r="H1595" t="s">
        <v>37</v>
      </c>
      <c r="I1595" t="s">
        <v>20</v>
      </c>
      <c r="J1595">
        <v>3</v>
      </c>
      <c r="K1595">
        <v>298</v>
      </c>
      <c r="L1595">
        <v>894</v>
      </c>
      <c r="M1595">
        <v>20</v>
      </c>
      <c r="N1595" t="s">
        <v>38</v>
      </c>
      <c r="O1595">
        <v>3.9</v>
      </c>
      <c r="P1595" s="2">
        <f>EOMONTH(Table1[[#This Row],[Order_Date]],0)</f>
        <v>45473</v>
      </c>
      <c r="Q1595" s="3">
        <f>WEEKNUM(Table1[[#This Row],[Order_Date]])</f>
        <v>26</v>
      </c>
      <c r="R1595">
        <f>YEAR(Table1[[#This Row],[Order_Date]])</f>
        <v>2024</v>
      </c>
      <c r="S1595" t="str">
        <f>IF(Table1[[#This Row],[Quantity]]&gt;=3,"Promo","Regular")</f>
        <v>Promo</v>
      </c>
    </row>
    <row r="1596" spans="1:19" x14ac:dyDescent="0.35">
      <c r="A1596" t="s">
        <v>2269</v>
      </c>
      <c r="B1596" t="s">
        <v>1669</v>
      </c>
      <c r="C1596" s="1">
        <v>45367</v>
      </c>
      <c r="D1596" t="s">
        <v>43</v>
      </c>
      <c r="E1596" t="s">
        <v>110</v>
      </c>
      <c r="F1596" t="s">
        <v>24</v>
      </c>
      <c r="G1596" t="s">
        <v>36</v>
      </c>
      <c r="H1596" t="s">
        <v>59</v>
      </c>
      <c r="I1596" t="s">
        <v>60</v>
      </c>
      <c r="J1596">
        <v>5</v>
      </c>
      <c r="K1596">
        <v>390</v>
      </c>
      <c r="L1596">
        <v>1950</v>
      </c>
      <c r="M1596">
        <v>38</v>
      </c>
      <c r="N1596" t="s">
        <v>38</v>
      </c>
      <c r="O1596">
        <v>3.9</v>
      </c>
      <c r="P1596" s="2">
        <f>EOMONTH(Table1[[#This Row],[Order_Date]],0)</f>
        <v>45382</v>
      </c>
      <c r="Q1596" s="3">
        <f>WEEKNUM(Table1[[#This Row],[Order_Date]])</f>
        <v>11</v>
      </c>
      <c r="R1596">
        <f>YEAR(Table1[[#This Row],[Order_Date]])</f>
        <v>2024</v>
      </c>
      <c r="S1596" t="str">
        <f>IF(Table1[[#This Row],[Quantity]]&gt;=3,"Promo","Regular")</f>
        <v>Promo</v>
      </c>
    </row>
    <row r="1597" spans="1:19" x14ac:dyDescent="0.35">
      <c r="A1597" t="s">
        <v>2269</v>
      </c>
      <c r="B1597" t="s">
        <v>1670</v>
      </c>
      <c r="C1597" s="1">
        <v>45523</v>
      </c>
      <c r="D1597" t="s">
        <v>28</v>
      </c>
      <c r="E1597" t="s">
        <v>77</v>
      </c>
      <c r="F1597" t="s">
        <v>69</v>
      </c>
      <c r="G1597" t="s">
        <v>36</v>
      </c>
      <c r="H1597" t="s">
        <v>26</v>
      </c>
      <c r="I1597" t="s">
        <v>20</v>
      </c>
      <c r="J1597">
        <v>5</v>
      </c>
      <c r="K1597">
        <v>180</v>
      </c>
      <c r="L1597">
        <v>900</v>
      </c>
      <c r="M1597">
        <v>37</v>
      </c>
      <c r="N1597" t="s">
        <v>33</v>
      </c>
      <c r="O1597">
        <v>3.2</v>
      </c>
      <c r="P1597" s="2">
        <f>EOMONTH(Table1[[#This Row],[Order_Date]],0)</f>
        <v>45535</v>
      </c>
      <c r="Q1597" s="3">
        <f>WEEKNUM(Table1[[#This Row],[Order_Date]])</f>
        <v>34</v>
      </c>
      <c r="R1597">
        <f>YEAR(Table1[[#This Row],[Order_Date]])</f>
        <v>2024</v>
      </c>
      <c r="S1597" t="str">
        <f>IF(Table1[[#This Row],[Quantity]]&gt;=3,"Promo","Regular")</f>
        <v>Promo</v>
      </c>
    </row>
    <row r="1598" spans="1:19" x14ac:dyDescent="0.35">
      <c r="A1598" t="s">
        <v>2270</v>
      </c>
      <c r="B1598" t="s">
        <v>1671</v>
      </c>
      <c r="C1598" s="1">
        <v>45338</v>
      </c>
      <c r="D1598" t="s">
        <v>28</v>
      </c>
      <c r="E1598" t="s">
        <v>71</v>
      </c>
      <c r="F1598" t="s">
        <v>41</v>
      </c>
      <c r="G1598" t="s">
        <v>73</v>
      </c>
      <c r="H1598" t="s">
        <v>120</v>
      </c>
      <c r="I1598" t="s">
        <v>60</v>
      </c>
      <c r="J1598">
        <v>1</v>
      </c>
      <c r="K1598">
        <v>198</v>
      </c>
      <c r="L1598">
        <v>198</v>
      </c>
      <c r="M1598">
        <v>52</v>
      </c>
      <c r="N1598" t="s">
        <v>38</v>
      </c>
      <c r="O1598">
        <v>3.4</v>
      </c>
      <c r="P1598" s="2">
        <f>EOMONTH(Table1[[#This Row],[Order_Date]],0)</f>
        <v>45351</v>
      </c>
      <c r="Q1598" s="3">
        <f>WEEKNUM(Table1[[#This Row],[Order_Date]])</f>
        <v>7</v>
      </c>
      <c r="R1598">
        <f>YEAR(Table1[[#This Row],[Order_Date]])</f>
        <v>2024</v>
      </c>
      <c r="S1598" t="str">
        <f>IF(Table1[[#This Row],[Quantity]]&gt;=3,"Promo","Regular")</f>
        <v>Regular</v>
      </c>
    </row>
    <row r="1599" spans="1:19" x14ac:dyDescent="0.35">
      <c r="A1599" t="s">
        <v>2270</v>
      </c>
      <c r="B1599" t="s">
        <v>1672</v>
      </c>
      <c r="C1599" s="1">
        <v>45399</v>
      </c>
      <c r="D1599" t="s">
        <v>43</v>
      </c>
      <c r="E1599" t="s">
        <v>52</v>
      </c>
      <c r="F1599" t="s">
        <v>30</v>
      </c>
      <c r="G1599" t="s">
        <v>46</v>
      </c>
      <c r="H1599" t="s">
        <v>53</v>
      </c>
      <c r="I1599" t="s">
        <v>20</v>
      </c>
      <c r="J1599">
        <v>3</v>
      </c>
      <c r="K1599">
        <v>299</v>
      </c>
      <c r="L1599">
        <v>897</v>
      </c>
      <c r="M1599">
        <v>45</v>
      </c>
      <c r="N1599" t="s">
        <v>38</v>
      </c>
      <c r="O1599">
        <v>3.2</v>
      </c>
      <c r="P1599" s="2">
        <f>EOMONTH(Table1[[#This Row],[Order_Date]],0)</f>
        <v>45412</v>
      </c>
      <c r="Q1599" s="3">
        <f>WEEKNUM(Table1[[#This Row],[Order_Date]])</f>
        <v>16</v>
      </c>
      <c r="R1599">
        <f>YEAR(Table1[[#This Row],[Order_Date]])</f>
        <v>2024</v>
      </c>
      <c r="S1599" t="str">
        <f>IF(Table1[[#This Row],[Quantity]]&gt;=3,"Promo","Regular")</f>
        <v>Promo</v>
      </c>
    </row>
    <row r="1600" spans="1:19" x14ac:dyDescent="0.35">
      <c r="A1600" t="s">
        <v>2270</v>
      </c>
      <c r="B1600" t="s">
        <v>1673</v>
      </c>
      <c r="C1600" s="1">
        <v>45558</v>
      </c>
      <c r="D1600" t="s">
        <v>43</v>
      </c>
      <c r="E1600" t="s">
        <v>52</v>
      </c>
      <c r="F1600" t="s">
        <v>45</v>
      </c>
      <c r="G1600" t="s">
        <v>46</v>
      </c>
      <c r="H1600" t="s">
        <v>53</v>
      </c>
      <c r="I1600" t="s">
        <v>20</v>
      </c>
      <c r="J1600">
        <v>2</v>
      </c>
      <c r="K1600">
        <v>438</v>
      </c>
      <c r="L1600">
        <v>876</v>
      </c>
      <c r="M1600">
        <v>37</v>
      </c>
      <c r="N1600" t="s">
        <v>38</v>
      </c>
      <c r="O1600">
        <v>3.8</v>
      </c>
      <c r="P1600" s="2">
        <f>EOMONTH(Table1[[#This Row],[Order_Date]],0)</f>
        <v>45565</v>
      </c>
      <c r="Q1600" s="3">
        <f>WEEKNUM(Table1[[#This Row],[Order_Date]])</f>
        <v>39</v>
      </c>
      <c r="R1600">
        <f>YEAR(Table1[[#This Row],[Order_Date]])</f>
        <v>2024</v>
      </c>
      <c r="S1600" t="str">
        <f>IF(Table1[[#This Row],[Quantity]]&gt;=3,"Promo","Regular")</f>
        <v>Regular</v>
      </c>
    </row>
    <row r="1601" spans="1:19" x14ac:dyDescent="0.35">
      <c r="A1601" t="s">
        <v>2270</v>
      </c>
      <c r="B1601" t="s">
        <v>1674</v>
      </c>
      <c r="C1601" s="1">
        <v>45308</v>
      </c>
      <c r="D1601" t="s">
        <v>48</v>
      </c>
      <c r="E1601" t="s">
        <v>127</v>
      </c>
      <c r="F1601" t="s">
        <v>24</v>
      </c>
      <c r="G1601" t="s">
        <v>18</v>
      </c>
      <c r="H1601" t="s">
        <v>66</v>
      </c>
      <c r="I1601" t="s">
        <v>20</v>
      </c>
      <c r="J1601">
        <v>5</v>
      </c>
      <c r="K1601">
        <v>257</v>
      </c>
      <c r="L1601">
        <v>1285</v>
      </c>
      <c r="M1601">
        <v>54</v>
      </c>
      <c r="N1601" t="s">
        <v>21</v>
      </c>
      <c r="O1601">
        <v>4.5</v>
      </c>
      <c r="P1601" s="2">
        <f>EOMONTH(Table1[[#This Row],[Order_Date]],0)</f>
        <v>45322</v>
      </c>
      <c r="Q1601" s="3">
        <f>WEEKNUM(Table1[[#This Row],[Order_Date]])</f>
        <v>3</v>
      </c>
      <c r="R1601">
        <f>YEAR(Table1[[#This Row],[Order_Date]])</f>
        <v>2024</v>
      </c>
      <c r="S1601" t="str">
        <f>IF(Table1[[#This Row],[Quantity]]&gt;=3,"Promo","Regular")</f>
        <v>Promo</v>
      </c>
    </row>
    <row r="1602" spans="1:19" x14ac:dyDescent="0.35">
      <c r="A1602" t="s">
        <v>2270</v>
      </c>
      <c r="B1602" t="s">
        <v>1675</v>
      </c>
      <c r="C1602" s="1">
        <v>45299</v>
      </c>
      <c r="D1602" t="s">
        <v>15</v>
      </c>
      <c r="E1602" t="s">
        <v>16</v>
      </c>
      <c r="F1602" t="s">
        <v>69</v>
      </c>
      <c r="G1602" t="s">
        <v>18</v>
      </c>
      <c r="H1602" t="s">
        <v>32</v>
      </c>
      <c r="I1602" t="s">
        <v>20</v>
      </c>
      <c r="J1602">
        <v>3</v>
      </c>
      <c r="K1602">
        <v>272</v>
      </c>
      <c r="L1602">
        <v>816</v>
      </c>
      <c r="M1602">
        <v>30</v>
      </c>
      <c r="N1602" t="s">
        <v>38</v>
      </c>
      <c r="O1602">
        <v>4.0999999999999996</v>
      </c>
      <c r="P1602" s="2">
        <f>EOMONTH(Table1[[#This Row],[Order_Date]],0)</f>
        <v>45322</v>
      </c>
      <c r="Q1602" s="3">
        <f>WEEKNUM(Table1[[#This Row],[Order_Date]])</f>
        <v>2</v>
      </c>
      <c r="R1602">
        <f>YEAR(Table1[[#This Row],[Order_Date]])</f>
        <v>2024</v>
      </c>
      <c r="S1602" t="str">
        <f>IF(Table1[[#This Row],[Quantity]]&gt;=3,"Promo","Regular")</f>
        <v>Promo</v>
      </c>
    </row>
    <row r="1603" spans="1:19" x14ac:dyDescent="0.35">
      <c r="A1603" t="s">
        <v>2271</v>
      </c>
      <c r="B1603" t="s">
        <v>1676</v>
      </c>
      <c r="C1603" s="1">
        <v>45414</v>
      </c>
      <c r="D1603" t="s">
        <v>15</v>
      </c>
      <c r="E1603" t="s">
        <v>112</v>
      </c>
      <c r="F1603" t="s">
        <v>30</v>
      </c>
      <c r="G1603" t="s">
        <v>25</v>
      </c>
      <c r="H1603" t="s">
        <v>19</v>
      </c>
      <c r="I1603" t="s">
        <v>20</v>
      </c>
      <c r="J1603">
        <v>2</v>
      </c>
      <c r="K1603">
        <v>249</v>
      </c>
      <c r="L1603">
        <v>498</v>
      </c>
      <c r="M1603">
        <v>31</v>
      </c>
      <c r="N1603" t="s">
        <v>21</v>
      </c>
      <c r="O1603">
        <v>4.7</v>
      </c>
      <c r="P1603" s="2">
        <f>EOMONTH(Table1[[#This Row],[Order_Date]],0)</f>
        <v>45443</v>
      </c>
      <c r="Q1603" s="3">
        <f>WEEKNUM(Table1[[#This Row],[Order_Date]])</f>
        <v>18</v>
      </c>
      <c r="R1603">
        <f>YEAR(Table1[[#This Row],[Order_Date]])</f>
        <v>2024</v>
      </c>
      <c r="S1603" t="str">
        <f>IF(Table1[[#This Row],[Quantity]]&gt;=3,"Promo","Regular")</f>
        <v>Regular</v>
      </c>
    </row>
    <row r="1604" spans="1:19" x14ac:dyDescent="0.35">
      <c r="A1604" t="s">
        <v>2271</v>
      </c>
      <c r="B1604" t="s">
        <v>1677</v>
      </c>
      <c r="C1604" s="1">
        <v>45353</v>
      </c>
      <c r="D1604" t="s">
        <v>57</v>
      </c>
      <c r="E1604" t="s">
        <v>105</v>
      </c>
      <c r="F1604" t="s">
        <v>72</v>
      </c>
      <c r="G1604" t="s">
        <v>31</v>
      </c>
      <c r="H1604" t="s">
        <v>59</v>
      </c>
      <c r="I1604" t="s">
        <v>60</v>
      </c>
      <c r="J1604">
        <v>5</v>
      </c>
      <c r="K1604">
        <v>297</v>
      </c>
      <c r="L1604">
        <v>1485</v>
      </c>
      <c r="M1604">
        <v>21</v>
      </c>
      <c r="N1604" t="s">
        <v>33</v>
      </c>
      <c r="O1604">
        <v>3.3</v>
      </c>
      <c r="P1604" s="2">
        <f>EOMONTH(Table1[[#This Row],[Order_Date]],0)</f>
        <v>45382</v>
      </c>
      <c r="Q1604" s="3">
        <f>WEEKNUM(Table1[[#This Row],[Order_Date]])</f>
        <v>9</v>
      </c>
      <c r="R1604">
        <f>YEAR(Table1[[#This Row],[Order_Date]])</f>
        <v>2024</v>
      </c>
      <c r="S1604" t="str">
        <f>IF(Table1[[#This Row],[Quantity]]&gt;=3,"Promo","Regular")</f>
        <v>Promo</v>
      </c>
    </row>
    <row r="1605" spans="1:19" x14ac:dyDescent="0.35">
      <c r="A1605" t="s">
        <v>2271</v>
      </c>
      <c r="B1605" t="s">
        <v>1678</v>
      </c>
      <c r="C1605" s="1">
        <v>45517</v>
      </c>
      <c r="D1605" t="s">
        <v>43</v>
      </c>
      <c r="E1605" t="s">
        <v>82</v>
      </c>
      <c r="F1605" t="s">
        <v>17</v>
      </c>
      <c r="G1605" t="s">
        <v>46</v>
      </c>
      <c r="H1605" t="s">
        <v>50</v>
      </c>
      <c r="I1605" t="s">
        <v>20</v>
      </c>
      <c r="J1605">
        <v>4</v>
      </c>
      <c r="K1605">
        <v>402</v>
      </c>
      <c r="L1605">
        <v>1608</v>
      </c>
      <c r="M1605">
        <v>22</v>
      </c>
      <c r="N1605" t="s">
        <v>21</v>
      </c>
      <c r="O1605">
        <v>4.4000000000000004</v>
      </c>
      <c r="P1605" s="2">
        <f>EOMONTH(Table1[[#This Row],[Order_Date]],0)</f>
        <v>45535</v>
      </c>
      <c r="Q1605" s="3">
        <f>WEEKNUM(Table1[[#This Row],[Order_Date]])</f>
        <v>33</v>
      </c>
      <c r="R1605">
        <f>YEAR(Table1[[#This Row],[Order_Date]])</f>
        <v>2024</v>
      </c>
      <c r="S1605" t="str">
        <f>IF(Table1[[#This Row],[Quantity]]&gt;=3,"Promo","Regular")</f>
        <v>Promo</v>
      </c>
    </row>
    <row r="1606" spans="1:19" x14ac:dyDescent="0.35">
      <c r="A1606" t="s">
        <v>2271</v>
      </c>
      <c r="B1606" t="s">
        <v>1679</v>
      </c>
      <c r="C1606" s="1">
        <v>45383</v>
      </c>
      <c r="D1606" t="s">
        <v>28</v>
      </c>
      <c r="E1606" t="s">
        <v>29</v>
      </c>
      <c r="F1606" t="s">
        <v>65</v>
      </c>
      <c r="G1606" t="s">
        <v>31</v>
      </c>
      <c r="H1606" t="s">
        <v>120</v>
      </c>
      <c r="I1606" t="s">
        <v>60</v>
      </c>
      <c r="J1606">
        <v>2</v>
      </c>
      <c r="K1606">
        <v>266</v>
      </c>
      <c r="L1606">
        <v>532</v>
      </c>
      <c r="M1606">
        <v>51</v>
      </c>
      <c r="N1606" t="s">
        <v>21</v>
      </c>
      <c r="O1606">
        <v>4.2</v>
      </c>
      <c r="P1606" s="2">
        <f>EOMONTH(Table1[[#This Row],[Order_Date]],0)</f>
        <v>45412</v>
      </c>
      <c r="Q1606" s="3">
        <f>WEEKNUM(Table1[[#This Row],[Order_Date]])</f>
        <v>14</v>
      </c>
      <c r="R1606">
        <f>YEAR(Table1[[#This Row],[Order_Date]])</f>
        <v>2024</v>
      </c>
      <c r="S1606" t="str">
        <f>IF(Table1[[#This Row],[Quantity]]&gt;=3,"Promo","Regular")</f>
        <v>Regular</v>
      </c>
    </row>
    <row r="1607" spans="1:19" x14ac:dyDescent="0.35">
      <c r="A1607" t="s">
        <v>2272</v>
      </c>
      <c r="B1607" t="s">
        <v>1680</v>
      </c>
      <c r="C1607" s="1">
        <v>45310</v>
      </c>
      <c r="D1607" t="s">
        <v>48</v>
      </c>
      <c r="E1607" t="s">
        <v>132</v>
      </c>
      <c r="F1607" t="s">
        <v>41</v>
      </c>
      <c r="G1607" t="s">
        <v>25</v>
      </c>
      <c r="H1607" t="s">
        <v>120</v>
      </c>
      <c r="I1607" t="s">
        <v>60</v>
      </c>
      <c r="J1607">
        <v>5</v>
      </c>
      <c r="K1607">
        <v>336</v>
      </c>
      <c r="L1607">
        <v>1680</v>
      </c>
      <c r="M1607">
        <v>53</v>
      </c>
      <c r="N1607" t="s">
        <v>21</v>
      </c>
      <c r="O1607">
        <v>4.7</v>
      </c>
      <c r="P1607" s="2">
        <f>EOMONTH(Table1[[#This Row],[Order_Date]],0)</f>
        <v>45322</v>
      </c>
      <c r="Q1607" s="3">
        <f>WEEKNUM(Table1[[#This Row],[Order_Date]])</f>
        <v>3</v>
      </c>
      <c r="R1607">
        <f>YEAR(Table1[[#This Row],[Order_Date]])</f>
        <v>2024</v>
      </c>
      <c r="S1607" t="str">
        <f>IF(Table1[[#This Row],[Quantity]]&gt;=3,"Promo","Regular")</f>
        <v>Promo</v>
      </c>
    </row>
    <row r="1608" spans="1:19" x14ac:dyDescent="0.35">
      <c r="A1608" t="s">
        <v>2272</v>
      </c>
      <c r="B1608" t="s">
        <v>1681</v>
      </c>
      <c r="C1608" s="1">
        <v>45539</v>
      </c>
      <c r="D1608" t="s">
        <v>48</v>
      </c>
      <c r="E1608" t="s">
        <v>68</v>
      </c>
      <c r="F1608" t="s">
        <v>17</v>
      </c>
      <c r="G1608" t="s">
        <v>31</v>
      </c>
      <c r="H1608" t="s">
        <v>53</v>
      </c>
      <c r="I1608" t="s">
        <v>20</v>
      </c>
      <c r="J1608">
        <v>1</v>
      </c>
      <c r="K1608">
        <v>139</v>
      </c>
      <c r="L1608">
        <v>139</v>
      </c>
      <c r="M1608">
        <v>59</v>
      </c>
      <c r="N1608" t="s">
        <v>21</v>
      </c>
      <c r="O1608">
        <v>4.0999999999999996</v>
      </c>
      <c r="P1608" s="2">
        <f>EOMONTH(Table1[[#This Row],[Order_Date]],0)</f>
        <v>45565</v>
      </c>
      <c r="Q1608" s="3">
        <f>WEEKNUM(Table1[[#This Row],[Order_Date]])</f>
        <v>36</v>
      </c>
      <c r="R1608">
        <f>YEAR(Table1[[#This Row],[Order_Date]])</f>
        <v>2024</v>
      </c>
      <c r="S1608" t="str">
        <f>IF(Table1[[#This Row],[Quantity]]&gt;=3,"Promo","Regular")</f>
        <v>Regular</v>
      </c>
    </row>
    <row r="1609" spans="1:19" x14ac:dyDescent="0.35">
      <c r="A1609" t="s">
        <v>2272</v>
      </c>
      <c r="B1609" t="s">
        <v>1682</v>
      </c>
      <c r="C1609" s="1">
        <v>45361</v>
      </c>
      <c r="D1609" t="s">
        <v>28</v>
      </c>
      <c r="E1609" t="s">
        <v>98</v>
      </c>
      <c r="F1609" t="s">
        <v>45</v>
      </c>
      <c r="G1609" t="s">
        <v>46</v>
      </c>
      <c r="H1609" t="s">
        <v>120</v>
      </c>
      <c r="I1609" t="s">
        <v>60</v>
      </c>
      <c r="J1609">
        <v>4</v>
      </c>
      <c r="K1609">
        <v>194</v>
      </c>
      <c r="L1609">
        <v>776</v>
      </c>
      <c r="M1609">
        <v>56</v>
      </c>
      <c r="N1609" t="s">
        <v>21</v>
      </c>
      <c r="O1609">
        <v>4.0999999999999996</v>
      </c>
      <c r="P1609" s="2">
        <f>EOMONTH(Table1[[#This Row],[Order_Date]],0)</f>
        <v>45382</v>
      </c>
      <c r="Q1609" s="3">
        <f>WEEKNUM(Table1[[#This Row],[Order_Date]])</f>
        <v>11</v>
      </c>
      <c r="R1609">
        <f>YEAR(Table1[[#This Row],[Order_Date]])</f>
        <v>2024</v>
      </c>
      <c r="S1609" t="str">
        <f>IF(Table1[[#This Row],[Quantity]]&gt;=3,"Promo","Regular")</f>
        <v>Promo</v>
      </c>
    </row>
    <row r="1610" spans="1:19" x14ac:dyDescent="0.35">
      <c r="A1610" t="s">
        <v>2273</v>
      </c>
      <c r="B1610" t="s">
        <v>1683</v>
      </c>
      <c r="C1610" s="1">
        <v>45353</v>
      </c>
      <c r="D1610" t="s">
        <v>43</v>
      </c>
      <c r="E1610" t="s">
        <v>52</v>
      </c>
      <c r="F1610" t="s">
        <v>45</v>
      </c>
      <c r="G1610" t="s">
        <v>31</v>
      </c>
      <c r="H1610" t="s">
        <v>120</v>
      </c>
      <c r="I1610" t="s">
        <v>60</v>
      </c>
      <c r="J1610">
        <v>2</v>
      </c>
      <c r="K1610">
        <v>245</v>
      </c>
      <c r="L1610">
        <v>490</v>
      </c>
      <c r="M1610">
        <v>25</v>
      </c>
      <c r="N1610" t="s">
        <v>33</v>
      </c>
      <c r="O1610">
        <v>4.5</v>
      </c>
      <c r="P1610" s="2">
        <f>EOMONTH(Table1[[#This Row],[Order_Date]],0)</f>
        <v>45382</v>
      </c>
      <c r="Q1610" s="3">
        <f>WEEKNUM(Table1[[#This Row],[Order_Date]])</f>
        <v>9</v>
      </c>
      <c r="R1610">
        <f>YEAR(Table1[[#This Row],[Order_Date]])</f>
        <v>2024</v>
      </c>
      <c r="S1610" t="str">
        <f>IF(Table1[[#This Row],[Quantity]]&gt;=3,"Promo","Regular")</f>
        <v>Regular</v>
      </c>
    </row>
    <row r="1611" spans="1:19" x14ac:dyDescent="0.35">
      <c r="A1611" t="s">
        <v>2273</v>
      </c>
      <c r="B1611" t="s">
        <v>1684</v>
      </c>
      <c r="C1611" s="1">
        <v>45292</v>
      </c>
      <c r="D1611" t="s">
        <v>15</v>
      </c>
      <c r="E1611" t="s">
        <v>16</v>
      </c>
      <c r="F1611" t="s">
        <v>24</v>
      </c>
      <c r="G1611" t="s">
        <v>31</v>
      </c>
      <c r="H1611" t="s">
        <v>19</v>
      </c>
      <c r="I1611" t="s">
        <v>20</v>
      </c>
      <c r="J1611">
        <v>2</v>
      </c>
      <c r="K1611">
        <v>308</v>
      </c>
      <c r="L1611">
        <v>616</v>
      </c>
      <c r="M1611">
        <v>28</v>
      </c>
      <c r="N1611" t="s">
        <v>38</v>
      </c>
      <c r="O1611">
        <v>3.6</v>
      </c>
      <c r="P1611" s="2">
        <f>EOMONTH(Table1[[#This Row],[Order_Date]],0)</f>
        <v>45322</v>
      </c>
      <c r="Q1611" s="3">
        <f>WEEKNUM(Table1[[#This Row],[Order_Date]])</f>
        <v>1</v>
      </c>
      <c r="R1611">
        <f>YEAR(Table1[[#This Row],[Order_Date]])</f>
        <v>2024</v>
      </c>
      <c r="S1611" t="str">
        <f>IF(Table1[[#This Row],[Quantity]]&gt;=3,"Promo","Regular")</f>
        <v>Regular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38CC-CD96-41B2-8243-751C9F7FE87F}">
  <dimension ref="A1:O589"/>
  <sheetViews>
    <sheetView topLeftCell="F2" zoomScale="69" zoomScaleNormal="69" workbookViewId="0">
      <selection activeCell="N10" sqref="N10"/>
    </sheetView>
  </sheetViews>
  <sheetFormatPr defaultRowHeight="14.5" x14ac:dyDescent="0.35"/>
  <cols>
    <col min="1" max="1" width="9.81640625" bestFit="1" customWidth="1"/>
    <col min="2" max="2" width="14.54296875" style="2" bestFit="1" customWidth="1"/>
    <col min="3" max="3" width="8.36328125" bestFit="1" customWidth="1"/>
    <col min="4" max="4" width="9.26953125" bestFit="1" customWidth="1"/>
    <col min="5" max="5" width="12.54296875" bestFit="1" customWidth="1"/>
    <col min="6" max="6" width="12.7265625" bestFit="1" customWidth="1"/>
    <col min="7" max="7" width="14.36328125" bestFit="1" customWidth="1"/>
    <col min="8" max="8" width="13.453125" bestFit="1" customWidth="1"/>
    <col min="9" max="9" width="9" style="6" bestFit="1" customWidth="1"/>
    <col min="10" max="10" width="16.81640625" bestFit="1" customWidth="1"/>
    <col min="11" max="11" width="11.7265625" bestFit="1" customWidth="1"/>
    <col min="12" max="12" width="12.453125" bestFit="1" customWidth="1"/>
    <col min="15" max="15" width="10.08984375" bestFit="1" customWidth="1"/>
  </cols>
  <sheetData>
    <row r="1" spans="1:15" x14ac:dyDescent="0.35">
      <c r="A1" t="s">
        <v>2277</v>
      </c>
      <c r="B1" s="2" t="s">
        <v>2279</v>
      </c>
      <c r="C1" t="s">
        <v>2280</v>
      </c>
      <c r="D1" t="s">
        <v>2281</v>
      </c>
      <c r="E1" t="s">
        <v>2282</v>
      </c>
      <c r="F1" t="s">
        <v>2283</v>
      </c>
      <c r="G1" t="s">
        <v>2284</v>
      </c>
      <c r="H1" t="s">
        <v>2285</v>
      </c>
      <c r="I1" s="6" t="s">
        <v>2286</v>
      </c>
      <c r="J1" t="s">
        <v>2287</v>
      </c>
      <c r="K1" t="s">
        <v>2289</v>
      </c>
      <c r="L1" t="s">
        <v>2310</v>
      </c>
      <c r="M1" t="s">
        <v>2333</v>
      </c>
    </row>
    <row r="2" spans="1:15" x14ac:dyDescent="0.35">
      <c r="A2" t="s">
        <v>1686</v>
      </c>
      <c r="B2" s="2">
        <v>45579</v>
      </c>
      <c r="C2">
        <v>461</v>
      </c>
      <c r="D2">
        <v>1</v>
      </c>
      <c r="E2">
        <v>13</v>
      </c>
      <c r="F2">
        <v>5</v>
      </c>
      <c r="G2">
        <v>2</v>
      </c>
      <c r="H2">
        <v>1</v>
      </c>
      <c r="I2" t="str">
        <f>F2&amp;G2&amp;H2</f>
        <v>521</v>
      </c>
      <c r="J2" t="s">
        <v>2298</v>
      </c>
      <c r="K2" t="s">
        <v>2299</v>
      </c>
      <c r="L2" t="str">
        <f>IF(E4&lt;=30,"Low Risk",
IF(E2&lt;=60,"Moderate Risk",
IF(E2&lt;=90,"High Risk",
IF(E2&lt;=180,"Very High Risk","Critical Risk"))))</f>
        <v>Low Risk</v>
      </c>
      <c r="M2" t="str">
        <f>IFERROR(VLOOKUP(A11,Promo_Pivot!A:C,3,FALSE),"No")</f>
        <v>Yes</v>
      </c>
      <c r="N2" t="s">
        <v>2288</v>
      </c>
      <c r="O2" s="2">
        <f>MAX(B2:B589)</f>
        <v>45592</v>
      </c>
    </row>
    <row r="3" spans="1:15" x14ac:dyDescent="0.35">
      <c r="A3" t="s">
        <v>1695</v>
      </c>
      <c r="B3" s="2">
        <v>45383</v>
      </c>
      <c r="C3">
        <v>790</v>
      </c>
      <c r="D3">
        <v>1</v>
      </c>
      <c r="E3">
        <v>209</v>
      </c>
      <c r="F3">
        <v>1</v>
      </c>
      <c r="G3">
        <v>2</v>
      </c>
      <c r="H3">
        <v>1</v>
      </c>
      <c r="I3" t="str">
        <f t="shared" ref="I3:I66" si="0">F3&amp;G3&amp;H3</f>
        <v>121</v>
      </c>
      <c r="J3" t="s">
        <v>2300</v>
      </c>
      <c r="K3" t="s">
        <v>2301</v>
      </c>
      <c r="L3" t="str">
        <f t="shared" ref="L3:L66" si="1">IF(E5&lt;=30,"Low Risk",
IF(E3&lt;=60,"Moderate Risk",
IF(E3&lt;=90,"High Risk",
IF(E3&lt;=180,"Very High Risk","Critical Risk"))))</f>
        <v>Critical Risk</v>
      </c>
      <c r="M3" t="str">
        <f>IFERROR(VLOOKUP(A12,Promo_Pivot!A:C,3,FALSE),"No")</f>
        <v>Yes</v>
      </c>
      <c r="N3" t="s">
        <v>2290</v>
      </c>
      <c r="O3">
        <f>COUNTA(A2:A589)</f>
        <v>588</v>
      </c>
    </row>
    <row r="4" spans="1:15" x14ac:dyDescent="0.35">
      <c r="A4" t="s">
        <v>1785</v>
      </c>
      <c r="B4" s="2">
        <v>45574</v>
      </c>
      <c r="C4">
        <v>1392</v>
      </c>
      <c r="D4">
        <v>1</v>
      </c>
      <c r="E4">
        <v>18</v>
      </c>
      <c r="F4">
        <v>5</v>
      </c>
      <c r="G4">
        <v>2</v>
      </c>
      <c r="H4">
        <v>2</v>
      </c>
      <c r="I4" t="str">
        <f t="shared" si="0"/>
        <v>522</v>
      </c>
      <c r="J4" t="s">
        <v>2298</v>
      </c>
      <c r="K4" t="s">
        <v>2299</v>
      </c>
      <c r="L4" t="str">
        <f t="shared" si="1"/>
        <v>Moderate Risk</v>
      </c>
      <c r="M4" t="str">
        <f>IFERROR(VLOOKUP(A13,Promo_Pivot!A:C,3,FALSE),"No")</f>
        <v>Yes</v>
      </c>
      <c r="N4" t="s">
        <v>2291</v>
      </c>
      <c r="O4">
        <f>COUNTIF(K2:K589,"Churned")</f>
        <v>234</v>
      </c>
    </row>
    <row r="5" spans="1:15" x14ac:dyDescent="0.35">
      <c r="A5" t="s">
        <v>1786</v>
      </c>
      <c r="B5" s="2">
        <v>45461</v>
      </c>
      <c r="C5">
        <v>327</v>
      </c>
      <c r="D5">
        <v>1</v>
      </c>
      <c r="E5">
        <v>131</v>
      </c>
      <c r="F5">
        <v>2</v>
      </c>
      <c r="G5">
        <v>2</v>
      </c>
      <c r="H5">
        <v>1</v>
      </c>
      <c r="I5" t="str">
        <f t="shared" si="0"/>
        <v>221</v>
      </c>
      <c r="J5" t="s">
        <v>2300</v>
      </c>
      <c r="K5" t="s">
        <v>2301</v>
      </c>
      <c r="L5" t="str">
        <f t="shared" si="1"/>
        <v>Very High Risk</v>
      </c>
      <c r="M5" t="str">
        <f>IFERROR(VLOOKUP(A14,Promo_Pivot!A:C,3,FALSE),"No")</f>
        <v>Yes</v>
      </c>
      <c r="N5" t="s">
        <v>2292</v>
      </c>
      <c r="O5">
        <f>O4 / O3</f>
        <v>0.39795918367346939</v>
      </c>
    </row>
    <row r="6" spans="1:15" x14ac:dyDescent="0.35">
      <c r="A6" t="s">
        <v>1787</v>
      </c>
      <c r="B6" s="2">
        <v>45484</v>
      </c>
      <c r="C6">
        <v>108</v>
      </c>
      <c r="D6">
        <v>1</v>
      </c>
      <c r="E6">
        <v>108</v>
      </c>
      <c r="F6">
        <v>2</v>
      </c>
      <c r="G6">
        <v>2</v>
      </c>
      <c r="H6">
        <v>1</v>
      </c>
      <c r="I6" t="str">
        <f t="shared" si="0"/>
        <v>221</v>
      </c>
      <c r="J6" t="s">
        <v>2300</v>
      </c>
      <c r="K6" t="s">
        <v>2301</v>
      </c>
      <c r="L6" t="str">
        <f t="shared" si="1"/>
        <v>Very High Risk</v>
      </c>
      <c r="M6" t="str">
        <f>IFERROR(VLOOKUP(A15,Promo_Pivot!A:C,3,FALSE),"No")</f>
        <v>Yes</v>
      </c>
      <c r="N6" t="s">
        <v>2293</v>
      </c>
      <c r="O6">
        <f>SUMIF(K2:K589,"Churned",C2:C589)</f>
        <v>391412</v>
      </c>
    </row>
    <row r="7" spans="1:15" x14ac:dyDescent="0.35">
      <c r="A7" t="s">
        <v>1788</v>
      </c>
      <c r="B7" s="2">
        <v>45405</v>
      </c>
      <c r="C7">
        <v>930</v>
      </c>
      <c r="D7">
        <v>1</v>
      </c>
      <c r="E7">
        <v>187</v>
      </c>
      <c r="F7">
        <v>1</v>
      </c>
      <c r="G7">
        <v>2</v>
      </c>
      <c r="H7">
        <v>2</v>
      </c>
      <c r="I7" t="str">
        <f t="shared" si="0"/>
        <v>122</v>
      </c>
      <c r="J7" t="s">
        <v>2300</v>
      </c>
      <c r="K7" t="s">
        <v>2301</v>
      </c>
      <c r="L7" t="str">
        <f t="shared" si="1"/>
        <v>Critical Risk</v>
      </c>
      <c r="M7" t="str">
        <f>IFERROR(VLOOKUP(A16,Promo_Pivot!A:C,3,FALSE),"No")</f>
        <v>Yes</v>
      </c>
      <c r="N7" t="s">
        <v>2294</v>
      </c>
      <c r="O7">
        <f>SUMIF(K2:K589,"Active",C2:C589)</f>
        <v>980749</v>
      </c>
    </row>
    <row r="8" spans="1:15" x14ac:dyDescent="0.35">
      <c r="A8" t="s">
        <v>1789</v>
      </c>
      <c r="B8" s="2">
        <v>45422</v>
      </c>
      <c r="C8">
        <v>1140</v>
      </c>
      <c r="D8">
        <v>1</v>
      </c>
      <c r="E8">
        <v>170</v>
      </c>
      <c r="F8">
        <v>1</v>
      </c>
      <c r="G8">
        <v>2</v>
      </c>
      <c r="H8">
        <v>2</v>
      </c>
      <c r="I8" t="str">
        <f t="shared" si="0"/>
        <v>122</v>
      </c>
      <c r="J8" t="s">
        <v>2300</v>
      </c>
      <c r="K8" t="s">
        <v>2301</v>
      </c>
      <c r="L8" t="str">
        <f t="shared" si="1"/>
        <v>Low Risk</v>
      </c>
      <c r="M8" t="str">
        <f>IFERROR(VLOOKUP(A17,Promo_Pivot!A:C,3,FALSE),"No")</f>
        <v>Yes</v>
      </c>
      <c r="N8" t="s">
        <v>2295</v>
      </c>
      <c r="O8">
        <f>SUM(C2:C589)</f>
        <v>1372161</v>
      </c>
    </row>
    <row r="9" spans="1:15" x14ac:dyDescent="0.35">
      <c r="A9" t="s">
        <v>1790</v>
      </c>
      <c r="B9" s="2">
        <v>45541</v>
      </c>
      <c r="C9">
        <v>852</v>
      </c>
      <c r="D9">
        <v>1</v>
      </c>
      <c r="E9">
        <v>51</v>
      </c>
      <c r="F9">
        <v>4</v>
      </c>
      <c r="G9">
        <v>2</v>
      </c>
      <c r="H9">
        <v>1</v>
      </c>
      <c r="I9" t="str">
        <f t="shared" si="0"/>
        <v>421</v>
      </c>
      <c r="J9" t="s">
        <v>2298</v>
      </c>
      <c r="K9" t="s">
        <v>2299</v>
      </c>
      <c r="L9" t="str">
        <f t="shared" si="1"/>
        <v>Moderate Risk</v>
      </c>
      <c r="M9" t="str">
        <f>IFERROR(VLOOKUP(A18,Promo_Pivot!A:C,3,FALSE),"No")</f>
        <v>Yes</v>
      </c>
      <c r="N9" t="s">
        <v>2296</v>
      </c>
      <c r="O9">
        <f>O6/O8</f>
        <v>0.28525224080847655</v>
      </c>
    </row>
    <row r="10" spans="1:15" x14ac:dyDescent="0.35">
      <c r="A10" t="s">
        <v>1791</v>
      </c>
      <c r="B10" s="2">
        <v>45586</v>
      </c>
      <c r="C10">
        <v>480</v>
      </c>
      <c r="D10">
        <v>1</v>
      </c>
      <c r="E10">
        <v>6</v>
      </c>
      <c r="F10">
        <v>5</v>
      </c>
      <c r="G10">
        <v>2</v>
      </c>
      <c r="H10">
        <v>1</v>
      </c>
      <c r="I10" t="str">
        <f t="shared" si="0"/>
        <v>521</v>
      </c>
      <c r="J10" t="s">
        <v>2298</v>
      </c>
      <c r="K10" t="s">
        <v>2299</v>
      </c>
      <c r="L10" t="str">
        <f t="shared" si="1"/>
        <v>Moderate Risk</v>
      </c>
      <c r="M10" t="str">
        <f>IFERROR(VLOOKUP(A19,Promo_Pivot!A:C,3,FALSE),"No")</f>
        <v>Yes</v>
      </c>
    </row>
    <row r="11" spans="1:15" x14ac:dyDescent="0.35">
      <c r="A11" t="s">
        <v>1792</v>
      </c>
      <c r="B11" s="2">
        <v>45526</v>
      </c>
      <c r="C11">
        <v>1332</v>
      </c>
      <c r="D11">
        <v>1</v>
      </c>
      <c r="E11">
        <v>66</v>
      </c>
      <c r="F11">
        <v>3</v>
      </c>
      <c r="G11">
        <v>2</v>
      </c>
      <c r="H11">
        <v>2</v>
      </c>
      <c r="I11" t="str">
        <f t="shared" si="0"/>
        <v>322</v>
      </c>
      <c r="J11" t="s">
        <v>2302</v>
      </c>
      <c r="K11" t="s">
        <v>2299</v>
      </c>
      <c r="L11" t="str">
        <f t="shared" si="1"/>
        <v>Low Risk</v>
      </c>
      <c r="M11" t="str">
        <f>IFERROR(VLOOKUP(A20,Promo_Pivot!A:C,3,FALSE),"No")</f>
        <v>Yes</v>
      </c>
    </row>
    <row r="12" spans="1:15" x14ac:dyDescent="0.35">
      <c r="A12" t="s">
        <v>1793</v>
      </c>
      <c r="B12" s="2">
        <v>45504</v>
      </c>
      <c r="C12">
        <v>1444</v>
      </c>
      <c r="D12">
        <v>1</v>
      </c>
      <c r="E12">
        <v>88</v>
      </c>
      <c r="F12">
        <v>3</v>
      </c>
      <c r="G12">
        <v>2</v>
      </c>
      <c r="H12">
        <v>2</v>
      </c>
      <c r="I12" t="str">
        <f t="shared" si="0"/>
        <v>322</v>
      </c>
      <c r="J12" t="s">
        <v>2302</v>
      </c>
      <c r="K12" t="s">
        <v>2299</v>
      </c>
      <c r="L12" t="str">
        <f t="shared" si="1"/>
        <v>Low Risk</v>
      </c>
      <c r="M12" t="str">
        <f>IFERROR(VLOOKUP(A21,Promo_Pivot!A:C,3,FALSE),"No")</f>
        <v>Yes</v>
      </c>
    </row>
    <row r="13" spans="1:15" x14ac:dyDescent="0.35">
      <c r="A13" t="s">
        <v>1794</v>
      </c>
      <c r="B13" s="2">
        <v>45565</v>
      </c>
      <c r="C13">
        <v>158</v>
      </c>
      <c r="D13">
        <v>1</v>
      </c>
      <c r="E13">
        <v>27</v>
      </c>
      <c r="F13">
        <v>5</v>
      </c>
      <c r="G13">
        <v>2</v>
      </c>
      <c r="H13">
        <v>1</v>
      </c>
      <c r="I13" t="str">
        <f t="shared" si="0"/>
        <v>521</v>
      </c>
      <c r="J13" t="s">
        <v>2298</v>
      </c>
      <c r="K13" t="s">
        <v>2299</v>
      </c>
      <c r="L13" t="str">
        <f t="shared" si="1"/>
        <v>Moderate Risk</v>
      </c>
      <c r="M13" t="str">
        <f>IFERROR(VLOOKUP(A22,Promo_Pivot!A:C,3,FALSE),"No")</f>
        <v>Yes</v>
      </c>
    </row>
    <row r="14" spans="1:15" x14ac:dyDescent="0.35">
      <c r="A14" t="s">
        <v>1696</v>
      </c>
      <c r="B14" s="2">
        <v>45580</v>
      </c>
      <c r="C14">
        <v>792</v>
      </c>
      <c r="D14">
        <v>1</v>
      </c>
      <c r="E14">
        <v>12</v>
      </c>
      <c r="F14">
        <v>5</v>
      </c>
      <c r="G14">
        <v>2</v>
      </c>
      <c r="H14">
        <v>1</v>
      </c>
      <c r="I14" t="str">
        <f t="shared" si="0"/>
        <v>521</v>
      </c>
      <c r="J14" t="s">
        <v>2298</v>
      </c>
      <c r="K14" t="s">
        <v>2299</v>
      </c>
      <c r="L14" t="str">
        <f t="shared" si="1"/>
        <v>Moderate Risk</v>
      </c>
      <c r="M14" t="str">
        <f>IFERROR(VLOOKUP(A23,Promo_Pivot!A:C,3,FALSE),"No")</f>
        <v>Yes</v>
      </c>
    </row>
    <row r="15" spans="1:15" x14ac:dyDescent="0.35">
      <c r="A15" t="s">
        <v>1795</v>
      </c>
      <c r="B15" s="2">
        <v>45474</v>
      </c>
      <c r="C15">
        <v>232</v>
      </c>
      <c r="D15">
        <v>1</v>
      </c>
      <c r="E15">
        <v>118</v>
      </c>
      <c r="F15">
        <v>2</v>
      </c>
      <c r="G15">
        <v>2</v>
      </c>
      <c r="H15">
        <v>1</v>
      </c>
      <c r="I15" t="str">
        <f t="shared" si="0"/>
        <v>221</v>
      </c>
      <c r="J15" t="s">
        <v>2300</v>
      </c>
      <c r="K15" t="s">
        <v>2301</v>
      </c>
      <c r="L15" t="str">
        <f t="shared" si="1"/>
        <v>Very High Risk</v>
      </c>
      <c r="M15" t="str">
        <f>IFERROR(VLOOKUP(A24,Promo_Pivot!A:C,3,FALSE),"No")</f>
        <v>Yes</v>
      </c>
    </row>
    <row r="16" spans="1:15" x14ac:dyDescent="0.35">
      <c r="A16" t="s">
        <v>1796</v>
      </c>
      <c r="B16" s="2">
        <v>45429</v>
      </c>
      <c r="C16">
        <v>990</v>
      </c>
      <c r="D16">
        <v>1</v>
      </c>
      <c r="E16">
        <v>163</v>
      </c>
      <c r="F16">
        <v>1</v>
      </c>
      <c r="G16">
        <v>2</v>
      </c>
      <c r="H16">
        <v>2</v>
      </c>
      <c r="I16" t="str">
        <f t="shared" si="0"/>
        <v>122</v>
      </c>
      <c r="J16" t="s">
        <v>2300</v>
      </c>
      <c r="K16" t="s">
        <v>2301</v>
      </c>
      <c r="L16" t="str">
        <f t="shared" si="1"/>
        <v>Low Risk</v>
      </c>
      <c r="M16" t="str">
        <f>IFERROR(VLOOKUP(A25,Promo_Pivot!A:C,3,FALSE),"No")</f>
        <v>Yes</v>
      </c>
    </row>
    <row r="17" spans="1:13" x14ac:dyDescent="0.35">
      <c r="A17" t="s">
        <v>1797</v>
      </c>
      <c r="B17" s="2">
        <v>45523</v>
      </c>
      <c r="C17">
        <v>495</v>
      </c>
      <c r="D17">
        <v>1</v>
      </c>
      <c r="E17">
        <v>69</v>
      </c>
      <c r="F17">
        <v>3</v>
      </c>
      <c r="G17">
        <v>2</v>
      </c>
      <c r="H17">
        <v>1</v>
      </c>
      <c r="I17" t="str">
        <f t="shared" si="0"/>
        <v>321</v>
      </c>
      <c r="J17" t="s">
        <v>2302</v>
      </c>
      <c r="K17" t="s">
        <v>2299</v>
      </c>
      <c r="L17" t="str">
        <f t="shared" si="1"/>
        <v>High Risk</v>
      </c>
      <c r="M17" t="str">
        <f>IFERROR(VLOOKUP(A26,Promo_Pivot!A:C,3,FALSE),"No")</f>
        <v>Yes</v>
      </c>
    </row>
    <row r="18" spans="1:13" x14ac:dyDescent="0.35">
      <c r="A18" t="s">
        <v>1798</v>
      </c>
      <c r="B18" s="2">
        <v>45587</v>
      </c>
      <c r="C18">
        <v>1845</v>
      </c>
      <c r="D18">
        <v>1</v>
      </c>
      <c r="E18">
        <v>5</v>
      </c>
      <c r="F18">
        <v>5</v>
      </c>
      <c r="G18">
        <v>2</v>
      </c>
      <c r="H18">
        <v>3</v>
      </c>
      <c r="I18" t="str">
        <f t="shared" si="0"/>
        <v>523</v>
      </c>
      <c r="J18" t="s">
        <v>2298</v>
      </c>
      <c r="K18" t="s">
        <v>2299</v>
      </c>
      <c r="L18" t="str">
        <f t="shared" si="1"/>
        <v>Moderate Risk</v>
      </c>
      <c r="M18" t="str">
        <f>IFERROR(VLOOKUP(A27,Promo_Pivot!A:C,3,FALSE),"No")</f>
        <v>Yes</v>
      </c>
    </row>
    <row r="19" spans="1:13" x14ac:dyDescent="0.35">
      <c r="A19" t="s">
        <v>1799</v>
      </c>
      <c r="B19" s="2">
        <v>45552</v>
      </c>
      <c r="C19">
        <v>712</v>
      </c>
      <c r="D19">
        <v>1</v>
      </c>
      <c r="E19">
        <v>40</v>
      </c>
      <c r="F19">
        <v>4</v>
      </c>
      <c r="G19">
        <v>2</v>
      </c>
      <c r="H19">
        <v>1</v>
      </c>
      <c r="I19" t="str">
        <f t="shared" si="0"/>
        <v>421</v>
      </c>
      <c r="J19" t="s">
        <v>2298</v>
      </c>
      <c r="K19" t="s">
        <v>2299</v>
      </c>
      <c r="L19" t="str">
        <f t="shared" si="1"/>
        <v>Moderate Risk</v>
      </c>
      <c r="M19" t="str">
        <f>IFERROR(VLOOKUP(A28,Promo_Pivot!A:C,3,FALSE),"No")</f>
        <v>Yes</v>
      </c>
    </row>
    <row r="20" spans="1:13" x14ac:dyDescent="0.35">
      <c r="A20" t="s">
        <v>1800</v>
      </c>
      <c r="B20" s="2">
        <v>45466</v>
      </c>
      <c r="C20">
        <v>786</v>
      </c>
      <c r="D20">
        <v>1</v>
      </c>
      <c r="E20">
        <v>126</v>
      </c>
      <c r="F20">
        <v>2</v>
      </c>
      <c r="G20">
        <v>2</v>
      </c>
      <c r="H20">
        <v>1</v>
      </c>
      <c r="I20" t="str">
        <f t="shared" si="0"/>
        <v>221</v>
      </c>
      <c r="J20" t="s">
        <v>2300</v>
      </c>
      <c r="K20" t="s">
        <v>2301</v>
      </c>
      <c r="L20" t="str">
        <f t="shared" si="1"/>
        <v>Very High Risk</v>
      </c>
      <c r="M20" t="str">
        <f>IFERROR(VLOOKUP(A29,Promo_Pivot!A:C,3,FALSE),"No")</f>
        <v>Yes</v>
      </c>
    </row>
    <row r="21" spans="1:13" x14ac:dyDescent="0.35">
      <c r="A21" t="s">
        <v>1801</v>
      </c>
      <c r="B21" s="2">
        <v>45554</v>
      </c>
      <c r="C21">
        <v>1930</v>
      </c>
      <c r="D21">
        <v>1</v>
      </c>
      <c r="E21">
        <v>38</v>
      </c>
      <c r="F21">
        <v>4</v>
      </c>
      <c r="G21">
        <v>2</v>
      </c>
      <c r="H21">
        <v>3</v>
      </c>
      <c r="I21" t="str">
        <f t="shared" si="0"/>
        <v>423</v>
      </c>
      <c r="J21" t="s">
        <v>2298</v>
      </c>
      <c r="K21" t="s">
        <v>2299</v>
      </c>
      <c r="L21" t="str">
        <f t="shared" si="1"/>
        <v>Moderate Risk</v>
      </c>
      <c r="M21" t="str">
        <f>IFERROR(VLOOKUP(A30,Promo_Pivot!A:C,3,FALSE),"No")</f>
        <v>Yes</v>
      </c>
    </row>
    <row r="22" spans="1:13" x14ac:dyDescent="0.35">
      <c r="A22" t="s">
        <v>1802</v>
      </c>
      <c r="B22" s="2">
        <v>45298</v>
      </c>
      <c r="C22">
        <v>1595</v>
      </c>
      <c r="D22">
        <v>1</v>
      </c>
      <c r="E22">
        <v>294</v>
      </c>
      <c r="F22">
        <v>1</v>
      </c>
      <c r="G22">
        <v>2</v>
      </c>
      <c r="H22">
        <v>2</v>
      </c>
      <c r="I22" t="str">
        <f t="shared" si="0"/>
        <v>122</v>
      </c>
      <c r="J22" t="s">
        <v>2300</v>
      </c>
      <c r="K22" t="s">
        <v>2301</v>
      </c>
      <c r="L22" t="str">
        <f t="shared" si="1"/>
        <v>Critical Risk</v>
      </c>
      <c r="M22" t="str">
        <f>IFERROR(VLOOKUP(A31,Promo_Pivot!A:C,3,FALSE),"No")</f>
        <v>Yes</v>
      </c>
    </row>
    <row r="23" spans="1:13" x14ac:dyDescent="0.35">
      <c r="A23" t="s">
        <v>1803</v>
      </c>
      <c r="B23" s="2">
        <v>45550</v>
      </c>
      <c r="C23">
        <v>826</v>
      </c>
      <c r="D23">
        <v>1</v>
      </c>
      <c r="E23">
        <v>42</v>
      </c>
      <c r="F23">
        <v>4</v>
      </c>
      <c r="G23">
        <v>2</v>
      </c>
      <c r="H23">
        <v>1</v>
      </c>
      <c r="I23" t="str">
        <f t="shared" si="0"/>
        <v>421</v>
      </c>
      <c r="J23" t="s">
        <v>2298</v>
      </c>
      <c r="K23" t="s">
        <v>2299</v>
      </c>
      <c r="L23" t="str">
        <f t="shared" si="1"/>
        <v>Moderate Risk</v>
      </c>
      <c r="M23" t="str">
        <f>IFERROR(VLOOKUP(A32,Promo_Pivot!A:C,3,FALSE),"No")</f>
        <v>Yes</v>
      </c>
    </row>
    <row r="24" spans="1:13" x14ac:dyDescent="0.35">
      <c r="A24" t="s">
        <v>1804</v>
      </c>
      <c r="B24" s="2">
        <v>45532</v>
      </c>
      <c r="C24">
        <v>666</v>
      </c>
      <c r="D24">
        <v>1</v>
      </c>
      <c r="E24">
        <v>60</v>
      </c>
      <c r="F24">
        <v>3</v>
      </c>
      <c r="G24">
        <v>2</v>
      </c>
      <c r="H24">
        <v>1</v>
      </c>
      <c r="I24" t="str">
        <f t="shared" si="0"/>
        <v>321</v>
      </c>
      <c r="J24" t="s">
        <v>2302</v>
      </c>
      <c r="K24" t="s">
        <v>2299</v>
      </c>
      <c r="L24" t="str">
        <f t="shared" si="1"/>
        <v>Moderate Risk</v>
      </c>
      <c r="M24" t="str">
        <f>IFERROR(VLOOKUP(A33,Promo_Pivot!A:C,3,FALSE),"No")</f>
        <v>Yes</v>
      </c>
    </row>
    <row r="25" spans="1:13" x14ac:dyDescent="0.35">
      <c r="A25" t="s">
        <v>1697</v>
      </c>
      <c r="B25" s="2">
        <v>45441</v>
      </c>
      <c r="C25">
        <v>1548</v>
      </c>
      <c r="D25">
        <v>1</v>
      </c>
      <c r="E25">
        <v>151</v>
      </c>
      <c r="F25">
        <v>1</v>
      </c>
      <c r="G25">
        <v>2</v>
      </c>
      <c r="H25">
        <v>2</v>
      </c>
      <c r="I25" t="str">
        <f t="shared" si="0"/>
        <v>122</v>
      </c>
      <c r="J25" t="s">
        <v>2300</v>
      </c>
      <c r="K25" t="s">
        <v>2301</v>
      </c>
      <c r="L25" t="str">
        <f t="shared" si="1"/>
        <v>Very High Risk</v>
      </c>
      <c r="M25" t="str">
        <f>IFERROR(VLOOKUP(A34,Promo_Pivot!A:C,3,FALSE),"No")</f>
        <v>Yes</v>
      </c>
    </row>
    <row r="26" spans="1:13" x14ac:dyDescent="0.35">
      <c r="A26" t="s">
        <v>1805</v>
      </c>
      <c r="B26" s="2">
        <v>45397</v>
      </c>
      <c r="C26">
        <v>1473</v>
      </c>
      <c r="D26">
        <v>1</v>
      </c>
      <c r="E26">
        <v>195</v>
      </c>
      <c r="F26">
        <v>1</v>
      </c>
      <c r="G26">
        <v>2</v>
      </c>
      <c r="H26">
        <v>2</v>
      </c>
      <c r="I26" t="str">
        <f t="shared" si="0"/>
        <v>122</v>
      </c>
      <c r="J26" t="s">
        <v>2300</v>
      </c>
      <c r="K26" t="s">
        <v>2301</v>
      </c>
      <c r="L26" t="str">
        <f t="shared" si="1"/>
        <v>Critical Risk</v>
      </c>
      <c r="M26" t="str">
        <f>IFERROR(VLOOKUP(A35,Promo_Pivot!A:C,3,FALSE),"No")</f>
        <v>Yes</v>
      </c>
    </row>
    <row r="27" spans="1:13" x14ac:dyDescent="0.35">
      <c r="A27" t="s">
        <v>1806</v>
      </c>
      <c r="B27" s="2">
        <v>45318</v>
      </c>
      <c r="C27">
        <v>322</v>
      </c>
      <c r="D27">
        <v>1</v>
      </c>
      <c r="E27">
        <v>274</v>
      </c>
      <c r="F27">
        <v>1</v>
      </c>
      <c r="G27">
        <v>2</v>
      </c>
      <c r="H27">
        <v>1</v>
      </c>
      <c r="I27" t="str">
        <f t="shared" si="0"/>
        <v>121</v>
      </c>
      <c r="J27" t="s">
        <v>2300</v>
      </c>
      <c r="K27" t="s">
        <v>2301</v>
      </c>
      <c r="L27" t="str">
        <f t="shared" si="1"/>
        <v>Critical Risk</v>
      </c>
      <c r="M27" t="str">
        <f>IFERROR(VLOOKUP(A36,Promo_Pivot!A:C,3,FALSE),"No")</f>
        <v>Yes</v>
      </c>
    </row>
    <row r="28" spans="1:13" x14ac:dyDescent="0.35">
      <c r="A28" t="s">
        <v>1807</v>
      </c>
      <c r="B28" s="2">
        <v>45322</v>
      </c>
      <c r="C28">
        <v>700</v>
      </c>
      <c r="D28">
        <v>1</v>
      </c>
      <c r="E28">
        <v>270</v>
      </c>
      <c r="F28">
        <v>1</v>
      </c>
      <c r="G28">
        <v>2</v>
      </c>
      <c r="H28">
        <v>1</v>
      </c>
      <c r="I28" t="str">
        <f t="shared" si="0"/>
        <v>121</v>
      </c>
      <c r="J28" t="s">
        <v>2300</v>
      </c>
      <c r="K28" t="s">
        <v>2301</v>
      </c>
      <c r="L28" t="str">
        <f t="shared" si="1"/>
        <v>Critical Risk</v>
      </c>
      <c r="M28" t="str">
        <f>IFERROR(VLOOKUP(A37,Promo_Pivot!A:C,3,FALSE),"No")</f>
        <v>Yes</v>
      </c>
    </row>
    <row r="29" spans="1:13" x14ac:dyDescent="0.35">
      <c r="A29" t="s">
        <v>1808</v>
      </c>
      <c r="B29" s="2">
        <v>45460</v>
      </c>
      <c r="C29">
        <v>1392</v>
      </c>
      <c r="D29">
        <v>1</v>
      </c>
      <c r="E29">
        <v>132</v>
      </c>
      <c r="F29">
        <v>2</v>
      </c>
      <c r="G29">
        <v>2</v>
      </c>
      <c r="H29">
        <v>2</v>
      </c>
      <c r="I29" t="str">
        <f t="shared" si="0"/>
        <v>222</v>
      </c>
      <c r="J29" t="s">
        <v>2300</v>
      </c>
      <c r="K29" t="s">
        <v>2301</v>
      </c>
      <c r="L29" t="str">
        <f t="shared" si="1"/>
        <v>Very High Risk</v>
      </c>
      <c r="M29" t="str">
        <f>IFERROR(VLOOKUP(A38,Promo_Pivot!A:C,3,FALSE),"No")</f>
        <v>Yes</v>
      </c>
    </row>
    <row r="30" spans="1:13" x14ac:dyDescent="0.35">
      <c r="A30" t="s">
        <v>1809</v>
      </c>
      <c r="B30" s="2">
        <v>45317</v>
      </c>
      <c r="C30">
        <v>1940</v>
      </c>
      <c r="D30">
        <v>1</v>
      </c>
      <c r="E30">
        <v>275</v>
      </c>
      <c r="F30">
        <v>1</v>
      </c>
      <c r="G30">
        <v>2</v>
      </c>
      <c r="H30">
        <v>3</v>
      </c>
      <c r="I30" t="str">
        <f t="shared" si="0"/>
        <v>123</v>
      </c>
      <c r="J30" t="s">
        <v>2300</v>
      </c>
      <c r="K30" t="s">
        <v>2301</v>
      </c>
      <c r="L30" t="str">
        <f t="shared" si="1"/>
        <v>Critical Risk</v>
      </c>
      <c r="M30" t="str">
        <f>IFERROR(VLOOKUP(A39,Promo_Pivot!A:C,3,FALSE),"No")</f>
        <v>Yes</v>
      </c>
    </row>
    <row r="31" spans="1:13" x14ac:dyDescent="0.35">
      <c r="A31" t="s">
        <v>1810</v>
      </c>
      <c r="B31" s="2">
        <v>45295</v>
      </c>
      <c r="C31">
        <v>399</v>
      </c>
      <c r="D31">
        <v>1</v>
      </c>
      <c r="E31">
        <v>297</v>
      </c>
      <c r="F31">
        <v>1</v>
      </c>
      <c r="G31">
        <v>2</v>
      </c>
      <c r="H31">
        <v>1</v>
      </c>
      <c r="I31" t="str">
        <f t="shared" si="0"/>
        <v>121</v>
      </c>
      <c r="J31" t="s">
        <v>2300</v>
      </c>
      <c r="K31" t="s">
        <v>2301</v>
      </c>
      <c r="L31" t="str">
        <f t="shared" si="1"/>
        <v>Low Risk</v>
      </c>
      <c r="M31" t="str">
        <f>IFERROR(VLOOKUP(A40,Promo_Pivot!A:C,3,FALSE),"No")</f>
        <v>Yes</v>
      </c>
    </row>
    <row r="32" spans="1:13" x14ac:dyDescent="0.35">
      <c r="A32" t="s">
        <v>1811</v>
      </c>
      <c r="B32" s="2">
        <v>45386</v>
      </c>
      <c r="C32">
        <v>1458</v>
      </c>
      <c r="D32">
        <v>1</v>
      </c>
      <c r="E32">
        <v>206</v>
      </c>
      <c r="F32">
        <v>1</v>
      </c>
      <c r="G32">
        <v>2</v>
      </c>
      <c r="H32">
        <v>2</v>
      </c>
      <c r="I32" t="str">
        <f t="shared" si="0"/>
        <v>122</v>
      </c>
      <c r="J32" t="s">
        <v>2300</v>
      </c>
      <c r="K32" t="s">
        <v>2301</v>
      </c>
      <c r="L32" t="str">
        <f t="shared" si="1"/>
        <v>Critical Risk</v>
      </c>
      <c r="M32" t="str">
        <f>IFERROR(VLOOKUP(A41,Promo_Pivot!A:C,3,FALSE),"No")</f>
        <v>Yes</v>
      </c>
    </row>
    <row r="33" spans="1:13" x14ac:dyDescent="0.35">
      <c r="A33" t="s">
        <v>1812</v>
      </c>
      <c r="B33" s="2">
        <v>45564</v>
      </c>
      <c r="C33">
        <v>660</v>
      </c>
      <c r="D33">
        <v>1</v>
      </c>
      <c r="E33">
        <v>28</v>
      </c>
      <c r="F33">
        <v>4</v>
      </c>
      <c r="G33">
        <v>2</v>
      </c>
      <c r="H33">
        <v>1</v>
      </c>
      <c r="I33" t="str">
        <f t="shared" si="0"/>
        <v>421</v>
      </c>
      <c r="J33" t="s">
        <v>2298</v>
      </c>
      <c r="K33" t="s">
        <v>2299</v>
      </c>
      <c r="L33" t="str">
        <f t="shared" si="1"/>
        <v>Moderate Risk</v>
      </c>
      <c r="M33" t="str">
        <f>IFERROR(VLOOKUP(A42,Promo_Pivot!A:C,3,FALSE),"No")</f>
        <v>Yes</v>
      </c>
    </row>
    <row r="34" spans="1:13" x14ac:dyDescent="0.35">
      <c r="A34" t="s">
        <v>1813</v>
      </c>
      <c r="B34" s="2">
        <v>45385</v>
      </c>
      <c r="C34">
        <v>1816</v>
      </c>
      <c r="D34">
        <v>1</v>
      </c>
      <c r="E34">
        <v>207</v>
      </c>
      <c r="F34">
        <v>1</v>
      </c>
      <c r="G34">
        <v>2</v>
      </c>
      <c r="H34">
        <v>3</v>
      </c>
      <c r="I34" t="str">
        <f t="shared" si="0"/>
        <v>123</v>
      </c>
      <c r="J34" t="s">
        <v>2300</v>
      </c>
      <c r="K34" t="s">
        <v>2301</v>
      </c>
      <c r="L34" t="str">
        <f t="shared" si="1"/>
        <v>Critical Risk</v>
      </c>
      <c r="M34" t="str">
        <f>IFERROR(VLOOKUP(A43,Promo_Pivot!A:C,3,FALSE),"No")</f>
        <v>Yes</v>
      </c>
    </row>
    <row r="35" spans="1:13" x14ac:dyDescent="0.35">
      <c r="A35" t="s">
        <v>1814</v>
      </c>
      <c r="B35" s="2">
        <v>45492</v>
      </c>
      <c r="C35">
        <v>522</v>
      </c>
      <c r="D35">
        <v>1</v>
      </c>
      <c r="E35">
        <v>100</v>
      </c>
      <c r="F35">
        <v>2</v>
      </c>
      <c r="G35">
        <v>2</v>
      </c>
      <c r="H35">
        <v>1</v>
      </c>
      <c r="I35" t="str">
        <f t="shared" si="0"/>
        <v>221</v>
      </c>
      <c r="J35" t="s">
        <v>2300</v>
      </c>
      <c r="K35" t="s">
        <v>2301</v>
      </c>
      <c r="L35" t="str">
        <f t="shared" si="1"/>
        <v>Very High Risk</v>
      </c>
      <c r="M35" t="str">
        <f>IFERROR(VLOOKUP(A44,Promo_Pivot!A:C,3,FALSE),"No")</f>
        <v>Yes</v>
      </c>
    </row>
    <row r="36" spans="1:13" x14ac:dyDescent="0.35">
      <c r="A36" t="s">
        <v>1698</v>
      </c>
      <c r="B36" s="2">
        <v>45412</v>
      </c>
      <c r="C36">
        <v>313</v>
      </c>
      <c r="D36">
        <v>1</v>
      </c>
      <c r="E36">
        <v>180</v>
      </c>
      <c r="F36">
        <v>1</v>
      </c>
      <c r="G36">
        <v>2</v>
      </c>
      <c r="H36">
        <v>1</v>
      </c>
      <c r="I36" t="str">
        <f t="shared" si="0"/>
        <v>121</v>
      </c>
      <c r="J36" t="s">
        <v>2300</v>
      </c>
      <c r="K36" t="s">
        <v>2301</v>
      </c>
      <c r="L36" t="str">
        <f t="shared" si="1"/>
        <v>Very High Risk</v>
      </c>
      <c r="M36" t="str">
        <f>IFERROR(VLOOKUP(A45,Promo_Pivot!A:C,3,FALSE),"No")</f>
        <v>Yes</v>
      </c>
    </row>
    <row r="37" spans="1:13" x14ac:dyDescent="0.35">
      <c r="A37" t="s">
        <v>1815</v>
      </c>
      <c r="B37" s="2">
        <v>45491</v>
      </c>
      <c r="C37">
        <v>1072</v>
      </c>
      <c r="D37">
        <v>1</v>
      </c>
      <c r="E37">
        <v>101</v>
      </c>
      <c r="F37">
        <v>2</v>
      </c>
      <c r="G37">
        <v>2</v>
      </c>
      <c r="H37">
        <v>2</v>
      </c>
      <c r="I37" t="str">
        <f t="shared" si="0"/>
        <v>222</v>
      </c>
      <c r="J37" t="s">
        <v>2300</v>
      </c>
      <c r="K37" t="s">
        <v>2301</v>
      </c>
      <c r="L37" t="str">
        <f t="shared" si="1"/>
        <v>Very High Risk</v>
      </c>
      <c r="M37" t="str">
        <f>IFERROR(VLOOKUP(A46,Promo_Pivot!A:C,3,FALSE),"No")</f>
        <v>Yes</v>
      </c>
    </row>
    <row r="38" spans="1:13" x14ac:dyDescent="0.35">
      <c r="A38" t="s">
        <v>1816</v>
      </c>
      <c r="B38" s="2">
        <v>45306</v>
      </c>
      <c r="C38">
        <v>2000</v>
      </c>
      <c r="D38">
        <v>1</v>
      </c>
      <c r="E38">
        <v>286</v>
      </c>
      <c r="F38">
        <v>1</v>
      </c>
      <c r="G38">
        <v>2</v>
      </c>
      <c r="H38">
        <v>3</v>
      </c>
      <c r="I38" t="str">
        <f t="shared" si="0"/>
        <v>123</v>
      </c>
      <c r="J38" t="s">
        <v>2300</v>
      </c>
      <c r="K38" t="s">
        <v>2301</v>
      </c>
      <c r="L38" t="str">
        <f t="shared" si="1"/>
        <v>Critical Risk</v>
      </c>
      <c r="M38" t="str">
        <f>IFERROR(VLOOKUP(A47,Promo_Pivot!A:C,3,FALSE),"No")</f>
        <v>Yes</v>
      </c>
    </row>
    <row r="39" spans="1:13" x14ac:dyDescent="0.35">
      <c r="A39" t="s">
        <v>1817</v>
      </c>
      <c r="B39" s="2">
        <v>45370</v>
      </c>
      <c r="C39">
        <v>185</v>
      </c>
      <c r="D39">
        <v>1</v>
      </c>
      <c r="E39">
        <v>222</v>
      </c>
      <c r="F39">
        <v>1</v>
      </c>
      <c r="G39">
        <v>2</v>
      </c>
      <c r="H39">
        <v>1</v>
      </c>
      <c r="I39" t="str">
        <f t="shared" si="0"/>
        <v>121</v>
      </c>
      <c r="J39" t="s">
        <v>2300</v>
      </c>
      <c r="K39" t="s">
        <v>2301</v>
      </c>
      <c r="L39" t="str">
        <f t="shared" si="1"/>
        <v>Critical Risk</v>
      </c>
      <c r="M39" t="str">
        <f>IFERROR(VLOOKUP(A48,Promo_Pivot!A:C,3,FALSE),"No")</f>
        <v>Yes</v>
      </c>
    </row>
    <row r="40" spans="1:13" x14ac:dyDescent="0.35">
      <c r="A40" t="s">
        <v>1818</v>
      </c>
      <c r="B40" s="2">
        <v>45426</v>
      </c>
      <c r="C40">
        <v>1600</v>
      </c>
      <c r="D40">
        <v>1</v>
      </c>
      <c r="E40">
        <v>166</v>
      </c>
      <c r="F40">
        <v>1</v>
      </c>
      <c r="G40">
        <v>2</v>
      </c>
      <c r="H40">
        <v>2</v>
      </c>
      <c r="I40" t="str">
        <f t="shared" si="0"/>
        <v>122</v>
      </c>
      <c r="J40" t="s">
        <v>2300</v>
      </c>
      <c r="K40" t="s">
        <v>2301</v>
      </c>
      <c r="L40" t="str">
        <f t="shared" si="1"/>
        <v>Very High Risk</v>
      </c>
      <c r="M40" t="str">
        <f>IFERROR(VLOOKUP(A49,Promo_Pivot!A:C,3,FALSE),"No")</f>
        <v>Yes</v>
      </c>
    </row>
    <row r="41" spans="1:13" x14ac:dyDescent="0.35">
      <c r="A41" t="s">
        <v>1819</v>
      </c>
      <c r="B41" s="2">
        <v>45511</v>
      </c>
      <c r="C41">
        <v>466</v>
      </c>
      <c r="D41">
        <v>1</v>
      </c>
      <c r="E41">
        <v>81</v>
      </c>
      <c r="F41">
        <v>3</v>
      </c>
      <c r="G41">
        <v>2</v>
      </c>
      <c r="H41">
        <v>1</v>
      </c>
      <c r="I41" t="str">
        <f t="shared" si="0"/>
        <v>321</v>
      </c>
      <c r="J41" t="s">
        <v>2302</v>
      </c>
      <c r="K41" t="s">
        <v>2299</v>
      </c>
      <c r="L41" t="str">
        <f t="shared" si="1"/>
        <v>Low Risk</v>
      </c>
      <c r="M41" t="str">
        <f>IFERROR(VLOOKUP(A50,Promo_Pivot!A:C,3,FALSE),"No")</f>
        <v>Yes</v>
      </c>
    </row>
    <row r="42" spans="1:13" x14ac:dyDescent="0.35">
      <c r="A42" t="s">
        <v>1820</v>
      </c>
      <c r="B42" s="2">
        <v>45295</v>
      </c>
      <c r="C42">
        <v>447</v>
      </c>
      <c r="D42">
        <v>1</v>
      </c>
      <c r="E42">
        <v>297</v>
      </c>
      <c r="F42">
        <v>1</v>
      </c>
      <c r="G42">
        <v>2</v>
      </c>
      <c r="H42">
        <v>1</v>
      </c>
      <c r="I42" t="str">
        <f t="shared" si="0"/>
        <v>121</v>
      </c>
      <c r="J42" t="s">
        <v>2300</v>
      </c>
      <c r="K42" t="s">
        <v>2301</v>
      </c>
      <c r="L42" t="str">
        <f t="shared" si="1"/>
        <v>Critical Risk</v>
      </c>
      <c r="M42" t="str">
        <f>IFERROR(VLOOKUP(A51,Promo_Pivot!A:C,3,FALSE),"No")</f>
        <v>Yes</v>
      </c>
    </row>
    <row r="43" spans="1:13" x14ac:dyDescent="0.35">
      <c r="A43" t="s">
        <v>1821</v>
      </c>
      <c r="B43" s="2">
        <v>45590</v>
      </c>
      <c r="C43">
        <v>936</v>
      </c>
      <c r="D43">
        <v>1</v>
      </c>
      <c r="E43">
        <v>2</v>
      </c>
      <c r="F43">
        <v>5</v>
      </c>
      <c r="G43">
        <v>2</v>
      </c>
      <c r="H43">
        <v>2</v>
      </c>
      <c r="I43" t="str">
        <f t="shared" si="0"/>
        <v>522</v>
      </c>
      <c r="J43" t="s">
        <v>2298</v>
      </c>
      <c r="K43" t="s">
        <v>2299</v>
      </c>
      <c r="L43" t="str">
        <f t="shared" si="1"/>
        <v>Moderate Risk</v>
      </c>
      <c r="M43" t="str">
        <f>IFERROR(VLOOKUP(A52,Promo_Pivot!A:C,3,FALSE),"No")</f>
        <v>Yes</v>
      </c>
    </row>
    <row r="44" spans="1:13" x14ac:dyDescent="0.35">
      <c r="A44" t="s">
        <v>1822</v>
      </c>
      <c r="B44" s="2">
        <v>45556</v>
      </c>
      <c r="C44">
        <v>638</v>
      </c>
      <c r="D44">
        <v>1</v>
      </c>
      <c r="E44">
        <v>36</v>
      </c>
      <c r="F44">
        <v>4</v>
      </c>
      <c r="G44">
        <v>2</v>
      </c>
      <c r="H44">
        <v>1</v>
      </c>
      <c r="I44" t="str">
        <f t="shared" si="0"/>
        <v>421</v>
      </c>
      <c r="J44" t="s">
        <v>2298</v>
      </c>
      <c r="K44" t="s">
        <v>2299</v>
      </c>
      <c r="L44" t="str">
        <f t="shared" si="1"/>
        <v>Moderate Risk</v>
      </c>
      <c r="M44" t="str">
        <f>IFERROR(VLOOKUP(A53,Promo_Pivot!A:C,3,FALSE),"No")</f>
        <v>Yes</v>
      </c>
    </row>
    <row r="45" spans="1:13" x14ac:dyDescent="0.35">
      <c r="A45" t="s">
        <v>1823</v>
      </c>
      <c r="B45" s="2">
        <v>45517</v>
      </c>
      <c r="C45">
        <v>525</v>
      </c>
      <c r="D45">
        <v>1</v>
      </c>
      <c r="E45">
        <v>75</v>
      </c>
      <c r="F45">
        <v>3</v>
      </c>
      <c r="G45">
        <v>2</v>
      </c>
      <c r="H45">
        <v>1</v>
      </c>
      <c r="I45" t="str">
        <f t="shared" si="0"/>
        <v>321</v>
      </c>
      <c r="J45" t="s">
        <v>2302</v>
      </c>
      <c r="K45" t="s">
        <v>2299</v>
      </c>
      <c r="L45" t="str">
        <f t="shared" si="1"/>
        <v>High Risk</v>
      </c>
      <c r="M45" t="str">
        <f>IFERROR(VLOOKUP(A54,Promo_Pivot!A:C,3,FALSE),"No")</f>
        <v>Yes</v>
      </c>
    </row>
    <row r="46" spans="1:13" x14ac:dyDescent="0.35">
      <c r="A46" t="s">
        <v>1824</v>
      </c>
      <c r="B46" s="2">
        <v>45490</v>
      </c>
      <c r="C46">
        <v>1203</v>
      </c>
      <c r="D46">
        <v>1</v>
      </c>
      <c r="E46">
        <v>102</v>
      </c>
      <c r="F46">
        <v>2</v>
      </c>
      <c r="G46">
        <v>2</v>
      </c>
      <c r="H46">
        <v>2</v>
      </c>
      <c r="I46" t="str">
        <f t="shared" si="0"/>
        <v>222</v>
      </c>
      <c r="J46" t="s">
        <v>2300</v>
      </c>
      <c r="K46" t="s">
        <v>2301</v>
      </c>
      <c r="L46" t="str">
        <f t="shared" si="1"/>
        <v>Very High Risk</v>
      </c>
      <c r="M46" t="str">
        <f>IFERROR(VLOOKUP(A55,Promo_Pivot!A:C,3,FALSE),"No")</f>
        <v>Yes</v>
      </c>
    </row>
    <row r="47" spans="1:13" x14ac:dyDescent="0.35">
      <c r="A47" t="s">
        <v>1699</v>
      </c>
      <c r="B47" s="2">
        <v>45462</v>
      </c>
      <c r="C47">
        <v>241</v>
      </c>
      <c r="D47">
        <v>1</v>
      </c>
      <c r="E47">
        <v>130</v>
      </c>
      <c r="F47">
        <v>2</v>
      </c>
      <c r="G47">
        <v>2</v>
      </c>
      <c r="H47">
        <v>1</v>
      </c>
      <c r="I47" t="str">
        <f t="shared" si="0"/>
        <v>221</v>
      </c>
      <c r="J47" t="s">
        <v>2300</v>
      </c>
      <c r="K47" t="s">
        <v>2301</v>
      </c>
      <c r="L47" t="str">
        <f t="shared" si="1"/>
        <v>Very High Risk</v>
      </c>
      <c r="M47" t="str">
        <f>IFERROR(VLOOKUP(A56,Promo_Pivot!A:C,3,FALSE),"No")</f>
        <v>Yes</v>
      </c>
    </row>
    <row r="48" spans="1:13" x14ac:dyDescent="0.35">
      <c r="A48" t="s">
        <v>1825</v>
      </c>
      <c r="B48" s="2">
        <v>45464</v>
      </c>
      <c r="C48">
        <v>208</v>
      </c>
      <c r="D48">
        <v>1</v>
      </c>
      <c r="E48">
        <v>128</v>
      </c>
      <c r="F48">
        <v>2</v>
      </c>
      <c r="G48">
        <v>2</v>
      </c>
      <c r="H48">
        <v>1</v>
      </c>
      <c r="I48" t="str">
        <f t="shared" si="0"/>
        <v>221</v>
      </c>
      <c r="J48" t="s">
        <v>2300</v>
      </c>
      <c r="K48" t="s">
        <v>2301</v>
      </c>
      <c r="L48" t="str">
        <f t="shared" si="1"/>
        <v>Very High Risk</v>
      </c>
      <c r="M48" t="str">
        <f>IFERROR(VLOOKUP(A57,Promo_Pivot!A:C,3,FALSE),"No")</f>
        <v>Yes</v>
      </c>
    </row>
    <row r="49" spans="1:13" x14ac:dyDescent="0.35">
      <c r="A49" t="s">
        <v>1826</v>
      </c>
      <c r="B49" s="2">
        <v>45353</v>
      </c>
      <c r="C49">
        <v>147</v>
      </c>
      <c r="D49">
        <v>1</v>
      </c>
      <c r="E49">
        <v>239</v>
      </c>
      <c r="F49">
        <v>1</v>
      </c>
      <c r="G49">
        <v>2</v>
      </c>
      <c r="H49">
        <v>1</v>
      </c>
      <c r="I49" t="str">
        <f t="shared" si="0"/>
        <v>121</v>
      </c>
      <c r="J49" t="s">
        <v>2300</v>
      </c>
      <c r="K49" t="s">
        <v>2301</v>
      </c>
      <c r="L49" t="str">
        <f t="shared" si="1"/>
        <v>Critical Risk</v>
      </c>
      <c r="M49" t="str">
        <f>IFERROR(VLOOKUP(A58,Promo_Pivot!A:C,3,FALSE),"No")</f>
        <v>Yes</v>
      </c>
    </row>
    <row r="50" spans="1:13" x14ac:dyDescent="0.35">
      <c r="A50" t="s">
        <v>1827</v>
      </c>
      <c r="B50" s="2">
        <v>45441</v>
      </c>
      <c r="C50">
        <v>454</v>
      </c>
      <c r="D50">
        <v>1</v>
      </c>
      <c r="E50">
        <v>151</v>
      </c>
      <c r="F50">
        <v>1</v>
      </c>
      <c r="G50">
        <v>2</v>
      </c>
      <c r="H50">
        <v>1</v>
      </c>
      <c r="I50" t="str">
        <f t="shared" si="0"/>
        <v>121</v>
      </c>
      <c r="J50" t="s">
        <v>2300</v>
      </c>
      <c r="K50" t="s">
        <v>2301</v>
      </c>
      <c r="L50" t="str">
        <f t="shared" si="1"/>
        <v>Very High Risk</v>
      </c>
      <c r="M50" t="str">
        <f>IFERROR(VLOOKUP(A59,Promo_Pivot!A:C,3,FALSE),"No")</f>
        <v>Yes</v>
      </c>
    </row>
    <row r="51" spans="1:13" x14ac:dyDescent="0.35">
      <c r="A51" t="s">
        <v>1828</v>
      </c>
      <c r="B51" s="2">
        <v>45553</v>
      </c>
      <c r="C51">
        <v>1350</v>
      </c>
      <c r="D51">
        <v>1</v>
      </c>
      <c r="E51">
        <v>39</v>
      </c>
      <c r="F51">
        <v>4</v>
      </c>
      <c r="G51">
        <v>2</v>
      </c>
      <c r="H51">
        <v>2</v>
      </c>
      <c r="I51" t="str">
        <f t="shared" si="0"/>
        <v>422</v>
      </c>
      <c r="J51" t="s">
        <v>2298</v>
      </c>
      <c r="K51" t="s">
        <v>2299</v>
      </c>
      <c r="L51" t="str">
        <f t="shared" si="1"/>
        <v>Moderate Risk</v>
      </c>
      <c r="M51" t="str">
        <f>IFERROR(VLOOKUP(A60,Promo_Pivot!A:C,3,FALSE),"No")</f>
        <v>Yes</v>
      </c>
    </row>
    <row r="52" spans="1:13" x14ac:dyDescent="0.35">
      <c r="A52" t="s">
        <v>1829</v>
      </c>
      <c r="B52" s="2">
        <v>45392</v>
      </c>
      <c r="C52">
        <v>234</v>
      </c>
      <c r="D52">
        <v>1</v>
      </c>
      <c r="E52">
        <v>200</v>
      </c>
      <c r="F52">
        <v>1</v>
      </c>
      <c r="G52">
        <v>2</v>
      </c>
      <c r="H52">
        <v>1</v>
      </c>
      <c r="I52" t="str">
        <f t="shared" si="0"/>
        <v>121</v>
      </c>
      <c r="J52" t="s">
        <v>2300</v>
      </c>
      <c r="K52" t="s">
        <v>2301</v>
      </c>
      <c r="L52" t="str">
        <f t="shared" si="1"/>
        <v>Critical Risk</v>
      </c>
      <c r="M52" t="str">
        <f>IFERROR(VLOOKUP(A61,Promo_Pivot!A:C,3,FALSE),"No")</f>
        <v>Yes</v>
      </c>
    </row>
    <row r="53" spans="1:13" x14ac:dyDescent="0.35">
      <c r="A53" t="s">
        <v>1830</v>
      </c>
      <c r="B53" s="2">
        <v>45537</v>
      </c>
      <c r="C53">
        <v>1524</v>
      </c>
      <c r="D53">
        <v>1</v>
      </c>
      <c r="E53">
        <v>55</v>
      </c>
      <c r="F53">
        <v>3</v>
      </c>
      <c r="G53">
        <v>2</v>
      </c>
      <c r="H53">
        <v>2</v>
      </c>
      <c r="I53" t="str">
        <f t="shared" si="0"/>
        <v>322</v>
      </c>
      <c r="J53" t="s">
        <v>2302</v>
      </c>
      <c r="K53" t="s">
        <v>2299</v>
      </c>
      <c r="L53" t="str">
        <f t="shared" si="1"/>
        <v>Moderate Risk</v>
      </c>
      <c r="M53" t="str">
        <f>IFERROR(VLOOKUP(A62,Promo_Pivot!A:C,3,FALSE),"No")</f>
        <v>Yes</v>
      </c>
    </row>
    <row r="54" spans="1:13" x14ac:dyDescent="0.35">
      <c r="A54" t="s">
        <v>1831</v>
      </c>
      <c r="B54" s="2">
        <v>45363</v>
      </c>
      <c r="C54">
        <v>1840</v>
      </c>
      <c r="D54">
        <v>1</v>
      </c>
      <c r="E54">
        <v>229</v>
      </c>
      <c r="F54">
        <v>1</v>
      </c>
      <c r="G54">
        <v>2</v>
      </c>
      <c r="H54">
        <v>3</v>
      </c>
      <c r="I54" t="str">
        <f t="shared" si="0"/>
        <v>123</v>
      </c>
      <c r="J54" t="s">
        <v>2300</v>
      </c>
      <c r="K54" t="s">
        <v>2301</v>
      </c>
      <c r="L54" t="str">
        <f t="shared" si="1"/>
        <v>Critical Risk</v>
      </c>
      <c r="M54" t="str">
        <f>IFERROR(VLOOKUP(A63,Promo_Pivot!A:C,3,FALSE),"No")</f>
        <v>Yes</v>
      </c>
    </row>
    <row r="55" spans="1:13" x14ac:dyDescent="0.35">
      <c r="A55" t="s">
        <v>1832</v>
      </c>
      <c r="B55" s="2">
        <v>45536</v>
      </c>
      <c r="C55">
        <v>266</v>
      </c>
      <c r="D55">
        <v>1</v>
      </c>
      <c r="E55">
        <v>56</v>
      </c>
      <c r="F55">
        <v>3</v>
      </c>
      <c r="G55">
        <v>2</v>
      </c>
      <c r="H55">
        <v>1</v>
      </c>
      <c r="I55" t="str">
        <f t="shared" si="0"/>
        <v>321</v>
      </c>
      <c r="J55" t="s">
        <v>2302</v>
      </c>
      <c r="K55" t="s">
        <v>2299</v>
      </c>
      <c r="L55" t="str">
        <f t="shared" si="1"/>
        <v>Moderate Risk</v>
      </c>
      <c r="M55" t="str">
        <f>IFERROR(VLOOKUP(A64,Promo_Pivot!A:C,3,FALSE),"No")</f>
        <v>Yes</v>
      </c>
    </row>
    <row r="56" spans="1:13" x14ac:dyDescent="0.35">
      <c r="A56" t="s">
        <v>1833</v>
      </c>
      <c r="B56" s="2">
        <v>45490</v>
      </c>
      <c r="C56">
        <v>497</v>
      </c>
      <c r="D56">
        <v>1</v>
      </c>
      <c r="E56">
        <v>102</v>
      </c>
      <c r="F56">
        <v>2</v>
      </c>
      <c r="G56">
        <v>2</v>
      </c>
      <c r="H56">
        <v>1</v>
      </c>
      <c r="I56" t="str">
        <f t="shared" si="0"/>
        <v>221</v>
      </c>
      <c r="J56" t="s">
        <v>2300</v>
      </c>
      <c r="K56" t="s">
        <v>2301</v>
      </c>
      <c r="L56" t="str">
        <f t="shared" si="1"/>
        <v>Very High Risk</v>
      </c>
      <c r="M56" t="str">
        <f>IFERROR(VLOOKUP(A65,Promo_Pivot!A:C,3,FALSE),"No")</f>
        <v>Yes</v>
      </c>
    </row>
    <row r="57" spans="1:13" x14ac:dyDescent="0.35">
      <c r="A57" t="s">
        <v>1834</v>
      </c>
      <c r="B57" s="2">
        <v>45502</v>
      </c>
      <c r="C57">
        <v>238</v>
      </c>
      <c r="D57">
        <v>1</v>
      </c>
      <c r="E57">
        <v>90</v>
      </c>
      <c r="F57">
        <v>2</v>
      </c>
      <c r="G57">
        <v>2</v>
      </c>
      <c r="H57">
        <v>1</v>
      </c>
      <c r="I57" t="str">
        <f t="shared" si="0"/>
        <v>221</v>
      </c>
      <c r="J57" t="s">
        <v>2300</v>
      </c>
      <c r="K57" t="s">
        <v>2299</v>
      </c>
      <c r="L57" t="str">
        <f t="shared" si="1"/>
        <v>High Risk</v>
      </c>
      <c r="M57" t="str">
        <f>IFERROR(VLOOKUP(A66,Promo_Pivot!A:C,3,FALSE),"No")</f>
        <v>Yes</v>
      </c>
    </row>
    <row r="58" spans="1:13" x14ac:dyDescent="0.35">
      <c r="A58" t="s">
        <v>1700</v>
      </c>
      <c r="B58" s="2">
        <v>45345</v>
      </c>
      <c r="C58">
        <v>398</v>
      </c>
      <c r="D58">
        <v>1</v>
      </c>
      <c r="E58">
        <v>247</v>
      </c>
      <c r="F58">
        <v>1</v>
      </c>
      <c r="G58">
        <v>2</v>
      </c>
      <c r="H58">
        <v>1</v>
      </c>
      <c r="I58" t="str">
        <f t="shared" si="0"/>
        <v>121</v>
      </c>
      <c r="J58" t="s">
        <v>2300</v>
      </c>
      <c r="K58" t="s">
        <v>2301</v>
      </c>
      <c r="L58" t="str">
        <f t="shared" si="1"/>
        <v>Critical Risk</v>
      </c>
      <c r="M58" t="str">
        <f>IFERROR(VLOOKUP(A67,Promo_Pivot!A:C,3,FALSE),"No")</f>
        <v>Yes</v>
      </c>
    </row>
    <row r="59" spans="1:13" x14ac:dyDescent="0.35">
      <c r="A59" t="s">
        <v>1835</v>
      </c>
      <c r="B59" s="2">
        <v>45466</v>
      </c>
      <c r="C59">
        <v>792</v>
      </c>
      <c r="D59">
        <v>1</v>
      </c>
      <c r="E59">
        <v>126</v>
      </c>
      <c r="F59">
        <v>2</v>
      </c>
      <c r="G59">
        <v>2</v>
      </c>
      <c r="H59">
        <v>1</v>
      </c>
      <c r="I59" t="str">
        <f t="shared" si="0"/>
        <v>221</v>
      </c>
      <c r="J59" t="s">
        <v>2300</v>
      </c>
      <c r="K59" t="s">
        <v>2301</v>
      </c>
      <c r="L59" t="str">
        <f t="shared" si="1"/>
        <v>Very High Risk</v>
      </c>
      <c r="M59" t="str">
        <f>IFERROR(VLOOKUP(A68,Promo_Pivot!A:C,3,FALSE),"No")</f>
        <v>Yes</v>
      </c>
    </row>
    <row r="60" spans="1:13" x14ac:dyDescent="0.35">
      <c r="A60" t="s">
        <v>1836</v>
      </c>
      <c r="B60" s="2">
        <v>45519</v>
      </c>
      <c r="C60">
        <v>495</v>
      </c>
      <c r="D60">
        <v>1</v>
      </c>
      <c r="E60">
        <v>73</v>
      </c>
      <c r="F60">
        <v>3</v>
      </c>
      <c r="G60">
        <v>2</v>
      </c>
      <c r="H60">
        <v>1</v>
      </c>
      <c r="I60" t="str">
        <f t="shared" si="0"/>
        <v>321</v>
      </c>
      <c r="J60" t="s">
        <v>2302</v>
      </c>
      <c r="K60" t="s">
        <v>2299</v>
      </c>
      <c r="L60" t="str">
        <f t="shared" si="1"/>
        <v>High Risk</v>
      </c>
      <c r="M60" t="str">
        <f>IFERROR(VLOOKUP(A69,Promo_Pivot!A:C,3,FALSE),"No")</f>
        <v>Yes</v>
      </c>
    </row>
    <row r="61" spans="1:13" x14ac:dyDescent="0.35">
      <c r="A61" t="s">
        <v>1837</v>
      </c>
      <c r="B61" s="2">
        <v>45549</v>
      </c>
      <c r="C61">
        <v>876</v>
      </c>
      <c r="D61">
        <v>1</v>
      </c>
      <c r="E61">
        <v>43</v>
      </c>
      <c r="F61">
        <v>4</v>
      </c>
      <c r="G61">
        <v>2</v>
      </c>
      <c r="H61">
        <v>2</v>
      </c>
      <c r="I61" t="str">
        <f t="shared" si="0"/>
        <v>422</v>
      </c>
      <c r="J61" t="s">
        <v>2298</v>
      </c>
      <c r="K61" t="s">
        <v>2299</v>
      </c>
      <c r="L61" t="str">
        <f t="shared" si="1"/>
        <v>Moderate Risk</v>
      </c>
      <c r="M61" t="str">
        <f>IFERROR(VLOOKUP(A70,Promo_Pivot!A:C,3,FALSE),"No")</f>
        <v>Yes</v>
      </c>
    </row>
    <row r="62" spans="1:13" x14ac:dyDescent="0.35">
      <c r="A62" t="s">
        <v>1838</v>
      </c>
      <c r="B62" s="2">
        <v>45438</v>
      </c>
      <c r="C62">
        <v>484</v>
      </c>
      <c r="D62">
        <v>1</v>
      </c>
      <c r="E62">
        <v>154</v>
      </c>
      <c r="F62">
        <v>1</v>
      </c>
      <c r="G62">
        <v>2</v>
      </c>
      <c r="H62">
        <v>1</v>
      </c>
      <c r="I62" t="str">
        <f t="shared" si="0"/>
        <v>121</v>
      </c>
      <c r="J62" t="s">
        <v>2300</v>
      </c>
      <c r="K62" t="s">
        <v>2301</v>
      </c>
      <c r="L62" t="str">
        <f t="shared" si="1"/>
        <v>Very High Risk</v>
      </c>
      <c r="M62" t="str">
        <f>IFERROR(VLOOKUP(A71,Promo_Pivot!A:C,3,FALSE),"No")</f>
        <v>Yes</v>
      </c>
    </row>
    <row r="63" spans="1:13" x14ac:dyDescent="0.35">
      <c r="A63" t="s">
        <v>1839</v>
      </c>
      <c r="B63" s="2">
        <v>45343</v>
      </c>
      <c r="C63">
        <v>260</v>
      </c>
      <c r="D63">
        <v>1</v>
      </c>
      <c r="E63">
        <v>249</v>
      </c>
      <c r="F63">
        <v>1</v>
      </c>
      <c r="G63">
        <v>2</v>
      </c>
      <c r="H63">
        <v>1</v>
      </c>
      <c r="I63" t="str">
        <f t="shared" si="0"/>
        <v>121</v>
      </c>
      <c r="J63" t="s">
        <v>2300</v>
      </c>
      <c r="K63" t="s">
        <v>2301</v>
      </c>
      <c r="L63" t="str">
        <f t="shared" si="1"/>
        <v>Critical Risk</v>
      </c>
      <c r="M63" t="str">
        <f>IFERROR(VLOOKUP(A72,Promo_Pivot!A:C,3,FALSE),"No")</f>
        <v>Yes</v>
      </c>
    </row>
    <row r="64" spans="1:13" x14ac:dyDescent="0.35">
      <c r="A64" t="s">
        <v>1840</v>
      </c>
      <c r="B64" s="2">
        <v>45388</v>
      </c>
      <c r="C64">
        <v>218</v>
      </c>
      <c r="D64">
        <v>1</v>
      </c>
      <c r="E64">
        <v>204</v>
      </c>
      <c r="F64">
        <v>1</v>
      </c>
      <c r="G64">
        <v>2</v>
      </c>
      <c r="H64">
        <v>1</v>
      </c>
      <c r="I64" t="str">
        <f t="shared" si="0"/>
        <v>121</v>
      </c>
      <c r="J64" t="s">
        <v>2300</v>
      </c>
      <c r="K64" t="s">
        <v>2301</v>
      </c>
      <c r="L64" t="str">
        <f t="shared" si="1"/>
        <v>Critical Risk</v>
      </c>
      <c r="M64" t="str">
        <f>IFERROR(VLOOKUP(A73,Promo_Pivot!A:C,3,FALSE),"No")</f>
        <v>Yes</v>
      </c>
    </row>
    <row r="65" spans="1:13" x14ac:dyDescent="0.35">
      <c r="A65" t="s">
        <v>1841</v>
      </c>
      <c r="B65" s="2">
        <v>45476</v>
      </c>
      <c r="C65">
        <v>572</v>
      </c>
      <c r="D65">
        <v>1</v>
      </c>
      <c r="E65">
        <v>116</v>
      </c>
      <c r="F65">
        <v>2</v>
      </c>
      <c r="G65">
        <v>2</v>
      </c>
      <c r="H65">
        <v>1</v>
      </c>
      <c r="I65" t="str">
        <f t="shared" si="0"/>
        <v>221</v>
      </c>
      <c r="J65" t="s">
        <v>2300</v>
      </c>
      <c r="K65" t="s">
        <v>2301</v>
      </c>
      <c r="L65" t="str">
        <f t="shared" si="1"/>
        <v>Very High Risk</v>
      </c>
      <c r="M65" t="str">
        <f>IFERROR(VLOOKUP(A74,Promo_Pivot!A:C,3,FALSE),"No")</f>
        <v>Yes</v>
      </c>
    </row>
    <row r="66" spans="1:13" x14ac:dyDescent="0.35">
      <c r="A66" t="s">
        <v>1842</v>
      </c>
      <c r="B66" s="2">
        <v>45551</v>
      </c>
      <c r="C66">
        <v>1555</v>
      </c>
      <c r="D66">
        <v>1</v>
      </c>
      <c r="E66">
        <v>41</v>
      </c>
      <c r="F66">
        <v>4</v>
      </c>
      <c r="G66">
        <v>2</v>
      </c>
      <c r="H66">
        <v>2</v>
      </c>
      <c r="I66" t="str">
        <f t="shared" si="0"/>
        <v>422</v>
      </c>
      <c r="J66" t="s">
        <v>2298</v>
      </c>
      <c r="K66" t="s">
        <v>2299</v>
      </c>
      <c r="L66" t="str">
        <f t="shared" si="1"/>
        <v>Moderate Risk</v>
      </c>
      <c r="M66" t="str">
        <f>IFERROR(VLOOKUP(A75,Promo_Pivot!A:C,3,FALSE),"No")</f>
        <v>Yes</v>
      </c>
    </row>
    <row r="67" spans="1:13" x14ac:dyDescent="0.35">
      <c r="A67" t="s">
        <v>1843</v>
      </c>
      <c r="B67" s="2">
        <v>45549</v>
      </c>
      <c r="C67">
        <v>468</v>
      </c>
      <c r="D67">
        <v>1</v>
      </c>
      <c r="E67">
        <v>43</v>
      </c>
      <c r="F67">
        <v>4</v>
      </c>
      <c r="G67">
        <v>2</v>
      </c>
      <c r="H67">
        <v>1</v>
      </c>
      <c r="I67" t="str">
        <f t="shared" ref="I67:I130" si="2">F67&amp;G67&amp;H67</f>
        <v>421</v>
      </c>
      <c r="J67" t="s">
        <v>2298</v>
      </c>
      <c r="K67" t="s">
        <v>2299</v>
      </c>
      <c r="L67" t="str">
        <f t="shared" ref="L67:L130" si="3">IF(E69&lt;=30,"Low Risk",
IF(E67&lt;=60,"Moderate Risk",
IF(E67&lt;=90,"High Risk",
IF(E67&lt;=180,"Very High Risk","Critical Risk"))))</f>
        <v>Moderate Risk</v>
      </c>
      <c r="M67" t="str">
        <f>IFERROR(VLOOKUP(A76,Promo_Pivot!A:C,3,FALSE),"No")</f>
        <v>Yes</v>
      </c>
    </row>
    <row r="68" spans="1:13" x14ac:dyDescent="0.35">
      <c r="A68" t="s">
        <v>1844</v>
      </c>
      <c r="B68" s="2">
        <v>45376</v>
      </c>
      <c r="C68">
        <v>1008</v>
      </c>
      <c r="D68">
        <v>1</v>
      </c>
      <c r="E68">
        <v>216</v>
      </c>
      <c r="F68">
        <v>1</v>
      </c>
      <c r="G68">
        <v>2</v>
      </c>
      <c r="H68">
        <v>2</v>
      </c>
      <c r="I68" t="str">
        <f t="shared" si="2"/>
        <v>122</v>
      </c>
      <c r="J68" t="s">
        <v>2300</v>
      </c>
      <c r="K68" t="s">
        <v>2301</v>
      </c>
      <c r="L68" t="str">
        <f t="shared" si="3"/>
        <v>Critical Risk</v>
      </c>
      <c r="M68" t="str">
        <f>IFERROR(VLOOKUP(A77,Promo_Pivot!A:C,3,FALSE),"No")</f>
        <v>Yes</v>
      </c>
    </row>
    <row r="69" spans="1:13" x14ac:dyDescent="0.35">
      <c r="A69" t="s">
        <v>1701</v>
      </c>
      <c r="B69" s="2">
        <v>45313</v>
      </c>
      <c r="C69">
        <v>618</v>
      </c>
      <c r="D69">
        <v>1</v>
      </c>
      <c r="E69">
        <v>279</v>
      </c>
      <c r="F69">
        <v>1</v>
      </c>
      <c r="G69">
        <v>2</v>
      </c>
      <c r="H69">
        <v>1</v>
      </c>
      <c r="I69" t="str">
        <f t="shared" si="2"/>
        <v>121</v>
      </c>
      <c r="J69" t="s">
        <v>2300</v>
      </c>
      <c r="K69" t="s">
        <v>2301</v>
      </c>
      <c r="L69" t="str">
        <f t="shared" si="3"/>
        <v>Critical Risk</v>
      </c>
      <c r="M69" t="str">
        <f>IFERROR(VLOOKUP(A78,Promo_Pivot!A:C,3,FALSE),"No")</f>
        <v>Yes</v>
      </c>
    </row>
    <row r="70" spans="1:13" x14ac:dyDescent="0.35">
      <c r="A70" t="s">
        <v>1845</v>
      </c>
      <c r="B70" s="2">
        <v>45394</v>
      </c>
      <c r="C70">
        <v>510</v>
      </c>
      <c r="D70">
        <v>1</v>
      </c>
      <c r="E70">
        <v>198</v>
      </c>
      <c r="F70">
        <v>1</v>
      </c>
      <c r="G70">
        <v>2</v>
      </c>
      <c r="H70">
        <v>1</v>
      </c>
      <c r="I70" t="str">
        <f t="shared" si="2"/>
        <v>121</v>
      </c>
      <c r="J70" t="s">
        <v>2300</v>
      </c>
      <c r="K70" t="s">
        <v>2301</v>
      </c>
      <c r="L70" t="str">
        <f t="shared" si="3"/>
        <v>Critical Risk</v>
      </c>
      <c r="M70" t="str">
        <f>IFERROR(VLOOKUP(A79,Promo_Pivot!A:C,3,FALSE),"No")</f>
        <v>Yes</v>
      </c>
    </row>
    <row r="71" spans="1:13" x14ac:dyDescent="0.35">
      <c r="A71" t="s">
        <v>1846</v>
      </c>
      <c r="B71" s="2">
        <v>45381</v>
      </c>
      <c r="C71">
        <v>492</v>
      </c>
      <c r="D71">
        <v>1</v>
      </c>
      <c r="E71">
        <v>211</v>
      </c>
      <c r="F71">
        <v>1</v>
      </c>
      <c r="G71">
        <v>2</v>
      </c>
      <c r="H71">
        <v>1</v>
      </c>
      <c r="I71" t="str">
        <f t="shared" si="2"/>
        <v>121</v>
      </c>
      <c r="J71" t="s">
        <v>2300</v>
      </c>
      <c r="K71" t="s">
        <v>2301</v>
      </c>
      <c r="L71" t="str">
        <f t="shared" si="3"/>
        <v>Critical Risk</v>
      </c>
      <c r="M71" t="str">
        <f>IFERROR(VLOOKUP(A80,Promo_Pivot!A:C,3,FALSE),"No")</f>
        <v>Yes</v>
      </c>
    </row>
    <row r="72" spans="1:13" x14ac:dyDescent="0.35">
      <c r="A72" t="s">
        <v>1847</v>
      </c>
      <c r="B72" s="2">
        <v>45337</v>
      </c>
      <c r="C72">
        <v>1383</v>
      </c>
      <c r="D72">
        <v>1</v>
      </c>
      <c r="E72">
        <v>255</v>
      </c>
      <c r="F72">
        <v>1</v>
      </c>
      <c r="G72">
        <v>2</v>
      </c>
      <c r="H72">
        <v>2</v>
      </c>
      <c r="I72" t="str">
        <f t="shared" si="2"/>
        <v>122</v>
      </c>
      <c r="J72" t="s">
        <v>2300</v>
      </c>
      <c r="K72" t="s">
        <v>2301</v>
      </c>
      <c r="L72" t="str">
        <f t="shared" si="3"/>
        <v>Critical Risk</v>
      </c>
      <c r="M72" t="str">
        <f>IFERROR(VLOOKUP(A81,Promo_Pivot!A:C,3,FALSE),"No")</f>
        <v>Yes</v>
      </c>
    </row>
    <row r="73" spans="1:13" x14ac:dyDescent="0.35">
      <c r="A73" t="s">
        <v>1848</v>
      </c>
      <c r="B73" s="2">
        <v>45404</v>
      </c>
      <c r="C73">
        <v>888</v>
      </c>
      <c r="D73">
        <v>1</v>
      </c>
      <c r="E73">
        <v>188</v>
      </c>
      <c r="F73">
        <v>1</v>
      </c>
      <c r="G73">
        <v>2</v>
      </c>
      <c r="H73">
        <v>2</v>
      </c>
      <c r="I73" t="str">
        <f t="shared" si="2"/>
        <v>122</v>
      </c>
      <c r="J73" t="s">
        <v>2300</v>
      </c>
      <c r="K73" t="s">
        <v>2301</v>
      </c>
      <c r="L73" t="str">
        <f t="shared" si="3"/>
        <v>Low Risk</v>
      </c>
      <c r="M73" t="str">
        <f>IFERROR(VLOOKUP(A82,Promo_Pivot!A:C,3,FALSE),"No")</f>
        <v>Yes</v>
      </c>
    </row>
    <row r="74" spans="1:13" x14ac:dyDescent="0.35">
      <c r="A74" t="s">
        <v>1849</v>
      </c>
      <c r="B74" s="2">
        <v>45404</v>
      </c>
      <c r="C74">
        <v>998</v>
      </c>
      <c r="D74">
        <v>1</v>
      </c>
      <c r="E74">
        <v>188</v>
      </c>
      <c r="F74">
        <v>1</v>
      </c>
      <c r="G74">
        <v>2</v>
      </c>
      <c r="H74">
        <v>2</v>
      </c>
      <c r="I74" t="str">
        <f t="shared" si="2"/>
        <v>122</v>
      </c>
      <c r="J74" t="s">
        <v>2300</v>
      </c>
      <c r="K74" t="s">
        <v>2301</v>
      </c>
      <c r="L74" t="str">
        <f t="shared" si="3"/>
        <v>Critical Risk</v>
      </c>
      <c r="M74" t="str">
        <f>IFERROR(VLOOKUP(A83,Promo_Pivot!A:C,3,FALSE),"No")</f>
        <v>Yes</v>
      </c>
    </row>
    <row r="75" spans="1:13" x14ac:dyDescent="0.35">
      <c r="A75" t="s">
        <v>1850</v>
      </c>
      <c r="B75" s="2">
        <v>45587</v>
      </c>
      <c r="C75">
        <v>302</v>
      </c>
      <c r="D75">
        <v>1</v>
      </c>
      <c r="E75">
        <v>5</v>
      </c>
      <c r="F75">
        <v>5</v>
      </c>
      <c r="G75">
        <v>2</v>
      </c>
      <c r="H75">
        <v>1</v>
      </c>
      <c r="I75" t="str">
        <f t="shared" si="2"/>
        <v>521</v>
      </c>
      <c r="J75" t="s">
        <v>2298</v>
      </c>
      <c r="K75" t="s">
        <v>2299</v>
      </c>
      <c r="L75" t="str">
        <f t="shared" si="3"/>
        <v>Moderate Risk</v>
      </c>
      <c r="M75" t="str">
        <f>IFERROR(VLOOKUP(A84,Promo_Pivot!A:C,3,FALSE),"No")</f>
        <v>Yes</v>
      </c>
    </row>
    <row r="76" spans="1:13" x14ac:dyDescent="0.35">
      <c r="A76" t="s">
        <v>1851</v>
      </c>
      <c r="B76" s="2">
        <v>45536</v>
      </c>
      <c r="C76">
        <v>124</v>
      </c>
      <c r="D76">
        <v>1</v>
      </c>
      <c r="E76">
        <v>56</v>
      </c>
      <c r="F76">
        <v>3</v>
      </c>
      <c r="G76">
        <v>2</v>
      </c>
      <c r="H76">
        <v>1</v>
      </c>
      <c r="I76" t="str">
        <f t="shared" si="2"/>
        <v>321</v>
      </c>
      <c r="J76" t="s">
        <v>2302</v>
      </c>
      <c r="K76" t="s">
        <v>2299</v>
      </c>
      <c r="L76" t="str">
        <f t="shared" si="3"/>
        <v>Moderate Risk</v>
      </c>
      <c r="M76" t="str">
        <f>IFERROR(VLOOKUP(A85,Promo_Pivot!A:C,3,FALSE),"No")</f>
        <v>Yes</v>
      </c>
    </row>
    <row r="77" spans="1:13" x14ac:dyDescent="0.35">
      <c r="A77" t="s">
        <v>1852</v>
      </c>
      <c r="B77" s="2">
        <v>45509</v>
      </c>
      <c r="C77">
        <v>2410</v>
      </c>
      <c r="D77">
        <v>1</v>
      </c>
      <c r="E77">
        <v>83</v>
      </c>
      <c r="F77">
        <v>3</v>
      </c>
      <c r="G77">
        <v>2</v>
      </c>
      <c r="H77">
        <v>3</v>
      </c>
      <c r="I77" t="str">
        <f t="shared" si="2"/>
        <v>323</v>
      </c>
      <c r="J77" t="s">
        <v>2302</v>
      </c>
      <c r="K77" t="s">
        <v>2299</v>
      </c>
      <c r="L77" t="str">
        <f t="shared" si="3"/>
        <v>High Risk</v>
      </c>
      <c r="M77" t="str">
        <f>IFERROR(VLOOKUP(A86,Promo_Pivot!A:C,3,FALSE),"No")</f>
        <v>Yes</v>
      </c>
    </row>
    <row r="78" spans="1:13" x14ac:dyDescent="0.35">
      <c r="A78" t="s">
        <v>1853</v>
      </c>
      <c r="B78" s="2">
        <v>45560</v>
      </c>
      <c r="C78">
        <v>203</v>
      </c>
      <c r="D78">
        <v>1</v>
      </c>
      <c r="E78">
        <v>32</v>
      </c>
      <c r="F78">
        <v>4</v>
      </c>
      <c r="G78">
        <v>2</v>
      </c>
      <c r="H78">
        <v>1</v>
      </c>
      <c r="I78" t="str">
        <f t="shared" si="2"/>
        <v>421</v>
      </c>
      <c r="J78" t="s">
        <v>2298</v>
      </c>
      <c r="K78" t="s">
        <v>2299</v>
      </c>
      <c r="L78" t="str">
        <f t="shared" si="3"/>
        <v>Moderate Risk</v>
      </c>
      <c r="M78" t="str">
        <f>IFERROR(VLOOKUP(A87,Promo_Pivot!A:C,3,FALSE),"No")</f>
        <v>Yes</v>
      </c>
    </row>
    <row r="79" spans="1:13" x14ac:dyDescent="0.35">
      <c r="A79" t="s">
        <v>1854</v>
      </c>
      <c r="B79" s="2">
        <v>45373</v>
      </c>
      <c r="C79">
        <v>1365</v>
      </c>
      <c r="D79">
        <v>1</v>
      </c>
      <c r="E79">
        <v>219</v>
      </c>
      <c r="F79">
        <v>1</v>
      </c>
      <c r="G79">
        <v>2</v>
      </c>
      <c r="H79">
        <v>2</v>
      </c>
      <c r="I79" t="str">
        <f t="shared" si="2"/>
        <v>122</v>
      </c>
      <c r="J79" t="s">
        <v>2300</v>
      </c>
      <c r="K79" t="s">
        <v>2301</v>
      </c>
      <c r="L79" t="str">
        <f t="shared" si="3"/>
        <v>Critical Risk</v>
      </c>
      <c r="M79" t="str">
        <f>IFERROR(VLOOKUP(A88,Promo_Pivot!A:C,3,FALSE),"No")</f>
        <v>Yes</v>
      </c>
    </row>
    <row r="80" spans="1:13" x14ac:dyDescent="0.35">
      <c r="A80" t="s">
        <v>1702</v>
      </c>
      <c r="B80" s="2">
        <v>45428</v>
      </c>
      <c r="C80">
        <v>555</v>
      </c>
      <c r="D80">
        <v>1</v>
      </c>
      <c r="E80">
        <v>164</v>
      </c>
      <c r="F80">
        <v>1</v>
      </c>
      <c r="G80">
        <v>2</v>
      </c>
      <c r="H80">
        <v>1</v>
      </c>
      <c r="I80" t="str">
        <f t="shared" si="2"/>
        <v>121</v>
      </c>
      <c r="J80" t="s">
        <v>2300</v>
      </c>
      <c r="K80" t="s">
        <v>2301</v>
      </c>
      <c r="L80" t="str">
        <f t="shared" si="3"/>
        <v>Very High Risk</v>
      </c>
      <c r="M80" t="str">
        <f>IFERROR(VLOOKUP(A89,Promo_Pivot!A:C,3,FALSE),"No")</f>
        <v>Yes</v>
      </c>
    </row>
    <row r="81" spans="1:13" x14ac:dyDescent="0.35">
      <c r="A81" t="s">
        <v>1855</v>
      </c>
      <c r="B81" s="2">
        <v>45551</v>
      </c>
      <c r="C81">
        <v>506</v>
      </c>
      <c r="D81">
        <v>1</v>
      </c>
      <c r="E81">
        <v>41</v>
      </c>
      <c r="F81">
        <v>4</v>
      </c>
      <c r="G81">
        <v>2</v>
      </c>
      <c r="H81">
        <v>1</v>
      </c>
      <c r="I81" t="str">
        <f t="shared" si="2"/>
        <v>421</v>
      </c>
      <c r="J81" t="s">
        <v>2298</v>
      </c>
      <c r="K81" t="s">
        <v>2299</v>
      </c>
      <c r="L81" t="str">
        <f t="shared" si="3"/>
        <v>Moderate Risk</v>
      </c>
      <c r="M81" t="str">
        <f>IFERROR(VLOOKUP(A90,Promo_Pivot!A:C,3,FALSE),"No")</f>
        <v>Yes</v>
      </c>
    </row>
    <row r="82" spans="1:13" x14ac:dyDescent="0.35">
      <c r="A82" t="s">
        <v>1856</v>
      </c>
      <c r="B82" s="2">
        <v>45433</v>
      </c>
      <c r="C82">
        <v>1780</v>
      </c>
      <c r="D82">
        <v>1</v>
      </c>
      <c r="E82">
        <v>159</v>
      </c>
      <c r="F82">
        <v>1</v>
      </c>
      <c r="G82">
        <v>2</v>
      </c>
      <c r="H82">
        <v>3</v>
      </c>
      <c r="I82" t="str">
        <f t="shared" si="2"/>
        <v>123</v>
      </c>
      <c r="J82" t="s">
        <v>2300</v>
      </c>
      <c r="K82" t="s">
        <v>2301</v>
      </c>
      <c r="L82" t="str">
        <f t="shared" si="3"/>
        <v>Very High Risk</v>
      </c>
      <c r="M82" t="str">
        <f>IFERROR(VLOOKUP(A91,Promo_Pivot!A:C,3,FALSE),"No")</f>
        <v>Yes</v>
      </c>
    </row>
    <row r="83" spans="1:13" x14ac:dyDescent="0.35">
      <c r="A83" t="s">
        <v>1857</v>
      </c>
      <c r="B83" s="2">
        <v>45365</v>
      </c>
      <c r="C83">
        <v>418</v>
      </c>
      <c r="D83">
        <v>1</v>
      </c>
      <c r="E83">
        <v>227</v>
      </c>
      <c r="F83">
        <v>1</v>
      </c>
      <c r="G83">
        <v>2</v>
      </c>
      <c r="H83">
        <v>1</v>
      </c>
      <c r="I83" t="str">
        <f t="shared" si="2"/>
        <v>121</v>
      </c>
      <c r="J83" t="s">
        <v>2300</v>
      </c>
      <c r="K83" t="s">
        <v>2301</v>
      </c>
      <c r="L83" t="str">
        <f t="shared" si="3"/>
        <v>Critical Risk</v>
      </c>
      <c r="M83" t="str">
        <f>IFERROR(VLOOKUP(A92,Promo_Pivot!A:C,3,FALSE),"No")</f>
        <v>Yes</v>
      </c>
    </row>
    <row r="84" spans="1:13" x14ac:dyDescent="0.35">
      <c r="A84" t="s">
        <v>1858</v>
      </c>
      <c r="B84" s="2">
        <v>45549</v>
      </c>
      <c r="C84">
        <v>816</v>
      </c>
      <c r="D84">
        <v>1</v>
      </c>
      <c r="E84">
        <v>43</v>
      </c>
      <c r="F84">
        <v>4</v>
      </c>
      <c r="G84">
        <v>2</v>
      </c>
      <c r="H84">
        <v>1</v>
      </c>
      <c r="I84" t="str">
        <f t="shared" si="2"/>
        <v>421</v>
      </c>
      <c r="J84" t="s">
        <v>2298</v>
      </c>
      <c r="K84" t="s">
        <v>2299</v>
      </c>
      <c r="L84" t="str">
        <f t="shared" si="3"/>
        <v>Low Risk</v>
      </c>
      <c r="M84" t="str">
        <f>IFERROR(VLOOKUP(A93,Promo_Pivot!A:C,3,FALSE),"No")</f>
        <v>Yes</v>
      </c>
    </row>
    <row r="85" spans="1:13" x14ac:dyDescent="0.35">
      <c r="A85" t="s">
        <v>1859</v>
      </c>
      <c r="B85" s="2">
        <v>45476</v>
      </c>
      <c r="C85">
        <v>1500</v>
      </c>
      <c r="D85">
        <v>1</v>
      </c>
      <c r="E85">
        <v>116</v>
      </c>
      <c r="F85">
        <v>2</v>
      </c>
      <c r="G85">
        <v>2</v>
      </c>
      <c r="H85">
        <v>2</v>
      </c>
      <c r="I85" t="str">
        <f t="shared" si="2"/>
        <v>222</v>
      </c>
      <c r="J85" t="s">
        <v>2300</v>
      </c>
      <c r="K85" t="s">
        <v>2301</v>
      </c>
      <c r="L85" t="str">
        <f t="shared" si="3"/>
        <v>Low Risk</v>
      </c>
      <c r="M85" t="str">
        <f>IFERROR(VLOOKUP(A94,Promo_Pivot!A:C,3,FALSE),"No")</f>
        <v>Yes</v>
      </c>
    </row>
    <row r="86" spans="1:13" x14ac:dyDescent="0.35">
      <c r="A86" t="s">
        <v>1860</v>
      </c>
      <c r="B86" s="2">
        <v>45586</v>
      </c>
      <c r="C86">
        <v>468</v>
      </c>
      <c r="D86">
        <v>1</v>
      </c>
      <c r="E86">
        <v>6</v>
      </c>
      <c r="F86">
        <v>5</v>
      </c>
      <c r="G86">
        <v>2</v>
      </c>
      <c r="H86">
        <v>1</v>
      </c>
      <c r="I86" t="str">
        <f t="shared" si="2"/>
        <v>521</v>
      </c>
      <c r="J86" t="s">
        <v>2298</v>
      </c>
      <c r="K86" t="s">
        <v>2299</v>
      </c>
      <c r="L86" t="str">
        <f t="shared" si="3"/>
        <v>Moderate Risk</v>
      </c>
      <c r="M86" t="str">
        <f>IFERROR(VLOOKUP(A95,Promo_Pivot!A:C,3,FALSE),"No")</f>
        <v>Yes</v>
      </c>
    </row>
    <row r="87" spans="1:13" x14ac:dyDescent="0.35">
      <c r="A87" t="s">
        <v>1861</v>
      </c>
      <c r="B87" s="2">
        <v>45564</v>
      </c>
      <c r="C87">
        <v>1221</v>
      </c>
      <c r="D87">
        <v>1</v>
      </c>
      <c r="E87">
        <v>28</v>
      </c>
      <c r="F87">
        <v>4</v>
      </c>
      <c r="G87">
        <v>2</v>
      </c>
      <c r="H87">
        <v>2</v>
      </c>
      <c r="I87" t="str">
        <f t="shared" si="2"/>
        <v>422</v>
      </c>
      <c r="J87" t="s">
        <v>2298</v>
      </c>
      <c r="K87" t="s">
        <v>2299</v>
      </c>
      <c r="L87" t="str">
        <f t="shared" si="3"/>
        <v>Moderate Risk</v>
      </c>
      <c r="M87" t="str">
        <f>IFERROR(VLOOKUP(A96,Promo_Pivot!A:C,3,FALSE),"No")</f>
        <v>Yes</v>
      </c>
    </row>
    <row r="88" spans="1:13" x14ac:dyDescent="0.35">
      <c r="A88" t="s">
        <v>1862</v>
      </c>
      <c r="B88" s="2">
        <v>45521</v>
      </c>
      <c r="C88">
        <v>876</v>
      </c>
      <c r="D88">
        <v>1</v>
      </c>
      <c r="E88">
        <v>71</v>
      </c>
      <c r="F88">
        <v>3</v>
      </c>
      <c r="G88">
        <v>2</v>
      </c>
      <c r="H88">
        <v>2</v>
      </c>
      <c r="I88" t="str">
        <f t="shared" si="2"/>
        <v>322</v>
      </c>
      <c r="J88" t="s">
        <v>2302</v>
      </c>
      <c r="K88" t="s">
        <v>2299</v>
      </c>
      <c r="L88" t="str">
        <f t="shared" si="3"/>
        <v>High Risk</v>
      </c>
      <c r="M88" t="str">
        <f>IFERROR(VLOOKUP(A97,Promo_Pivot!A:C,3,FALSE),"No")</f>
        <v>Yes</v>
      </c>
    </row>
    <row r="89" spans="1:13" x14ac:dyDescent="0.35">
      <c r="A89" t="s">
        <v>1863</v>
      </c>
      <c r="B89" s="2">
        <v>45546</v>
      </c>
      <c r="C89">
        <v>825</v>
      </c>
      <c r="D89">
        <v>1</v>
      </c>
      <c r="E89">
        <v>46</v>
      </c>
      <c r="F89">
        <v>4</v>
      </c>
      <c r="G89">
        <v>2</v>
      </c>
      <c r="H89">
        <v>1</v>
      </c>
      <c r="I89" t="str">
        <f t="shared" si="2"/>
        <v>421</v>
      </c>
      <c r="J89" t="s">
        <v>2298</v>
      </c>
      <c r="K89" t="s">
        <v>2299</v>
      </c>
      <c r="L89" t="str">
        <f t="shared" si="3"/>
        <v>Moderate Risk</v>
      </c>
      <c r="M89" t="str">
        <f>IFERROR(VLOOKUP(A98,Promo_Pivot!A:C,3,FALSE),"No")</f>
        <v>Yes</v>
      </c>
    </row>
    <row r="90" spans="1:13" x14ac:dyDescent="0.35">
      <c r="A90" t="s">
        <v>1864</v>
      </c>
      <c r="B90" s="2">
        <v>45513</v>
      </c>
      <c r="C90">
        <v>536</v>
      </c>
      <c r="D90">
        <v>1</v>
      </c>
      <c r="E90">
        <v>79</v>
      </c>
      <c r="F90">
        <v>3</v>
      </c>
      <c r="G90">
        <v>2</v>
      </c>
      <c r="H90">
        <v>1</v>
      </c>
      <c r="I90" t="str">
        <f t="shared" si="2"/>
        <v>321</v>
      </c>
      <c r="J90" t="s">
        <v>2302</v>
      </c>
      <c r="K90" t="s">
        <v>2299</v>
      </c>
      <c r="L90" t="str">
        <f t="shared" si="3"/>
        <v>High Risk</v>
      </c>
      <c r="M90" t="str">
        <f>IFERROR(VLOOKUP(A99,Promo_Pivot!A:C,3,FALSE),"No")</f>
        <v>Yes</v>
      </c>
    </row>
    <row r="91" spans="1:13" x14ac:dyDescent="0.35">
      <c r="A91" t="s">
        <v>1703</v>
      </c>
      <c r="B91" s="2">
        <v>45533</v>
      </c>
      <c r="C91">
        <v>1115</v>
      </c>
      <c r="D91">
        <v>1</v>
      </c>
      <c r="E91">
        <v>59</v>
      </c>
      <c r="F91">
        <v>3</v>
      </c>
      <c r="G91">
        <v>2</v>
      </c>
      <c r="H91">
        <v>2</v>
      </c>
      <c r="I91" t="str">
        <f t="shared" si="2"/>
        <v>322</v>
      </c>
      <c r="J91" t="s">
        <v>2302</v>
      </c>
      <c r="K91" t="s">
        <v>2299</v>
      </c>
      <c r="L91" t="str">
        <f t="shared" si="3"/>
        <v>Moderate Risk</v>
      </c>
      <c r="M91" t="str">
        <f>IFERROR(VLOOKUP(A100,Promo_Pivot!A:C,3,FALSE),"No")</f>
        <v>Yes</v>
      </c>
    </row>
    <row r="92" spans="1:13" x14ac:dyDescent="0.35">
      <c r="A92" t="s">
        <v>1865</v>
      </c>
      <c r="B92" s="2">
        <v>45511</v>
      </c>
      <c r="C92">
        <v>1065</v>
      </c>
      <c r="D92">
        <v>1</v>
      </c>
      <c r="E92">
        <v>81</v>
      </c>
      <c r="F92">
        <v>3</v>
      </c>
      <c r="G92">
        <v>2</v>
      </c>
      <c r="H92">
        <v>2</v>
      </c>
      <c r="I92" t="str">
        <f t="shared" si="2"/>
        <v>322</v>
      </c>
      <c r="J92" t="s">
        <v>2302</v>
      </c>
      <c r="K92" t="s">
        <v>2299</v>
      </c>
      <c r="L92" t="str">
        <f t="shared" si="3"/>
        <v>Low Risk</v>
      </c>
      <c r="M92" t="str">
        <f>IFERROR(VLOOKUP(A101,Promo_Pivot!A:C,3,FALSE),"No")</f>
        <v>Yes</v>
      </c>
    </row>
    <row r="93" spans="1:13" x14ac:dyDescent="0.35">
      <c r="A93" t="s">
        <v>1866</v>
      </c>
      <c r="B93" s="2">
        <v>45470</v>
      </c>
      <c r="C93">
        <v>2365</v>
      </c>
      <c r="D93">
        <v>3</v>
      </c>
      <c r="E93">
        <v>122</v>
      </c>
      <c r="F93">
        <v>2</v>
      </c>
      <c r="G93">
        <v>4</v>
      </c>
      <c r="H93">
        <v>3</v>
      </c>
      <c r="I93" t="str">
        <f t="shared" si="2"/>
        <v>243</v>
      </c>
      <c r="J93" t="s">
        <v>2300</v>
      </c>
      <c r="K93" t="s">
        <v>2301</v>
      </c>
      <c r="L93" t="str">
        <f t="shared" si="3"/>
        <v>Very High Risk</v>
      </c>
      <c r="M93" t="str">
        <f>IFERROR(VLOOKUP(A102,Promo_Pivot!A:C,3,FALSE),"No")</f>
        <v>Yes</v>
      </c>
    </row>
    <row r="94" spans="1:13" x14ac:dyDescent="0.35">
      <c r="A94" t="s">
        <v>1867</v>
      </c>
      <c r="B94" s="2">
        <v>45570</v>
      </c>
      <c r="C94">
        <v>3615</v>
      </c>
      <c r="D94">
        <v>2</v>
      </c>
      <c r="E94">
        <v>22</v>
      </c>
      <c r="F94">
        <v>5</v>
      </c>
      <c r="G94">
        <v>3</v>
      </c>
      <c r="H94">
        <v>4</v>
      </c>
      <c r="I94" t="str">
        <f t="shared" si="2"/>
        <v>534</v>
      </c>
      <c r="J94" t="s">
        <v>2303</v>
      </c>
      <c r="K94" t="s">
        <v>2299</v>
      </c>
      <c r="L94" t="str">
        <f t="shared" si="3"/>
        <v>Moderate Risk</v>
      </c>
      <c r="M94" t="str">
        <f>IFERROR(VLOOKUP(A103,Promo_Pivot!A:C,3,FALSE),"No")</f>
        <v>Yes</v>
      </c>
    </row>
    <row r="95" spans="1:13" x14ac:dyDescent="0.35">
      <c r="A95" t="s">
        <v>1868</v>
      </c>
      <c r="B95" s="2">
        <v>45543</v>
      </c>
      <c r="C95">
        <v>2338</v>
      </c>
      <c r="D95">
        <v>2</v>
      </c>
      <c r="E95">
        <v>49</v>
      </c>
      <c r="F95">
        <v>4</v>
      </c>
      <c r="G95">
        <v>3</v>
      </c>
      <c r="H95">
        <v>3</v>
      </c>
      <c r="I95" t="str">
        <f t="shared" si="2"/>
        <v>433</v>
      </c>
      <c r="J95" t="s">
        <v>2303</v>
      </c>
      <c r="K95" t="s">
        <v>2299</v>
      </c>
      <c r="L95" t="str">
        <f t="shared" si="3"/>
        <v>Low Risk</v>
      </c>
      <c r="M95" t="str">
        <f>IFERROR(VLOOKUP(A104,Promo_Pivot!A:C,3,FALSE),"No")</f>
        <v>Yes</v>
      </c>
    </row>
    <row r="96" spans="1:13" x14ac:dyDescent="0.35">
      <c r="A96" t="s">
        <v>1869</v>
      </c>
      <c r="B96" s="2">
        <v>45539</v>
      </c>
      <c r="C96">
        <v>5108</v>
      </c>
      <c r="D96">
        <v>5</v>
      </c>
      <c r="E96">
        <v>53</v>
      </c>
      <c r="F96">
        <v>4</v>
      </c>
      <c r="G96">
        <v>5</v>
      </c>
      <c r="H96">
        <v>5</v>
      </c>
      <c r="I96" t="str">
        <f t="shared" si="2"/>
        <v>455</v>
      </c>
      <c r="J96" t="s">
        <v>2304</v>
      </c>
      <c r="K96" t="s">
        <v>2299</v>
      </c>
      <c r="L96" t="str">
        <f t="shared" si="3"/>
        <v>Low Risk</v>
      </c>
      <c r="M96" t="str">
        <f>IFERROR(VLOOKUP(A105,Promo_Pivot!A:C,3,FALSE),"No")</f>
        <v>Yes</v>
      </c>
    </row>
    <row r="97" spans="1:13" x14ac:dyDescent="0.35">
      <c r="A97" t="s">
        <v>1870</v>
      </c>
      <c r="B97" s="2">
        <v>45582</v>
      </c>
      <c r="C97">
        <v>1356</v>
      </c>
      <c r="D97">
        <v>3</v>
      </c>
      <c r="E97">
        <v>10</v>
      </c>
      <c r="F97">
        <v>5</v>
      </c>
      <c r="G97">
        <v>4</v>
      </c>
      <c r="H97">
        <v>2</v>
      </c>
      <c r="I97" t="str">
        <f t="shared" si="2"/>
        <v>542</v>
      </c>
      <c r="J97" t="s">
        <v>2298</v>
      </c>
      <c r="K97" t="s">
        <v>2299</v>
      </c>
      <c r="L97" t="str">
        <f t="shared" si="3"/>
        <v>Moderate Risk</v>
      </c>
      <c r="M97" t="str">
        <f>IFERROR(VLOOKUP(A106,Promo_Pivot!A:C,3,FALSE),"No")</f>
        <v>Yes</v>
      </c>
    </row>
    <row r="98" spans="1:13" x14ac:dyDescent="0.35">
      <c r="A98" t="s">
        <v>1871</v>
      </c>
      <c r="B98" s="2">
        <v>45592</v>
      </c>
      <c r="C98">
        <v>2517</v>
      </c>
      <c r="D98">
        <v>5</v>
      </c>
      <c r="E98">
        <v>0</v>
      </c>
      <c r="F98">
        <v>5</v>
      </c>
      <c r="G98">
        <v>5</v>
      </c>
      <c r="H98">
        <v>3</v>
      </c>
      <c r="I98" t="str">
        <f t="shared" si="2"/>
        <v>553</v>
      </c>
      <c r="J98" t="s">
        <v>2303</v>
      </c>
      <c r="K98" t="s">
        <v>2299</v>
      </c>
      <c r="L98" t="str">
        <f t="shared" si="3"/>
        <v>Moderate Risk</v>
      </c>
      <c r="M98" t="str">
        <f>IFERROR(VLOOKUP(A107,Promo_Pivot!A:C,3,FALSE),"No")</f>
        <v>Yes</v>
      </c>
    </row>
    <row r="99" spans="1:13" x14ac:dyDescent="0.35">
      <c r="A99" t="s">
        <v>1872</v>
      </c>
      <c r="B99" s="2">
        <v>45550</v>
      </c>
      <c r="C99">
        <v>1394</v>
      </c>
      <c r="D99">
        <v>3</v>
      </c>
      <c r="E99">
        <v>42</v>
      </c>
      <c r="F99">
        <v>4</v>
      </c>
      <c r="G99">
        <v>4</v>
      </c>
      <c r="H99">
        <v>2</v>
      </c>
      <c r="I99" t="str">
        <f t="shared" si="2"/>
        <v>442</v>
      </c>
      <c r="J99" t="s">
        <v>2298</v>
      </c>
      <c r="K99" t="s">
        <v>2299</v>
      </c>
      <c r="L99" t="str">
        <f t="shared" si="3"/>
        <v>Moderate Risk</v>
      </c>
      <c r="M99" t="str">
        <f>IFERROR(VLOOKUP(A108,Promo_Pivot!A:C,3,FALSE),"No")</f>
        <v>Yes</v>
      </c>
    </row>
    <row r="100" spans="1:13" x14ac:dyDescent="0.35">
      <c r="A100" t="s">
        <v>1873</v>
      </c>
      <c r="B100" s="2">
        <v>45475</v>
      </c>
      <c r="C100">
        <v>3959</v>
      </c>
      <c r="D100">
        <v>4</v>
      </c>
      <c r="E100">
        <v>117</v>
      </c>
      <c r="F100">
        <v>2</v>
      </c>
      <c r="G100">
        <v>5</v>
      </c>
      <c r="H100">
        <v>5</v>
      </c>
      <c r="I100" t="str">
        <f t="shared" si="2"/>
        <v>255</v>
      </c>
      <c r="J100" t="s">
        <v>2300</v>
      </c>
      <c r="K100" t="s">
        <v>2301</v>
      </c>
      <c r="L100" t="str">
        <f t="shared" si="3"/>
        <v>Very High Risk</v>
      </c>
      <c r="M100" t="str">
        <f>IFERROR(VLOOKUP(A109,Promo_Pivot!A:C,3,FALSE),"No")</f>
        <v>Yes</v>
      </c>
    </row>
    <row r="101" spans="1:13" x14ac:dyDescent="0.35">
      <c r="A101" t="s">
        <v>1874</v>
      </c>
      <c r="B101" s="2">
        <v>45529</v>
      </c>
      <c r="C101">
        <v>1643</v>
      </c>
      <c r="D101">
        <v>2</v>
      </c>
      <c r="E101">
        <v>63</v>
      </c>
      <c r="F101">
        <v>3</v>
      </c>
      <c r="G101">
        <v>3</v>
      </c>
      <c r="H101">
        <v>3</v>
      </c>
      <c r="I101" t="str">
        <f t="shared" si="2"/>
        <v>333</v>
      </c>
      <c r="J101" t="s">
        <v>2303</v>
      </c>
      <c r="K101" t="s">
        <v>2299</v>
      </c>
      <c r="L101" t="str">
        <f t="shared" si="3"/>
        <v>High Risk</v>
      </c>
      <c r="M101" t="str">
        <f>IFERROR(VLOOKUP(A110,Promo_Pivot!A:C,3,FALSE),"No")</f>
        <v>Yes</v>
      </c>
    </row>
    <row r="102" spans="1:13" x14ac:dyDescent="0.35">
      <c r="A102" t="s">
        <v>1704</v>
      </c>
      <c r="B102" s="2">
        <v>45357</v>
      </c>
      <c r="C102">
        <v>306</v>
      </c>
      <c r="D102">
        <v>1</v>
      </c>
      <c r="E102">
        <v>235</v>
      </c>
      <c r="F102">
        <v>1</v>
      </c>
      <c r="G102">
        <v>2</v>
      </c>
      <c r="H102">
        <v>1</v>
      </c>
      <c r="I102" t="str">
        <f t="shared" si="2"/>
        <v>121</v>
      </c>
      <c r="J102" t="s">
        <v>2300</v>
      </c>
      <c r="K102" t="s">
        <v>2301</v>
      </c>
      <c r="L102" t="str">
        <f t="shared" si="3"/>
        <v>Critical Risk</v>
      </c>
      <c r="M102" t="str">
        <f>IFERROR(VLOOKUP(A111,Promo_Pivot!A:C,3,FALSE),"No")</f>
        <v>Yes</v>
      </c>
    </row>
    <row r="103" spans="1:13" x14ac:dyDescent="0.35">
      <c r="A103" t="s">
        <v>1875</v>
      </c>
      <c r="B103" s="2">
        <v>45547</v>
      </c>
      <c r="C103">
        <v>4819</v>
      </c>
      <c r="D103">
        <v>4</v>
      </c>
      <c r="E103">
        <v>45</v>
      </c>
      <c r="F103">
        <v>4</v>
      </c>
      <c r="G103">
        <v>5</v>
      </c>
      <c r="H103">
        <v>5</v>
      </c>
      <c r="I103" t="str">
        <f t="shared" si="2"/>
        <v>455</v>
      </c>
      <c r="J103" t="s">
        <v>2304</v>
      </c>
      <c r="K103" t="s">
        <v>2299</v>
      </c>
      <c r="L103" t="str">
        <f t="shared" si="3"/>
        <v>Moderate Risk</v>
      </c>
      <c r="M103" t="str">
        <f>IFERROR(VLOOKUP(A112,Promo_Pivot!A:C,3,FALSE),"No")</f>
        <v>Yes</v>
      </c>
    </row>
    <row r="104" spans="1:13" x14ac:dyDescent="0.35">
      <c r="A104" t="s">
        <v>1876</v>
      </c>
      <c r="B104" s="2">
        <v>45544</v>
      </c>
      <c r="C104">
        <v>2683</v>
      </c>
      <c r="D104">
        <v>4</v>
      </c>
      <c r="E104">
        <v>48</v>
      </c>
      <c r="F104">
        <v>4</v>
      </c>
      <c r="G104">
        <v>5</v>
      </c>
      <c r="H104">
        <v>4</v>
      </c>
      <c r="I104" t="str">
        <f t="shared" si="2"/>
        <v>454</v>
      </c>
      <c r="J104" t="s">
        <v>2304</v>
      </c>
      <c r="K104" t="s">
        <v>2299</v>
      </c>
      <c r="L104" t="str">
        <f t="shared" si="3"/>
        <v>Moderate Risk</v>
      </c>
      <c r="M104" t="str">
        <f>IFERROR(VLOOKUP(A113,Promo_Pivot!A:C,3,FALSE),"No")</f>
        <v>Yes</v>
      </c>
    </row>
    <row r="105" spans="1:13" x14ac:dyDescent="0.35">
      <c r="A105" t="s">
        <v>1877</v>
      </c>
      <c r="B105" s="2">
        <v>45507</v>
      </c>
      <c r="C105">
        <v>6376</v>
      </c>
      <c r="D105">
        <v>3</v>
      </c>
      <c r="E105">
        <v>85</v>
      </c>
      <c r="F105">
        <v>3</v>
      </c>
      <c r="G105">
        <v>4</v>
      </c>
      <c r="H105">
        <v>5</v>
      </c>
      <c r="I105" t="str">
        <f t="shared" si="2"/>
        <v>345</v>
      </c>
      <c r="J105" t="s">
        <v>2303</v>
      </c>
      <c r="K105" t="s">
        <v>2299</v>
      </c>
      <c r="L105" t="str">
        <f t="shared" si="3"/>
        <v>High Risk</v>
      </c>
      <c r="M105" t="str">
        <f>IFERROR(VLOOKUP(A114,Promo_Pivot!A:C,3,FALSE),"No")</f>
        <v>Yes</v>
      </c>
    </row>
    <row r="106" spans="1:13" x14ac:dyDescent="0.35">
      <c r="A106" t="s">
        <v>1878</v>
      </c>
      <c r="B106" s="2">
        <v>45531</v>
      </c>
      <c r="C106">
        <v>3783</v>
      </c>
      <c r="D106">
        <v>5</v>
      </c>
      <c r="E106">
        <v>61</v>
      </c>
      <c r="F106">
        <v>3</v>
      </c>
      <c r="G106">
        <v>5</v>
      </c>
      <c r="H106">
        <v>5</v>
      </c>
      <c r="I106" t="str">
        <f t="shared" si="2"/>
        <v>355</v>
      </c>
      <c r="J106" t="s">
        <v>2303</v>
      </c>
      <c r="K106" t="s">
        <v>2299</v>
      </c>
      <c r="L106" t="str">
        <f t="shared" si="3"/>
        <v>High Risk</v>
      </c>
      <c r="M106" t="str">
        <f>IFERROR(VLOOKUP(A115,Promo_Pivot!A:C,3,FALSE),"No")</f>
        <v>Yes</v>
      </c>
    </row>
    <row r="107" spans="1:13" x14ac:dyDescent="0.35">
      <c r="A107" t="s">
        <v>1879</v>
      </c>
      <c r="B107" s="2">
        <v>45548</v>
      </c>
      <c r="C107">
        <v>5048</v>
      </c>
      <c r="D107">
        <v>5</v>
      </c>
      <c r="E107">
        <v>44</v>
      </c>
      <c r="F107">
        <v>4</v>
      </c>
      <c r="G107">
        <v>5</v>
      </c>
      <c r="H107">
        <v>5</v>
      </c>
      <c r="I107" t="str">
        <f t="shared" si="2"/>
        <v>455</v>
      </c>
      <c r="J107" t="s">
        <v>2304</v>
      </c>
      <c r="K107" t="s">
        <v>2299</v>
      </c>
      <c r="L107" t="str">
        <f t="shared" si="3"/>
        <v>Moderate Risk</v>
      </c>
      <c r="M107" t="str">
        <f>IFERROR(VLOOKUP(A116,Promo_Pivot!A:C,3,FALSE),"No")</f>
        <v>Yes</v>
      </c>
    </row>
    <row r="108" spans="1:13" x14ac:dyDescent="0.35">
      <c r="A108" t="s">
        <v>1880</v>
      </c>
      <c r="B108" s="2">
        <v>45468</v>
      </c>
      <c r="C108">
        <v>1471</v>
      </c>
      <c r="D108">
        <v>2</v>
      </c>
      <c r="E108">
        <v>124</v>
      </c>
      <c r="F108">
        <v>2</v>
      </c>
      <c r="G108">
        <v>3</v>
      </c>
      <c r="H108">
        <v>2</v>
      </c>
      <c r="I108" t="str">
        <f t="shared" si="2"/>
        <v>232</v>
      </c>
      <c r="J108" t="s">
        <v>2300</v>
      </c>
      <c r="K108" t="s">
        <v>2301</v>
      </c>
      <c r="L108" t="str">
        <f t="shared" si="3"/>
        <v>Very High Risk</v>
      </c>
      <c r="M108" t="str">
        <f>IFERROR(VLOOKUP(A117,Promo_Pivot!A:C,3,FALSE),"No")</f>
        <v>Yes</v>
      </c>
    </row>
    <row r="109" spans="1:13" x14ac:dyDescent="0.35">
      <c r="A109" t="s">
        <v>1881</v>
      </c>
      <c r="B109" s="2">
        <v>45490</v>
      </c>
      <c r="C109">
        <v>1614</v>
      </c>
      <c r="D109">
        <v>3</v>
      </c>
      <c r="E109">
        <v>102</v>
      </c>
      <c r="F109">
        <v>2</v>
      </c>
      <c r="G109">
        <v>4</v>
      </c>
      <c r="H109">
        <v>3</v>
      </c>
      <c r="I109" t="str">
        <f t="shared" si="2"/>
        <v>243</v>
      </c>
      <c r="J109" t="s">
        <v>2300</v>
      </c>
      <c r="K109" t="s">
        <v>2301</v>
      </c>
      <c r="L109" t="str">
        <f t="shared" si="3"/>
        <v>Low Risk</v>
      </c>
      <c r="M109" t="str">
        <f>IFERROR(VLOOKUP(A118,Promo_Pivot!A:C,3,FALSE),"No")</f>
        <v>Yes</v>
      </c>
    </row>
    <row r="110" spans="1:13" x14ac:dyDescent="0.35">
      <c r="A110" t="s">
        <v>1882</v>
      </c>
      <c r="B110" s="2">
        <v>45530</v>
      </c>
      <c r="C110">
        <v>3419</v>
      </c>
      <c r="D110">
        <v>4</v>
      </c>
      <c r="E110">
        <v>62</v>
      </c>
      <c r="F110">
        <v>3</v>
      </c>
      <c r="G110">
        <v>5</v>
      </c>
      <c r="H110">
        <v>4</v>
      </c>
      <c r="I110" t="str">
        <f t="shared" si="2"/>
        <v>354</v>
      </c>
      <c r="J110" t="s">
        <v>2303</v>
      </c>
      <c r="K110" t="s">
        <v>2299</v>
      </c>
      <c r="L110" t="str">
        <f t="shared" si="3"/>
        <v>High Risk</v>
      </c>
      <c r="M110" t="str">
        <f>IFERROR(VLOOKUP(A119,Promo_Pivot!A:C,3,FALSE),"No")</f>
        <v>Yes</v>
      </c>
    </row>
    <row r="111" spans="1:13" x14ac:dyDescent="0.35">
      <c r="A111" t="s">
        <v>1883</v>
      </c>
      <c r="B111" s="2">
        <v>45565</v>
      </c>
      <c r="C111">
        <v>2605</v>
      </c>
      <c r="D111">
        <v>4</v>
      </c>
      <c r="E111">
        <v>27</v>
      </c>
      <c r="F111">
        <v>5</v>
      </c>
      <c r="G111">
        <v>5</v>
      </c>
      <c r="H111">
        <v>4</v>
      </c>
      <c r="I111" t="str">
        <f t="shared" si="2"/>
        <v>554</v>
      </c>
      <c r="J111" t="s">
        <v>2304</v>
      </c>
      <c r="K111" t="s">
        <v>2299</v>
      </c>
      <c r="L111" t="str">
        <f t="shared" si="3"/>
        <v>Moderate Risk</v>
      </c>
      <c r="M111" t="str">
        <f>IFERROR(VLOOKUP(A120,Promo_Pivot!A:C,3,FALSE),"No")</f>
        <v>Yes</v>
      </c>
    </row>
    <row r="112" spans="1:13" x14ac:dyDescent="0.35">
      <c r="A112" t="s">
        <v>1884</v>
      </c>
      <c r="B112" s="2">
        <v>45506</v>
      </c>
      <c r="C112">
        <v>3704</v>
      </c>
      <c r="D112">
        <v>3</v>
      </c>
      <c r="E112">
        <v>86</v>
      </c>
      <c r="F112">
        <v>3</v>
      </c>
      <c r="G112">
        <v>4</v>
      </c>
      <c r="H112">
        <v>5</v>
      </c>
      <c r="I112" t="str">
        <f t="shared" si="2"/>
        <v>345</v>
      </c>
      <c r="J112" t="s">
        <v>2303</v>
      </c>
      <c r="K112" t="s">
        <v>2299</v>
      </c>
      <c r="L112" t="str">
        <f t="shared" si="3"/>
        <v>High Risk</v>
      </c>
      <c r="M112" t="str">
        <f>IFERROR(VLOOKUP(A121,Promo_Pivot!A:C,3,FALSE),"No")</f>
        <v>Yes</v>
      </c>
    </row>
    <row r="113" spans="1:13" x14ac:dyDescent="0.35">
      <c r="A113" t="s">
        <v>1687</v>
      </c>
      <c r="B113" s="2">
        <v>45488</v>
      </c>
      <c r="C113">
        <v>1371</v>
      </c>
      <c r="D113">
        <v>1</v>
      </c>
      <c r="E113">
        <v>104</v>
      </c>
      <c r="F113">
        <v>2</v>
      </c>
      <c r="G113">
        <v>2</v>
      </c>
      <c r="H113">
        <v>2</v>
      </c>
      <c r="I113" t="str">
        <f t="shared" si="2"/>
        <v>222</v>
      </c>
      <c r="J113" t="s">
        <v>2300</v>
      </c>
      <c r="K113" t="s">
        <v>2301</v>
      </c>
      <c r="L113" t="str">
        <f t="shared" si="3"/>
        <v>Very High Risk</v>
      </c>
      <c r="M113" t="str">
        <f>IFERROR(VLOOKUP(A122,Promo_Pivot!A:C,3,FALSE),"No")</f>
        <v>Yes</v>
      </c>
    </row>
    <row r="114" spans="1:13" x14ac:dyDescent="0.35">
      <c r="A114" t="s">
        <v>1705</v>
      </c>
      <c r="B114" s="2">
        <v>45559</v>
      </c>
      <c r="C114">
        <v>582</v>
      </c>
      <c r="D114">
        <v>1</v>
      </c>
      <c r="E114">
        <v>33</v>
      </c>
      <c r="F114">
        <v>4</v>
      </c>
      <c r="G114">
        <v>2</v>
      </c>
      <c r="H114">
        <v>1</v>
      </c>
      <c r="I114" t="str">
        <f t="shared" si="2"/>
        <v>421</v>
      </c>
      <c r="J114" t="s">
        <v>2298</v>
      </c>
      <c r="K114" t="s">
        <v>2299</v>
      </c>
      <c r="L114" t="str">
        <f t="shared" si="3"/>
        <v>Low Risk</v>
      </c>
      <c r="M114" t="str">
        <f>IFERROR(VLOOKUP(A123,Promo_Pivot!A:C,3,FALSE),"No")</f>
        <v>Yes</v>
      </c>
    </row>
    <row r="115" spans="1:13" x14ac:dyDescent="0.35">
      <c r="A115" t="s">
        <v>1885</v>
      </c>
      <c r="B115" s="2">
        <v>45400</v>
      </c>
      <c r="C115">
        <v>1664</v>
      </c>
      <c r="D115">
        <v>2</v>
      </c>
      <c r="E115">
        <v>192</v>
      </c>
      <c r="F115">
        <v>1</v>
      </c>
      <c r="G115">
        <v>3</v>
      </c>
      <c r="H115">
        <v>3</v>
      </c>
      <c r="I115" t="str">
        <f t="shared" si="2"/>
        <v>133</v>
      </c>
      <c r="J115" t="s">
        <v>2300</v>
      </c>
      <c r="K115" t="s">
        <v>2301</v>
      </c>
      <c r="L115" t="str">
        <f t="shared" si="3"/>
        <v>Critical Risk</v>
      </c>
      <c r="M115" t="str">
        <f>IFERROR(VLOOKUP(A124,Promo_Pivot!A:C,3,FALSE),"No")</f>
        <v>Yes</v>
      </c>
    </row>
    <row r="116" spans="1:13" x14ac:dyDescent="0.35">
      <c r="A116" t="s">
        <v>1886</v>
      </c>
      <c r="B116" s="2">
        <v>45562</v>
      </c>
      <c r="C116">
        <v>3192</v>
      </c>
      <c r="D116">
        <v>4</v>
      </c>
      <c r="E116">
        <v>30</v>
      </c>
      <c r="F116">
        <v>4</v>
      </c>
      <c r="G116">
        <v>5</v>
      </c>
      <c r="H116">
        <v>4</v>
      </c>
      <c r="I116" t="str">
        <f t="shared" si="2"/>
        <v>454</v>
      </c>
      <c r="J116" t="s">
        <v>2304</v>
      </c>
      <c r="K116" t="s">
        <v>2299</v>
      </c>
      <c r="L116" t="str">
        <f t="shared" si="3"/>
        <v>Moderate Risk</v>
      </c>
      <c r="M116" t="str">
        <f>IFERROR(VLOOKUP(A125,Promo_Pivot!A:C,3,FALSE),"No")</f>
        <v>Yes</v>
      </c>
    </row>
    <row r="117" spans="1:13" x14ac:dyDescent="0.35">
      <c r="A117" t="s">
        <v>1887</v>
      </c>
      <c r="B117" s="2">
        <v>45544</v>
      </c>
      <c r="C117">
        <v>2577</v>
      </c>
      <c r="D117">
        <v>5</v>
      </c>
      <c r="E117">
        <v>48</v>
      </c>
      <c r="F117">
        <v>4</v>
      </c>
      <c r="G117">
        <v>5</v>
      </c>
      <c r="H117">
        <v>3</v>
      </c>
      <c r="I117" t="str">
        <f t="shared" si="2"/>
        <v>453</v>
      </c>
      <c r="J117" t="s">
        <v>2303</v>
      </c>
      <c r="K117" t="s">
        <v>2299</v>
      </c>
      <c r="L117" t="str">
        <f t="shared" si="3"/>
        <v>Low Risk</v>
      </c>
      <c r="M117" t="str">
        <f>IFERROR(VLOOKUP(A126,Promo_Pivot!A:C,3,FALSE),"No")</f>
        <v>Yes</v>
      </c>
    </row>
    <row r="118" spans="1:13" x14ac:dyDescent="0.35">
      <c r="A118" t="s">
        <v>1888</v>
      </c>
      <c r="B118" s="2">
        <v>45478</v>
      </c>
      <c r="C118">
        <v>5435</v>
      </c>
      <c r="D118">
        <v>3</v>
      </c>
      <c r="E118">
        <v>114</v>
      </c>
      <c r="F118">
        <v>2</v>
      </c>
      <c r="G118">
        <v>4</v>
      </c>
      <c r="H118">
        <v>5</v>
      </c>
      <c r="I118" t="str">
        <f t="shared" si="2"/>
        <v>245</v>
      </c>
      <c r="J118" t="s">
        <v>2300</v>
      </c>
      <c r="K118" t="s">
        <v>2301</v>
      </c>
      <c r="L118" t="str">
        <f t="shared" si="3"/>
        <v>Low Risk</v>
      </c>
      <c r="M118" t="str">
        <f>IFERROR(VLOOKUP(A127,Promo_Pivot!A:C,3,FALSE),"No")</f>
        <v>Yes</v>
      </c>
    </row>
    <row r="119" spans="1:13" x14ac:dyDescent="0.35">
      <c r="A119" t="s">
        <v>1889</v>
      </c>
      <c r="B119" s="2">
        <v>45579</v>
      </c>
      <c r="C119">
        <v>3159</v>
      </c>
      <c r="D119">
        <v>5</v>
      </c>
      <c r="E119">
        <v>13</v>
      </c>
      <c r="F119">
        <v>5</v>
      </c>
      <c r="G119">
        <v>5</v>
      </c>
      <c r="H119">
        <v>4</v>
      </c>
      <c r="I119" t="str">
        <f t="shared" si="2"/>
        <v>554</v>
      </c>
      <c r="J119" t="s">
        <v>2304</v>
      </c>
      <c r="K119" t="s">
        <v>2299</v>
      </c>
      <c r="L119" t="str">
        <f t="shared" si="3"/>
        <v>Low Risk</v>
      </c>
      <c r="M119" t="str">
        <f>IFERROR(VLOOKUP(A128,Promo_Pivot!A:C,3,FALSE),"No")</f>
        <v>Yes</v>
      </c>
    </row>
    <row r="120" spans="1:13" x14ac:dyDescent="0.35">
      <c r="A120" t="s">
        <v>1890</v>
      </c>
      <c r="B120" s="2">
        <v>45583</v>
      </c>
      <c r="C120">
        <v>3258</v>
      </c>
      <c r="D120">
        <v>4</v>
      </c>
      <c r="E120">
        <v>9</v>
      </c>
      <c r="F120">
        <v>5</v>
      </c>
      <c r="G120">
        <v>5</v>
      </c>
      <c r="H120">
        <v>4</v>
      </c>
      <c r="I120" t="str">
        <f t="shared" si="2"/>
        <v>554</v>
      </c>
      <c r="J120" t="s">
        <v>2304</v>
      </c>
      <c r="K120" t="s">
        <v>2299</v>
      </c>
      <c r="L120" t="str">
        <f t="shared" si="3"/>
        <v>Moderate Risk</v>
      </c>
      <c r="M120" t="str">
        <f>IFERROR(VLOOKUP(A129,Promo_Pivot!A:C,3,FALSE),"No")</f>
        <v>Yes</v>
      </c>
    </row>
    <row r="121" spans="1:13" x14ac:dyDescent="0.35">
      <c r="A121" t="s">
        <v>1891</v>
      </c>
      <c r="B121" s="2">
        <v>45568</v>
      </c>
      <c r="C121">
        <v>5805</v>
      </c>
      <c r="D121">
        <v>5</v>
      </c>
      <c r="E121">
        <v>24</v>
      </c>
      <c r="F121">
        <v>5</v>
      </c>
      <c r="G121">
        <v>5</v>
      </c>
      <c r="H121">
        <v>5</v>
      </c>
      <c r="I121" t="str">
        <f t="shared" si="2"/>
        <v>555</v>
      </c>
      <c r="J121" t="s">
        <v>2304</v>
      </c>
      <c r="K121" t="s">
        <v>2299</v>
      </c>
      <c r="L121" t="str">
        <f t="shared" si="3"/>
        <v>Moderate Risk</v>
      </c>
      <c r="M121" t="str">
        <f>IFERROR(VLOOKUP(A130,Promo_Pivot!A:C,3,FALSE),"No")</f>
        <v>Yes</v>
      </c>
    </row>
    <row r="122" spans="1:13" x14ac:dyDescent="0.35">
      <c r="A122" t="s">
        <v>1892</v>
      </c>
      <c r="B122" s="2">
        <v>45524</v>
      </c>
      <c r="C122">
        <v>3065</v>
      </c>
      <c r="D122">
        <v>4</v>
      </c>
      <c r="E122">
        <v>68</v>
      </c>
      <c r="F122">
        <v>3</v>
      </c>
      <c r="G122">
        <v>5</v>
      </c>
      <c r="H122">
        <v>4</v>
      </c>
      <c r="I122" t="str">
        <f t="shared" si="2"/>
        <v>354</v>
      </c>
      <c r="J122" t="s">
        <v>2303</v>
      </c>
      <c r="K122" t="s">
        <v>2299</v>
      </c>
      <c r="L122" t="str">
        <f t="shared" si="3"/>
        <v>High Risk</v>
      </c>
      <c r="M122" t="str">
        <f>IFERROR(VLOOKUP(A131,Promo_Pivot!A:C,3,FALSE),"No")</f>
        <v>Yes</v>
      </c>
    </row>
    <row r="123" spans="1:13" x14ac:dyDescent="0.35">
      <c r="A123" t="s">
        <v>1893</v>
      </c>
      <c r="B123" s="2">
        <v>45535</v>
      </c>
      <c r="C123">
        <v>3060</v>
      </c>
      <c r="D123">
        <v>2</v>
      </c>
      <c r="E123">
        <v>57</v>
      </c>
      <c r="F123">
        <v>3</v>
      </c>
      <c r="G123">
        <v>3</v>
      </c>
      <c r="H123">
        <v>4</v>
      </c>
      <c r="I123" t="str">
        <f t="shared" si="2"/>
        <v>334</v>
      </c>
      <c r="J123" t="s">
        <v>2303</v>
      </c>
      <c r="K123" t="s">
        <v>2299</v>
      </c>
      <c r="L123" t="str">
        <f t="shared" si="3"/>
        <v>Moderate Risk</v>
      </c>
      <c r="M123" t="str">
        <f>IFERROR(VLOOKUP(A132,Promo_Pivot!A:C,3,FALSE),"No")</f>
        <v>Yes</v>
      </c>
    </row>
    <row r="124" spans="1:13" x14ac:dyDescent="0.35">
      <c r="A124" t="s">
        <v>1894</v>
      </c>
      <c r="B124" s="2">
        <v>45560</v>
      </c>
      <c r="C124">
        <v>2111</v>
      </c>
      <c r="D124">
        <v>3</v>
      </c>
      <c r="E124">
        <v>32</v>
      </c>
      <c r="F124">
        <v>4</v>
      </c>
      <c r="G124">
        <v>4</v>
      </c>
      <c r="H124">
        <v>3</v>
      </c>
      <c r="I124" t="str">
        <f t="shared" si="2"/>
        <v>443</v>
      </c>
      <c r="J124" t="s">
        <v>2303</v>
      </c>
      <c r="K124" t="s">
        <v>2299</v>
      </c>
      <c r="L124" t="str">
        <f t="shared" si="3"/>
        <v>Moderate Risk</v>
      </c>
      <c r="M124" t="str">
        <f>IFERROR(VLOOKUP(A133,Promo_Pivot!A:C,3,FALSE),"No")</f>
        <v>Yes</v>
      </c>
    </row>
    <row r="125" spans="1:13" x14ac:dyDescent="0.35">
      <c r="A125" t="s">
        <v>1706</v>
      </c>
      <c r="B125" s="2">
        <v>45480</v>
      </c>
      <c r="C125">
        <v>276</v>
      </c>
      <c r="D125">
        <v>1</v>
      </c>
      <c r="E125">
        <v>112</v>
      </c>
      <c r="F125">
        <v>2</v>
      </c>
      <c r="G125">
        <v>2</v>
      </c>
      <c r="H125">
        <v>1</v>
      </c>
      <c r="I125" t="str">
        <f t="shared" si="2"/>
        <v>221</v>
      </c>
      <c r="J125" t="s">
        <v>2300</v>
      </c>
      <c r="K125" t="s">
        <v>2301</v>
      </c>
      <c r="L125" t="str">
        <f t="shared" si="3"/>
        <v>Low Risk</v>
      </c>
      <c r="M125" t="str">
        <f>IFERROR(VLOOKUP(A134,Promo_Pivot!A:C,3,FALSE),"No")</f>
        <v>Yes</v>
      </c>
    </row>
    <row r="126" spans="1:13" x14ac:dyDescent="0.35">
      <c r="A126" t="s">
        <v>1895</v>
      </c>
      <c r="B126" s="2">
        <v>45529</v>
      </c>
      <c r="C126">
        <v>3911</v>
      </c>
      <c r="D126">
        <v>4</v>
      </c>
      <c r="E126">
        <v>63</v>
      </c>
      <c r="F126">
        <v>3</v>
      </c>
      <c r="G126">
        <v>5</v>
      </c>
      <c r="H126">
        <v>5</v>
      </c>
      <c r="I126" t="str">
        <f t="shared" si="2"/>
        <v>355</v>
      </c>
      <c r="J126" t="s">
        <v>2303</v>
      </c>
      <c r="K126" t="s">
        <v>2299</v>
      </c>
      <c r="L126" t="str">
        <f t="shared" si="3"/>
        <v>High Risk</v>
      </c>
      <c r="M126" t="str">
        <f>IFERROR(VLOOKUP(A135,Promo_Pivot!A:C,3,FALSE),"No")</f>
        <v>Yes</v>
      </c>
    </row>
    <row r="127" spans="1:13" x14ac:dyDescent="0.35">
      <c r="A127" t="s">
        <v>1896</v>
      </c>
      <c r="B127" s="2">
        <v>45584</v>
      </c>
      <c r="C127">
        <v>2516</v>
      </c>
      <c r="D127">
        <v>4</v>
      </c>
      <c r="E127">
        <v>8</v>
      </c>
      <c r="F127">
        <v>5</v>
      </c>
      <c r="G127">
        <v>5</v>
      </c>
      <c r="H127">
        <v>3</v>
      </c>
      <c r="I127" t="str">
        <f t="shared" si="2"/>
        <v>553</v>
      </c>
      <c r="J127" t="s">
        <v>2303</v>
      </c>
      <c r="K127" t="s">
        <v>2299</v>
      </c>
      <c r="L127" t="str">
        <f t="shared" si="3"/>
        <v>Moderate Risk</v>
      </c>
      <c r="M127" t="str">
        <f>IFERROR(VLOOKUP(A136,Promo_Pivot!A:C,3,FALSE),"No")</f>
        <v>Yes</v>
      </c>
    </row>
    <row r="128" spans="1:13" x14ac:dyDescent="0.35">
      <c r="A128" t="s">
        <v>1897</v>
      </c>
      <c r="B128" s="2">
        <v>45513</v>
      </c>
      <c r="C128">
        <v>973</v>
      </c>
      <c r="D128">
        <v>2</v>
      </c>
      <c r="E128">
        <v>79</v>
      </c>
      <c r="F128">
        <v>3</v>
      </c>
      <c r="G128">
        <v>3</v>
      </c>
      <c r="H128">
        <v>2</v>
      </c>
      <c r="I128" t="str">
        <f t="shared" si="2"/>
        <v>332</v>
      </c>
      <c r="J128" t="s">
        <v>2302</v>
      </c>
      <c r="K128" t="s">
        <v>2299</v>
      </c>
      <c r="L128" t="str">
        <f t="shared" si="3"/>
        <v>High Risk</v>
      </c>
      <c r="M128" t="str">
        <f>IFERROR(VLOOKUP(A137,Promo_Pivot!A:C,3,FALSE),"No")</f>
        <v>Yes</v>
      </c>
    </row>
    <row r="129" spans="1:13" x14ac:dyDescent="0.35">
      <c r="A129" t="s">
        <v>1898</v>
      </c>
      <c r="B129" s="2">
        <v>45440</v>
      </c>
      <c r="C129">
        <v>1445</v>
      </c>
      <c r="D129">
        <v>3</v>
      </c>
      <c r="E129">
        <v>152</v>
      </c>
      <c r="F129">
        <v>1</v>
      </c>
      <c r="G129">
        <v>4</v>
      </c>
      <c r="H129">
        <v>2</v>
      </c>
      <c r="I129" t="str">
        <f t="shared" si="2"/>
        <v>142</v>
      </c>
      <c r="J129" t="s">
        <v>2300</v>
      </c>
      <c r="K129" t="s">
        <v>2301</v>
      </c>
      <c r="L129" t="str">
        <f t="shared" si="3"/>
        <v>Low Risk</v>
      </c>
      <c r="M129" t="str">
        <f>IFERROR(VLOOKUP(A138,Promo_Pivot!A:C,3,FALSE),"No")</f>
        <v>Yes</v>
      </c>
    </row>
    <row r="130" spans="1:13" x14ac:dyDescent="0.35">
      <c r="A130" t="s">
        <v>1899</v>
      </c>
      <c r="B130" s="2">
        <v>45443</v>
      </c>
      <c r="C130">
        <v>1190</v>
      </c>
      <c r="D130">
        <v>2</v>
      </c>
      <c r="E130">
        <v>149</v>
      </c>
      <c r="F130">
        <v>2</v>
      </c>
      <c r="G130">
        <v>3</v>
      </c>
      <c r="H130">
        <v>2</v>
      </c>
      <c r="I130" t="str">
        <f t="shared" si="2"/>
        <v>232</v>
      </c>
      <c r="J130" t="s">
        <v>2300</v>
      </c>
      <c r="K130" t="s">
        <v>2301</v>
      </c>
      <c r="L130" t="str">
        <f t="shared" si="3"/>
        <v>Very High Risk</v>
      </c>
      <c r="M130" t="str">
        <f>IFERROR(VLOOKUP(A139,Promo_Pivot!A:C,3,FALSE),"No")</f>
        <v>Yes</v>
      </c>
    </row>
    <row r="131" spans="1:13" x14ac:dyDescent="0.35">
      <c r="A131" t="s">
        <v>1900</v>
      </c>
      <c r="B131" s="2">
        <v>45582</v>
      </c>
      <c r="C131">
        <v>2258</v>
      </c>
      <c r="D131">
        <v>4</v>
      </c>
      <c r="E131">
        <v>10</v>
      </c>
      <c r="F131">
        <v>5</v>
      </c>
      <c r="G131">
        <v>5</v>
      </c>
      <c r="H131">
        <v>3</v>
      </c>
      <c r="I131" t="str">
        <f t="shared" ref="I131:I194" si="4">F131&amp;G131&amp;H131</f>
        <v>553</v>
      </c>
      <c r="J131" t="s">
        <v>2303</v>
      </c>
      <c r="K131" t="s">
        <v>2299</v>
      </c>
      <c r="L131" t="str">
        <f t="shared" ref="L131:L194" si="5">IF(E133&lt;=30,"Low Risk",
IF(E131&lt;=60,"Moderate Risk",
IF(E131&lt;=90,"High Risk",
IF(E131&lt;=180,"Very High Risk","Critical Risk"))))</f>
        <v>Low Risk</v>
      </c>
      <c r="M131" t="str">
        <f>IFERROR(VLOOKUP(A140,Promo_Pivot!A:C,3,FALSE),"No")</f>
        <v>Yes</v>
      </c>
    </row>
    <row r="132" spans="1:13" x14ac:dyDescent="0.35">
      <c r="A132" t="s">
        <v>1901</v>
      </c>
      <c r="B132" s="2">
        <v>45513</v>
      </c>
      <c r="C132">
        <v>5003</v>
      </c>
      <c r="D132">
        <v>5</v>
      </c>
      <c r="E132">
        <v>79</v>
      </c>
      <c r="F132">
        <v>3</v>
      </c>
      <c r="G132">
        <v>5</v>
      </c>
      <c r="H132">
        <v>5</v>
      </c>
      <c r="I132" t="str">
        <f t="shared" si="4"/>
        <v>355</v>
      </c>
      <c r="J132" t="s">
        <v>2303</v>
      </c>
      <c r="K132" t="s">
        <v>2299</v>
      </c>
      <c r="L132" t="str">
        <f t="shared" si="5"/>
        <v>High Risk</v>
      </c>
      <c r="M132" t="str">
        <f>IFERROR(VLOOKUP(A141,Promo_Pivot!A:C,3,FALSE),"No")</f>
        <v>Yes</v>
      </c>
    </row>
    <row r="133" spans="1:13" x14ac:dyDescent="0.35">
      <c r="A133" t="s">
        <v>1902</v>
      </c>
      <c r="B133" s="2">
        <v>45580</v>
      </c>
      <c r="C133">
        <v>3621</v>
      </c>
      <c r="D133">
        <v>3</v>
      </c>
      <c r="E133">
        <v>12</v>
      </c>
      <c r="F133">
        <v>5</v>
      </c>
      <c r="G133">
        <v>4</v>
      </c>
      <c r="H133">
        <v>4</v>
      </c>
      <c r="I133" t="str">
        <f t="shared" si="4"/>
        <v>544</v>
      </c>
      <c r="J133" t="s">
        <v>2304</v>
      </c>
      <c r="K133" t="s">
        <v>2299</v>
      </c>
      <c r="L133" t="str">
        <f t="shared" si="5"/>
        <v>Low Risk</v>
      </c>
      <c r="M133" t="str">
        <f>IFERROR(VLOOKUP(A142,Promo_Pivot!A:C,3,FALSE),"No")</f>
        <v>Yes</v>
      </c>
    </row>
    <row r="134" spans="1:13" x14ac:dyDescent="0.35">
      <c r="A134" t="s">
        <v>1903</v>
      </c>
      <c r="B134" s="2">
        <v>45539</v>
      </c>
      <c r="C134">
        <v>1485</v>
      </c>
      <c r="D134">
        <v>2</v>
      </c>
      <c r="E134">
        <v>53</v>
      </c>
      <c r="F134">
        <v>4</v>
      </c>
      <c r="G134">
        <v>3</v>
      </c>
      <c r="H134">
        <v>2</v>
      </c>
      <c r="I134" t="str">
        <f t="shared" si="4"/>
        <v>432</v>
      </c>
      <c r="J134" t="s">
        <v>2298</v>
      </c>
      <c r="K134" t="s">
        <v>2299</v>
      </c>
      <c r="L134" t="str">
        <f t="shared" si="5"/>
        <v>Low Risk</v>
      </c>
      <c r="M134" t="str">
        <f>IFERROR(VLOOKUP(A143,Promo_Pivot!A:C,3,FALSE),"No")</f>
        <v>Yes</v>
      </c>
    </row>
    <row r="135" spans="1:13" x14ac:dyDescent="0.35">
      <c r="A135" t="s">
        <v>1904</v>
      </c>
      <c r="B135" s="2">
        <v>45584</v>
      </c>
      <c r="C135">
        <v>4877</v>
      </c>
      <c r="D135">
        <v>5</v>
      </c>
      <c r="E135">
        <v>8</v>
      </c>
      <c r="F135">
        <v>5</v>
      </c>
      <c r="G135">
        <v>5</v>
      </c>
      <c r="H135">
        <v>5</v>
      </c>
      <c r="I135" t="str">
        <f t="shared" si="4"/>
        <v>555</v>
      </c>
      <c r="J135" t="s">
        <v>2304</v>
      </c>
      <c r="K135" t="s">
        <v>2299</v>
      </c>
      <c r="L135" t="str">
        <f t="shared" si="5"/>
        <v>Moderate Risk</v>
      </c>
      <c r="M135" t="str">
        <f>IFERROR(VLOOKUP(A144,Promo_Pivot!A:C,3,FALSE),"No")</f>
        <v>Yes</v>
      </c>
    </row>
    <row r="136" spans="1:13" x14ac:dyDescent="0.35">
      <c r="A136" t="s">
        <v>1707</v>
      </c>
      <c r="B136" s="2">
        <v>45565</v>
      </c>
      <c r="C136">
        <v>1167</v>
      </c>
      <c r="D136">
        <v>1</v>
      </c>
      <c r="E136">
        <v>27</v>
      </c>
      <c r="F136">
        <v>5</v>
      </c>
      <c r="G136">
        <v>2</v>
      </c>
      <c r="H136">
        <v>2</v>
      </c>
      <c r="I136" t="str">
        <f t="shared" si="4"/>
        <v>522</v>
      </c>
      <c r="J136" t="s">
        <v>2298</v>
      </c>
      <c r="K136" t="s">
        <v>2299</v>
      </c>
      <c r="L136" t="str">
        <f t="shared" si="5"/>
        <v>Moderate Risk</v>
      </c>
      <c r="M136" t="str">
        <f>IFERROR(VLOOKUP(A145,Promo_Pivot!A:C,3,FALSE),"No")</f>
        <v>Yes</v>
      </c>
    </row>
    <row r="137" spans="1:13" x14ac:dyDescent="0.35">
      <c r="A137" t="s">
        <v>1905</v>
      </c>
      <c r="B137" s="2">
        <v>45489</v>
      </c>
      <c r="C137">
        <v>2460</v>
      </c>
      <c r="D137">
        <v>3</v>
      </c>
      <c r="E137">
        <v>103</v>
      </c>
      <c r="F137">
        <v>2</v>
      </c>
      <c r="G137">
        <v>4</v>
      </c>
      <c r="H137">
        <v>3</v>
      </c>
      <c r="I137" t="str">
        <f t="shared" si="4"/>
        <v>243</v>
      </c>
      <c r="J137" t="s">
        <v>2300</v>
      </c>
      <c r="K137" t="s">
        <v>2301</v>
      </c>
      <c r="L137" t="str">
        <f t="shared" si="5"/>
        <v>Very High Risk</v>
      </c>
      <c r="M137" t="str">
        <f>IFERROR(VLOOKUP(A146,Promo_Pivot!A:C,3,FALSE),"No")</f>
        <v>Yes</v>
      </c>
    </row>
    <row r="138" spans="1:13" x14ac:dyDescent="0.35">
      <c r="A138" t="s">
        <v>1906</v>
      </c>
      <c r="B138" s="2">
        <v>45391</v>
      </c>
      <c r="C138">
        <v>2411</v>
      </c>
      <c r="D138">
        <v>2</v>
      </c>
      <c r="E138">
        <v>201</v>
      </c>
      <c r="F138">
        <v>1</v>
      </c>
      <c r="G138">
        <v>3</v>
      </c>
      <c r="H138">
        <v>3</v>
      </c>
      <c r="I138" t="str">
        <f t="shared" si="4"/>
        <v>133</v>
      </c>
      <c r="J138" t="s">
        <v>2300</v>
      </c>
      <c r="K138" t="s">
        <v>2301</v>
      </c>
      <c r="L138" t="str">
        <f t="shared" si="5"/>
        <v>Critical Risk</v>
      </c>
      <c r="M138" t="str">
        <f>IFERROR(VLOOKUP(A147,Promo_Pivot!A:C,3,FALSE),"No")</f>
        <v>Yes</v>
      </c>
    </row>
    <row r="139" spans="1:13" x14ac:dyDescent="0.35">
      <c r="A139" t="s">
        <v>1907</v>
      </c>
      <c r="B139" s="2">
        <v>45530</v>
      </c>
      <c r="C139">
        <v>3302</v>
      </c>
      <c r="D139">
        <v>4</v>
      </c>
      <c r="E139">
        <v>62</v>
      </c>
      <c r="F139">
        <v>3</v>
      </c>
      <c r="G139">
        <v>5</v>
      </c>
      <c r="H139">
        <v>4</v>
      </c>
      <c r="I139" t="str">
        <f t="shared" si="4"/>
        <v>354</v>
      </c>
      <c r="J139" t="s">
        <v>2303</v>
      </c>
      <c r="K139" t="s">
        <v>2299</v>
      </c>
      <c r="L139" t="str">
        <f t="shared" si="5"/>
        <v>High Risk</v>
      </c>
      <c r="M139" t="str">
        <f>IFERROR(VLOOKUP(A148,Promo_Pivot!A:C,3,FALSE),"No")</f>
        <v>Yes</v>
      </c>
    </row>
    <row r="140" spans="1:13" x14ac:dyDescent="0.35">
      <c r="A140" t="s">
        <v>1908</v>
      </c>
      <c r="B140" s="2">
        <v>45529</v>
      </c>
      <c r="C140">
        <v>5377</v>
      </c>
      <c r="D140">
        <v>5</v>
      </c>
      <c r="E140">
        <v>63</v>
      </c>
      <c r="F140">
        <v>3</v>
      </c>
      <c r="G140">
        <v>5</v>
      </c>
      <c r="H140">
        <v>5</v>
      </c>
      <c r="I140" t="str">
        <f t="shared" si="4"/>
        <v>355</v>
      </c>
      <c r="J140" t="s">
        <v>2303</v>
      </c>
      <c r="K140" t="s">
        <v>2299</v>
      </c>
      <c r="L140" t="str">
        <f t="shared" si="5"/>
        <v>High Risk</v>
      </c>
      <c r="M140" t="str">
        <f>IFERROR(VLOOKUP(A149,Promo_Pivot!A:C,3,FALSE),"No")</f>
        <v>Yes</v>
      </c>
    </row>
    <row r="141" spans="1:13" x14ac:dyDescent="0.35">
      <c r="A141" t="s">
        <v>1909</v>
      </c>
      <c r="B141" s="2">
        <v>45526</v>
      </c>
      <c r="C141">
        <v>1471</v>
      </c>
      <c r="D141">
        <v>2</v>
      </c>
      <c r="E141">
        <v>66</v>
      </c>
      <c r="F141">
        <v>3</v>
      </c>
      <c r="G141">
        <v>3</v>
      </c>
      <c r="H141">
        <v>2</v>
      </c>
      <c r="I141" t="str">
        <f t="shared" si="4"/>
        <v>332</v>
      </c>
      <c r="J141" t="s">
        <v>2302</v>
      </c>
      <c r="K141" t="s">
        <v>2299</v>
      </c>
      <c r="L141" t="str">
        <f t="shared" si="5"/>
        <v>High Risk</v>
      </c>
      <c r="M141" t="str">
        <f>IFERROR(VLOOKUP(A150,Promo_Pivot!A:C,3,FALSE),"No")</f>
        <v>Yes</v>
      </c>
    </row>
    <row r="142" spans="1:13" x14ac:dyDescent="0.35">
      <c r="A142" t="s">
        <v>1910</v>
      </c>
      <c r="B142" s="2">
        <v>45526</v>
      </c>
      <c r="C142">
        <v>2123</v>
      </c>
      <c r="D142">
        <v>3</v>
      </c>
      <c r="E142">
        <v>66</v>
      </c>
      <c r="F142">
        <v>3</v>
      </c>
      <c r="G142">
        <v>4</v>
      </c>
      <c r="H142">
        <v>3</v>
      </c>
      <c r="I142" t="str">
        <f t="shared" si="4"/>
        <v>343</v>
      </c>
      <c r="J142" t="s">
        <v>2303</v>
      </c>
      <c r="K142" t="s">
        <v>2299</v>
      </c>
      <c r="L142" t="str">
        <f t="shared" si="5"/>
        <v>High Risk</v>
      </c>
      <c r="M142" t="str">
        <f>IFERROR(VLOOKUP(A151,Promo_Pivot!A:C,3,FALSE),"No")</f>
        <v>Yes</v>
      </c>
    </row>
    <row r="143" spans="1:13" x14ac:dyDescent="0.35">
      <c r="A143" t="s">
        <v>1911</v>
      </c>
      <c r="B143" s="2">
        <v>45542</v>
      </c>
      <c r="C143">
        <v>4587</v>
      </c>
      <c r="D143">
        <v>5</v>
      </c>
      <c r="E143">
        <v>50</v>
      </c>
      <c r="F143">
        <v>4</v>
      </c>
      <c r="G143">
        <v>5</v>
      </c>
      <c r="H143">
        <v>5</v>
      </c>
      <c r="I143" t="str">
        <f t="shared" si="4"/>
        <v>455</v>
      </c>
      <c r="J143" t="s">
        <v>2304</v>
      </c>
      <c r="K143" t="s">
        <v>2299</v>
      </c>
      <c r="L143" t="str">
        <f t="shared" si="5"/>
        <v>Moderate Risk</v>
      </c>
      <c r="M143" t="str">
        <f>IFERROR(VLOOKUP(A152,Promo_Pivot!A:C,3,FALSE),"No")</f>
        <v>Yes</v>
      </c>
    </row>
    <row r="144" spans="1:13" x14ac:dyDescent="0.35">
      <c r="A144" t="s">
        <v>1912</v>
      </c>
      <c r="B144" s="2">
        <v>45509</v>
      </c>
      <c r="C144">
        <v>3203</v>
      </c>
      <c r="D144">
        <v>5</v>
      </c>
      <c r="E144">
        <v>83</v>
      </c>
      <c r="F144">
        <v>3</v>
      </c>
      <c r="G144">
        <v>5</v>
      </c>
      <c r="H144">
        <v>4</v>
      </c>
      <c r="I144" t="str">
        <f t="shared" si="4"/>
        <v>354</v>
      </c>
      <c r="J144" t="s">
        <v>2303</v>
      </c>
      <c r="K144" t="s">
        <v>2299</v>
      </c>
      <c r="L144" t="str">
        <f t="shared" si="5"/>
        <v>High Risk</v>
      </c>
      <c r="M144" t="str">
        <f>IFERROR(VLOOKUP(A153,Promo_Pivot!A:C,3,FALSE),"No")</f>
        <v>Yes</v>
      </c>
    </row>
    <row r="145" spans="1:13" x14ac:dyDescent="0.35">
      <c r="A145" t="s">
        <v>1913</v>
      </c>
      <c r="B145" s="2">
        <v>45453</v>
      </c>
      <c r="C145">
        <v>4487</v>
      </c>
      <c r="D145">
        <v>5</v>
      </c>
      <c r="E145">
        <v>139</v>
      </c>
      <c r="F145">
        <v>2</v>
      </c>
      <c r="G145">
        <v>5</v>
      </c>
      <c r="H145">
        <v>5</v>
      </c>
      <c r="I145" t="str">
        <f t="shared" si="4"/>
        <v>255</v>
      </c>
      <c r="J145" t="s">
        <v>2300</v>
      </c>
      <c r="K145" t="s">
        <v>2301</v>
      </c>
      <c r="L145" t="str">
        <f t="shared" si="5"/>
        <v>Very High Risk</v>
      </c>
      <c r="M145" t="str">
        <f>IFERROR(VLOOKUP(A154,Promo_Pivot!A:C,3,FALSE),"No")</f>
        <v>Yes</v>
      </c>
    </row>
    <row r="146" spans="1:13" x14ac:dyDescent="0.35">
      <c r="A146" t="s">
        <v>1914</v>
      </c>
      <c r="B146" s="2">
        <v>45553</v>
      </c>
      <c r="C146">
        <v>2948</v>
      </c>
      <c r="D146">
        <v>5</v>
      </c>
      <c r="E146">
        <v>39</v>
      </c>
      <c r="F146">
        <v>4</v>
      </c>
      <c r="G146">
        <v>5</v>
      </c>
      <c r="H146">
        <v>4</v>
      </c>
      <c r="I146" t="str">
        <f t="shared" si="4"/>
        <v>454</v>
      </c>
      <c r="J146" t="s">
        <v>2304</v>
      </c>
      <c r="K146" t="s">
        <v>2299</v>
      </c>
      <c r="L146" t="str">
        <f t="shared" si="5"/>
        <v>Low Risk</v>
      </c>
      <c r="M146" t="str">
        <f>IFERROR(VLOOKUP(A155,Promo_Pivot!A:C,3,FALSE),"No")</f>
        <v>Yes</v>
      </c>
    </row>
    <row r="147" spans="1:13" x14ac:dyDescent="0.35">
      <c r="A147" t="s">
        <v>1708</v>
      </c>
      <c r="B147" s="2">
        <v>45412</v>
      </c>
      <c r="C147">
        <v>426</v>
      </c>
      <c r="D147">
        <v>1</v>
      </c>
      <c r="E147">
        <v>180</v>
      </c>
      <c r="F147">
        <v>1</v>
      </c>
      <c r="G147">
        <v>2</v>
      </c>
      <c r="H147">
        <v>1</v>
      </c>
      <c r="I147" t="str">
        <f t="shared" si="4"/>
        <v>121</v>
      </c>
      <c r="J147" t="s">
        <v>2300</v>
      </c>
      <c r="K147" t="s">
        <v>2301</v>
      </c>
      <c r="L147" t="str">
        <f t="shared" si="5"/>
        <v>Very High Risk</v>
      </c>
      <c r="M147" t="str">
        <f>IFERROR(VLOOKUP(A156,Promo_Pivot!A:C,3,FALSE),"No")</f>
        <v>Yes</v>
      </c>
    </row>
    <row r="148" spans="1:13" x14ac:dyDescent="0.35">
      <c r="A148" t="s">
        <v>1915</v>
      </c>
      <c r="B148" s="2">
        <v>45577</v>
      </c>
      <c r="C148">
        <v>1154</v>
      </c>
      <c r="D148">
        <v>2</v>
      </c>
      <c r="E148">
        <v>15</v>
      </c>
      <c r="F148">
        <v>5</v>
      </c>
      <c r="G148">
        <v>3</v>
      </c>
      <c r="H148">
        <v>2</v>
      </c>
      <c r="I148" t="str">
        <f t="shared" si="4"/>
        <v>532</v>
      </c>
      <c r="J148" t="s">
        <v>2298</v>
      </c>
      <c r="K148" t="s">
        <v>2299</v>
      </c>
      <c r="L148" t="str">
        <f t="shared" si="5"/>
        <v>Moderate Risk</v>
      </c>
      <c r="M148" t="str">
        <f>IFERROR(VLOOKUP(A157,Promo_Pivot!A:C,3,FALSE),"No")</f>
        <v>Yes</v>
      </c>
    </row>
    <row r="149" spans="1:13" x14ac:dyDescent="0.35">
      <c r="A149" t="s">
        <v>1916</v>
      </c>
      <c r="B149" s="2">
        <v>45533</v>
      </c>
      <c r="C149">
        <v>2720</v>
      </c>
      <c r="D149">
        <v>4</v>
      </c>
      <c r="E149">
        <v>59</v>
      </c>
      <c r="F149">
        <v>3</v>
      </c>
      <c r="G149">
        <v>5</v>
      </c>
      <c r="H149">
        <v>4</v>
      </c>
      <c r="I149" t="str">
        <f t="shared" si="4"/>
        <v>354</v>
      </c>
      <c r="J149" t="s">
        <v>2303</v>
      </c>
      <c r="K149" t="s">
        <v>2299</v>
      </c>
      <c r="L149" t="str">
        <f t="shared" si="5"/>
        <v>Moderate Risk</v>
      </c>
      <c r="M149" t="str">
        <f>IFERROR(VLOOKUP(A158,Promo_Pivot!A:C,3,FALSE),"No")</f>
        <v>Yes</v>
      </c>
    </row>
    <row r="150" spans="1:13" x14ac:dyDescent="0.35">
      <c r="A150" t="s">
        <v>1917</v>
      </c>
      <c r="B150" s="2">
        <v>45498</v>
      </c>
      <c r="C150">
        <v>2320</v>
      </c>
      <c r="D150">
        <v>3</v>
      </c>
      <c r="E150">
        <v>94</v>
      </c>
      <c r="F150">
        <v>2</v>
      </c>
      <c r="G150">
        <v>4</v>
      </c>
      <c r="H150">
        <v>3</v>
      </c>
      <c r="I150" t="str">
        <f t="shared" si="4"/>
        <v>243</v>
      </c>
      <c r="J150" t="s">
        <v>2300</v>
      </c>
      <c r="K150" t="s">
        <v>2301</v>
      </c>
      <c r="L150" t="str">
        <f t="shared" si="5"/>
        <v>Very High Risk</v>
      </c>
      <c r="M150" t="str">
        <f>IFERROR(VLOOKUP(A159,Promo_Pivot!A:C,3,FALSE),"No")</f>
        <v>Yes</v>
      </c>
    </row>
    <row r="151" spans="1:13" x14ac:dyDescent="0.35">
      <c r="A151" t="s">
        <v>1918</v>
      </c>
      <c r="B151" s="2">
        <v>45473</v>
      </c>
      <c r="C151">
        <v>4236</v>
      </c>
      <c r="D151">
        <v>5</v>
      </c>
      <c r="E151">
        <v>119</v>
      </c>
      <c r="F151">
        <v>2</v>
      </c>
      <c r="G151">
        <v>5</v>
      </c>
      <c r="H151">
        <v>5</v>
      </c>
      <c r="I151" t="str">
        <f t="shared" si="4"/>
        <v>255</v>
      </c>
      <c r="J151" t="s">
        <v>2300</v>
      </c>
      <c r="K151" t="s">
        <v>2301</v>
      </c>
      <c r="L151" t="str">
        <f t="shared" si="5"/>
        <v>Very High Risk</v>
      </c>
      <c r="M151" t="str">
        <f>IFERROR(VLOOKUP(A160,Promo_Pivot!A:C,3,FALSE),"No")</f>
        <v>Yes</v>
      </c>
    </row>
    <row r="152" spans="1:13" x14ac:dyDescent="0.35">
      <c r="A152" t="s">
        <v>1919</v>
      </c>
      <c r="B152" s="2">
        <v>45469</v>
      </c>
      <c r="C152">
        <v>2937</v>
      </c>
      <c r="D152">
        <v>4</v>
      </c>
      <c r="E152">
        <v>123</v>
      </c>
      <c r="F152">
        <v>2</v>
      </c>
      <c r="G152">
        <v>5</v>
      </c>
      <c r="H152">
        <v>4</v>
      </c>
      <c r="I152" t="str">
        <f t="shared" si="4"/>
        <v>254</v>
      </c>
      <c r="J152" t="s">
        <v>2300</v>
      </c>
      <c r="K152" t="s">
        <v>2301</v>
      </c>
      <c r="L152" t="str">
        <f t="shared" si="5"/>
        <v>Low Risk</v>
      </c>
      <c r="M152" t="str">
        <f>IFERROR(VLOOKUP(A161,Promo_Pivot!A:C,3,FALSE),"No")</f>
        <v>Yes</v>
      </c>
    </row>
    <row r="153" spans="1:13" x14ac:dyDescent="0.35">
      <c r="A153" t="s">
        <v>1920</v>
      </c>
      <c r="B153" s="2">
        <v>45522</v>
      </c>
      <c r="C153">
        <v>4364</v>
      </c>
      <c r="D153">
        <v>4</v>
      </c>
      <c r="E153">
        <v>70</v>
      </c>
      <c r="F153">
        <v>3</v>
      </c>
      <c r="G153">
        <v>5</v>
      </c>
      <c r="H153">
        <v>5</v>
      </c>
      <c r="I153" t="str">
        <f t="shared" si="4"/>
        <v>355</v>
      </c>
      <c r="J153" t="s">
        <v>2303</v>
      </c>
      <c r="K153" t="s">
        <v>2299</v>
      </c>
      <c r="L153" t="str">
        <f t="shared" si="5"/>
        <v>Low Risk</v>
      </c>
      <c r="M153" t="str">
        <f>IFERROR(VLOOKUP(A162,Promo_Pivot!A:C,3,FALSE),"No")</f>
        <v>Yes</v>
      </c>
    </row>
    <row r="154" spans="1:13" x14ac:dyDescent="0.35">
      <c r="A154" t="s">
        <v>1921</v>
      </c>
      <c r="B154" s="2">
        <v>45574</v>
      </c>
      <c r="C154">
        <v>2855</v>
      </c>
      <c r="D154">
        <v>5</v>
      </c>
      <c r="E154">
        <v>18</v>
      </c>
      <c r="F154">
        <v>5</v>
      </c>
      <c r="G154">
        <v>5</v>
      </c>
      <c r="H154">
        <v>4</v>
      </c>
      <c r="I154" t="str">
        <f t="shared" si="4"/>
        <v>554</v>
      </c>
      <c r="J154" t="s">
        <v>2304</v>
      </c>
      <c r="K154" t="s">
        <v>2299</v>
      </c>
      <c r="L154" t="str">
        <f t="shared" si="5"/>
        <v>Moderate Risk</v>
      </c>
      <c r="M154" t="str">
        <f>IFERROR(VLOOKUP(A163,Promo_Pivot!A:C,3,FALSE),"No")</f>
        <v>Yes</v>
      </c>
    </row>
    <row r="155" spans="1:13" x14ac:dyDescent="0.35">
      <c r="A155" t="s">
        <v>1922</v>
      </c>
      <c r="B155" s="2">
        <v>45590</v>
      </c>
      <c r="C155">
        <v>6784</v>
      </c>
      <c r="D155">
        <v>5</v>
      </c>
      <c r="E155">
        <v>2</v>
      </c>
      <c r="F155">
        <v>5</v>
      </c>
      <c r="G155">
        <v>5</v>
      </c>
      <c r="H155">
        <v>5</v>
      </c>
      <c r="I155" t="str">
        <f t="shared" si="4"/>
        <v>555</v>
      </c>
      <c r="J155" t="s">
        <v>2304</v>
      </c>
      <c r="K155" t="s">
        <v>2299</v>
      </c>
      <c r="L155" t="str">
        <f t="shared" si="5"/>
        <v>Low Risk</v>
      </c>
      <c r="M155" t="str">
        <f>IFERROR(VLOOKUP(A164,Promo_Pivot!A:C,3,FALSE),"No")</f>
        <v>Yes</v>
      </c>
    </row>
    <row r="156" spans="1:13" x14ac:dyDescent="0.35">
      <c r="A156" t="s">
        <v>1923</v>
      </c>
      <c r="B156" s="2">
        <v>45489</v>
      </c>
      <c r="C156">
        <v>3192</v>
      </c>
      <c r="D156">
        <v>3</v>
      </c>
      <c r="E156">
        <v>103</v>
      </c>
      <c r="F156">
        <v>2</v>
      </c>
      <c r="G156">
        <v>4</v>
      </c>
      <c r="H156">
        <v>4</v>
      </c>
      <c r="I156" t="str">
        <f t="shared" si="4"/>
        <v>244</v>
      </c>
      <c r="J156" t="s">
        <v>2300</v>
      </c>
      <c r="K156" t="s">
        <v>2301</v>
      </c>
      <c r="L156" t="str">
        <f t="shared" si="5"/>
        <v>Very High Risk</v>
      </c>
      <c r="M156" t="str">
        <f>IFERROR(VLOOKUP(A165,Promo_Pivot!A:C,3,FALSE),"No")</f>
        <v>Yes</v>
      </c>
    </row>
    <row r="157" spans="1:13" x14ac:dyDescent="0.35">
      <c r="A157" t="s">
        <v>1924</v>
      </c>
      <c r="B157" s="2">
        <v>45577</v>
      </c>
      <c r="C157">
        <v>5912</v>
      </c>
      <c r="D157">
        <v>5</v>
      </c>
      <c r="E157">
        <v>15</v>
      </c>
      <c r="F157">
        <v>5</v>
      </c>
      <c r="G157">
        <v>5</v>
      </c>
      <c r="H157">
        <v>5</v>
      </c>
      <c r="I157" t="str">
        <f t="shared" si="4"/>
        <v>555</v>
      </c>
      <c r="J157" t="s">
        <v>2304</v>
      </c>
      <c r="K157" t="s">
        <v>2299</v>
      </c>
      <c r="L157" t="str">
        <f t="shared" si="5"/>
        <v>Moderate Risk</v>
      </c>
      <c r="M157" t="str">
        <f>IFERROR(VLOOKUP(A166,Promo_Pivot!A:C,3,FALSE),"No")</f>
        <v>Yes</v>
      </c>
    </row>
    <row r="158" spans="1:13" x14ac:dyDescent="0.35">
      <c r="A158" t="s">
        <v>1709</v>
      </c>
      <c r="B158" s="2">
        <v>45409</v>
      </c>
      <c r="C158">
        <v>1792</v>
      </c>
      <c r="D158">
        <v>1</v>
      </c>
      <c r="E158">
        <v>183</v>
      </c>
      <c r="F158">
        <v>1</v>
      </c>
      <c r="G158">
        <v>2</v>
      </c>
      <c r="H158">
        <v>3</v>
      </c>
      <c r="I158" t="str">
        <f t="shared" si="4"/>
        <v>123</v>
      </c>
      <c r="J158" t="s">
        <v>2300</v>
      </c>
      <c r="K158" t="s">
        <v>2301</v>
      </c>
      <c r="L158" t="str">
        <f t="shared" si="5"/>
        <v>Critical Risk</v>
      </c>
      <c r="M158" t="str">
        <f>IFERROR(VLOOKUP(A167,Promo_Pivot!A:C,3,FALSE),"No")</f>
        <v>Yes</v>
      </c>
    </row>
    <row r="159" spans="1:13" x14ac:dyDescent="0.35">
      <c r="A159" t="s">
        <v>1925</v>
      </c>
      <c r="B159" s="2">
        <v>45517</v>
      </c>
      <c r="C159">
        <v>6100</v>
      </c>
      <c r="D159">
        <v>5</v>
      </c>
      <c r="E159">
        <v>75</v>
      </c>
      <c r="F159">
        <v>3</v>
      </c>
      <c r="G159">
        <v>5</v>
      </c>
      <c r="H159">
        <v>5</v>
      </c>
      <c r="I159" t="str">
        <f t="shared" si="4"/>
        <v>355</v>
      </c>
      <c r="J159" t="s">
        <v>2303</v>
      </c>
      <c r="K159" t="s">
        <v>2299</v>
      </c>
      <c r="L159" t="str">
        <f t="shared" si="5"/>
        <v>High Risk</v>
      </c>
      <c r="M159" t="str">
        <f>IFERROR(VLOOKUP(A168,Promo_Pivot!A:C,3,FALSE),"No")</f>
        <v>Yes</v>
      </c>
    </row>
    <row r="160" spans="1:13" x14ac:dyDescent="0.35">
      <c r="A160" t="s">
        <v>1926</v>
      </c>
      <c r="B160" s="2">
        <v>45539</v>
      </c>
      <c r="C160">
        <v>2764</v>
      </c>
      <c r="D160">
        <v>2</v>
      </c>
      <c r="E160">
        <v>53</v>
      </c>
      <c r="F160">
        <v>4</v>
      </c>
      <c r="G160">
        <v>3</v>
      </c>
      <c r="H160">
        <v>4</v>
      </c>
      <c r="I160" t="str">
        <f t="shared" si="4"/>
        <v>434</v>
      </c>
      <c r="J160" t="s">
        <v>2303</v>
      </c>
      <c r="K160" t="s">
        <v>2299</v>
      </c>
      <c r="L160" t="str">
        <f t="shared" si="5"/>
        <v>Moderate Risk</v>
      </c>
      <c r="M160" t="str">
        <f>IFERROR(VLOOKUP(A169,Promo_Pivot!A:C,3,FALSE),"No")</f>
        <v>Yes</v>
      </c>
    </row>
    <row r="161" spans="1:13" x14ac:dyDescent="0.35">
      <c r="A161" t="s">
        <v>1927</v>
      </c>
      <c r="B161" s="2">
        <v>45467</v>
      </c>
      <c r="C161">
        <v>1896</v>
      </c>
      <c r="D161">
        <v>4</v>
      </c>
      <c r="E161">
        <v>125</v>
      </c>
      <c r="F161">
        <v>2</v>
      </c>
      <c r="G161">
        <v>5</v>
      </c>
      <c r="H161">
        <v>3</v>
      </c>
      <c r="I161" t="str">
        <f t="shared" si="4"/>
        <v>253</v>
      </c>
      <c r="J161" t="s">
        <v>2300</v>
      </c>
      <c r="K161" t="s">
        <v>2301</v>
      </c>
      <c r="L161" t="str">
        <f t="shared" si="5"/>
        <v>Low Risk</v>
      </c>
      <c r="M161" t="str">
        <f>IFERROR(VLOOKUP(A170,Promo_Pivot!A:C,3,FALSE),"No")</f>
        <v>Yes</v>
      </c>
    </row>
    <row r="162" spans="1:13" x14ac:dyDescent="0.35">
      <c r="A162" t="s">
        <v>1928</v>
      </c>
      <c r="B162" s="2">
        <v>45538</v>
      </c>
      <c r="C162">
        <v>3711</v>
      </c>
      <c r="D162">
        <v>4</v>
      </c>
      <c r="E162">
        <v>54</v>
      </c>
      <c r="F162">
        <v>3</v>
      </c>
      <c r="G162">
        <v>5</v>
      </c>
      <c r="H162">
        <v>5</v>
      </c>
      <c r="I162" t="str">
        <f t="shared" si="4"/>
        <v>355</v>
      </c>
      <c r="J162" t="s">
        <v>2303</v>
      </c>
      <c r="K162" t="s">
        <v>2299</v>
      </c>
      <c r="L162" t="str">
        <f t="shared" si="5"/>
        <v>Moderate Risk</v>
      </c>
      <c r="M162" t="str">
        <f>IFERROR(VLOOKUP(A171,Promo_Pivot!A:C,3,FALSE),"No")</f>
        <v>Yes</v>
      </c>
    </row>
    <row r="163" spans="1:13" x14ac:dyDescent="0.35">
      <c r="A163" t="s">
        <v>1929</v>
      </c>
      <c r="B163" s="2">
        <v>45567</v>
      </c>
      <c r="C163">
        <v>1860</v>
      </c>
      <c r="D163">
        <v>3</v>
      </c>
      <c r="E163">
        <v>25</v>
      </c>
      <c r="F163">
        <v>5</v>
      </c>
      <c r="G163">
        <v>4</v>
      </c>
      <c r="H163">
        <v>3</v>
      </c>
      <c r="I163" t="str">
        <f t="shared" si="4"/>
        <v>543</v>
      </c>
      <c r="J163" t="s">
        <v>2303</v>
      </c>
      <c r="K163" t="s">
        <v>2299</v>
      </c>
      <c r="L163" t="str">
        <f t="shared" si="5"/>
        <v>Moderate Risk</v>
      </c>
      <c r="M163" t="str">
        <f>IFERROR(VLOOKUP(A172,Promo_Pivot!A:C,3,FALSE),"No")</f>
        <v>Yes</v>
      </c>
    </row>
    <row r="164" spans="1:13" x14ac:dyDescent="0.35">
      <c r="A164" t="s">
        <v>1930</v>
      </c>
      <c r="B164" s="2">
        <v>45547</v>
      </c>
      <c r="C164">
        <v>4502</v>
      </c>
      <c r="D164">
        <v>5</v>
      </c>
      <c r="E164">
        <v>45</v>
      </c>
      <c r="F164">
        <v>4</v>
      </c>
      <c r="G164">
        <v>5</v>
      </c>
      <c r="H164">
        <v>5</v>
      </c>
      <c r="I164" t="str">
        <f t="shared" si="4"/>
        <v>455</v>
      </c>
      <c r="J164" t="s">
        <v>2304</v>
      </c>
      <c r="K164" t="s">
        <v>2299</v>
      </c>
      <c r="L164" t="str">
        <f t="shared" si="5"/>
        <v>Moderate Risk</v>
      </c>
      <c r="M164" t="str">
        <f>IFERROR(VLOOKUP(A173,Promo_Pivot!A:C,3,FALSE),"No")</f>
        <v>Yes</v>
      </c>
    </row>
    <row r="165" spans="1:13" x14ac:dyDescent="0.35">
      <c r="A165" t="s">
        <v>1931</v>
      </c>
      <c r="B165" s="2">
        <v>45509</v>
      </c>
      <c r="C165">
        <v>2597</v>
      </c>
      <c r="D165">
        <v>3</v>
      </c>
      <c r="E165">
        <v>83</v>
      </c>
      <c r="F165">
        <v>3</v>
      </c>
      <c r="G165">
        <v>4</v>
      </c>
      <c r="H165">
        <v>4</v>
      </c>
      <c r="I165" t="str">
        <f t="shared" si="4"/>
        <v>344</v>
      </c>
      <c r="J165" t="s">
        <v>2303</v>
      </c>
      <c r="K165" t="s">
        <v>2299</v>
      </c>
      <c r="L165" t="str">
        <f t="shared" si="5"/>
        <v>High Risk</v>
      </c>
      <c r="M165" t="str">
        <f>IFERROR(VLOOKUP(A174,Promo_Pivot!A:C,3,FALSE),"No")</f>
        <v>Yes</v>
      </c>
    </row>
    <row r="166" spans="1:13" x14ac:dyDescent="0.35">
      <c r="A166" t="s">
        <v>1932</v>
      </c>
      <c r="B166" s="2">
        <v>45520</v>
      </c>
      <c r="C166">
        <v>5839</v>
      </c>
      <c r="D166">
        <v>5</v>
      </c>
      <c r="E166">
        <v>72</v>
      </c>
      <c r="F166">
        <v>3</v>
      </c>
      <c r="G166">
        <v>5</v>
      </c>
      <c r="H166">
        <v>5</v>
      </c>
      <c r="I166" t="str">
        <f t="shared" si="4"/>
        <v>355</v>
      </c>
      <c r="J166" t="s">
        <v>2303</v>
      </c>
      <c r="K166" t="s">
        <v>2299</v>
      </c>
      <c r="L166" t="str">
        <f t="shared" si="5"/>
        <v>High Risk</v>
      </c>
      <c r="M166" t="str">
        <f>IFERROR(VLOOKUP(A175,Promo_Pivot!A:C,3,FALSE),"No")</f>
        <v>Yes</v>
      </c>
    </row>
    <row r="167" spans="1:13" x14ac:dyDescent="0.35">
      <c r="A167" t="s">
        <v>1933</v>
      </c>
      <c r="B167" s="2">
        <v>45523</v>
      </c>
      <c r="C167">
        <v>2758</v>
      </c>
      <c r="D167">
        <v>4</v>
      </c>
      <c r="E167">
        <v>69</v>
      </c>
      <c r="F167">
        <v>3</v>
      </c>
      <c r="G167">
        <v>5</v>
      </c>
      <c r="H167">
        <v>4</v>
      </c>
      <c r="I167" t="str">
        <f t="shared" si="4"/>
        <v>354</v>
      </c>
      <c r="J167" t="s">
        <v>2303</v>
      </c>
      <c r="K167" t="s">
        <v>2299</v>
      </c>
      <c r="L167" t="str">
        <f t="shared" si="5"/>
        <v>High Risk</v>
      </c>
      <c r="M167" t="str">
        <f>IFERROR(VLOOKUP(A176,Promo_Pivot!A:C,3,FALSE),"No")</f>
        <v>Yes</v>
      </c>
    </row>
    <row r="168" spans="1:13" x14ac:dyDescent="0.35">
      <c r="A168" t="s">
        <v>1934</v>
      </c>
      <c r="B168" s="2">
        <v>45444</v>
      </c>
      <c r="C168">
        <v>1224</v>
      </c>
      <c r="D168">
        <v>2</v>
      </c>
      <c r="E168">
        <v>148</v>
      </c>
      <c r="F168">
        <v>2</v>
      </c>
      <c r="G168">
        <v>3</v>
      </c>
      <c r="H168">
        <v>2</v>
      </c>
      <c r="I168" t="str">
        <f t="shared" si="4"/>
        <v>232</v>
      </c>
      <c r="J168" t="s">
        <v>2300</v>
      </c>
      <c r="K168" t="s">
        <v>2301</v>
      </c>
      <c r="L168" t="str">
        <f t="shared" si="5"/>
        <v>Low Risk</v>
      </c>
      <c r="M168" t="str">
        <f>IFERROR(VLOOKUP(A177,Promo_Pivot!A:C,3,FALSE),"No")</f>
        <v>Yes</v>
      </c>
    </row>
    <row r="169" spans="1:13" x14ac:dyDescent="0.35">
      <c r="A169" t="s">
        <v>1710</v>
      </c>
      <c r="B169" s="2">
        <v>45451</v>
      </c>
      <c r="C169">
        <v>740</v>
      </c>
      <c r="D169">
        <v>1</v>
      </c>
      <c r="E169">
        <v>141</v>
      </c>
      <c r="F169">
        <v>2</v>
      </c>
      <c r="G169">
        <v>2</v>
      </c>
      <c r="H169">
        <v>1</v>
      </c>
      <c r="I169" t="str">
        <f t="shared" si="4"/>
        <v>221</v>
      </c>
      <c r="J169" t="s">
        <v>2300</v>
      </c>
      <c r="K169" t="s">
        <v>2301</v>
      </c>
      <c r="L169" t="str">
        <f t="shared" si="5"/>
        <v>Very High Risk</v>
      </c>
      <c r="M169" t="str">
        <f>IFERROR(VLOOKUP(A178,Promo_Pivot!A:C,3,FALSE),"No")</f>
        <v>Yes</v>
      </c>
    </row>
    <row r="170" spans="1:13" x14ac:dyDescent="0.35">
      <c r="A170" t="s">
        <v>1935</v>
      </c>
      <c r="B170" s="2">
        <v>45588</v>
      </c>
      <c r="C170">
        <v>544</v>
      </c>
      <c r="D170">
        <v>3</v>
      </c>
      <c r="E170">
        <v>4</v>
      </c>
      <c r="F170">
        <v>5</v>
      </c>
      <c r="G170">
        <v>4</v>
      </c>
      <c r="H170">
        <v>1</v>
      </c>
      <c r="I170" t="str">
        <f t="shared" si="4"/>
        <v>541</v>
      </c>
      <c r="J170" t="s">
        <v>2298</v>
      </c>
      <c r="K170" t="s">
        <v>2299</v>
      </c>
      <c r="L170" t="str">
        <f t="shared" si="5"/>
        <v>Moderate Risk</v>
      </c>
      <c r="M170" t="str">
        <f>IFERROR(VLOOKUP(A179,Promo_Pivot!A:C,3,FALSE),"No")</f>
        <v>Yes</v>
      </c>
    </row>
    <row r="171" spans="1:13" x14ac:dyDescent="0.35">
      <c r="A171" t="s">
        <v>1936</v>
      </c>
      <c r="B171" s="2">
        <v>45491</v>
      </c>
      <c r="C171">
        <v>1987</v>
      </c>
      <c r="D171">
        <v>3</v>
      </c>
      <c r="E171">
        <v>101</v>
      </c>
      <c r="F171">
        <v>2</v>
      </c>
      <c r="G171">
        <v>4</v>
      </c>
      <c r="H171">
        <v>3</v>
      </c>
      <c r="I171" t="str">
        <f t="shared" si="4"/>
        <v>243</v>
      </c>
      <c r="J171" t="s">
        <v>2300</v>
      </c>
      <c r="K171" t="s">
        <v>2301</v>
      </c>
      <c r="L171" t="str">
        <f t="shared" si="5"/>
        <v>Low Risk</v>
      </c>
      <c r="M171" t="str">
        <f>IFERROR(VLOOKUP(A180,Promo_Pivot!A:C,3,FALSE),"No")</f>
        <v>Yes</v>
      </c>
    </row>
    <row r="172" spans="1:13" x14ac:dyDescent="0.35">
      <c r="A172" t="s">
        <v>1937</v>
      </c>
      <c r="B172" s="2">
        <v>45341</v>
      </c>
      <c r="C172">
        <v>1291</v>
      </c>
      <c r="D172">
        <v>2</v>
      </c>
      <c r="E172">
        <v>251</v>
      </c>
      <c r="F172">
        <v>1</v>
      </c>
      <c r="G172">
        <v>3</v>
      </c>
      <c r="H172">
        <v>2</v>
      </c>
      <c r="I172" t="str">
        <f t="shared" si="4"/>
        <v>132</v>
      </c>
      <c r="J172" t="s">
        <v>2300</v>
      </c>
      <c r="K172" t="s">
        <v>2301</v>
      </c>
      <c r="L172" t="str">
        <f t="shared" si="5"/>
        <v>Critical Risk</v>
      </c>
      <c r="M172" t="str">
        <f>IFERROR(VLOOKUP(A181,Promo_Pivot!A:C,3,FALSE),"No")</f>
        <v>Yes</v>
      </c>
    </row>
    <row r="173" spans="1:13" x14ac:dyDescent="0.35">
      <c r="A173" t="s">
        <v>1938</v>
      </c>
      <c r="B173" s="2">
        <v>45591</v>
      </c>
      <c r="C173">
        <v>2768</v>
      </c>
      <c r="D173">
        <v>4</v>
      </c>
      <c r="E173">
        <v>1</v>
      </c>
      <c r="F173">
        <v>5</v>
      </c>
      <c r="G173">
        <v>5</v>
      </c>
      <c r="H173">
        <v>4</v>
      </c>
      <c r="I173" t="str">
        <f t="shared" si="4"/>
        <v>554</v>
      </c>
      <c r="J173" t="s">
        <v>2304</v>
      </c>
      <c r="K173" t="s">
        <v>2299</v>
      </c>
      <c r="L173" t="str">
        <f t="shared" si="5"/>
        <v>Moderate Risk</v>
      </c>
      <c r="M173" t="str">
        <f>IFERROR(VLOOKUP(A182,Promo_Pivot!A:C,3,FALSE),"No")</f>
        <v>Yes</v>
      </c>
    </row>
    <row r="174" spans="1:13" x14ac:dyDescent="0.35">
      <c r="A174" t="s">
        <v>1939</v>
      </c>
      <c r="B174" s="2">
        <v>45554</v>
      </c>
      <c r="C174">
        <v>2544</v>
      </c>
      <c r="D174">
        <v>4</v>
      </c>
      <c r="E174">
        <v>38</v>
      </c>
      <c r="F174">
        <v>4</v>
      </c>
      <c r="G174">
        <v>5</v>
      </c>
      <c r="H174">
        <v>3</v>
      </c>
      <c r="I174" t="str">
        <f t="shared" si="4"/>
        <v>453</v>
      </c>
      <c r="J174" t="s">
        <v>2303</v>
      </c>
      <c r="K174" t="s">
        <v>2299</v>
      </c>
      <c r="L174" t="str">
        <f t="shared" si="5"/>
        <v>Moderate Risk</v>
      </c>
      <c r="M174" t="str">
        <f>IFERROR(VLOOKUP(A183,Promo_Pivot!A:C,3,FALSE),"No")</f>
        <v>Yes</v>
      </c>
    </row>
    <row r="175" spans="1:13" x14ac:dyDescent="0.35">
      <c r="A175" t="s">
        <v>1940</v>
      </c>
      <c r="B175" s="2">
        <v>45557</v>
      </c>
      <c r="C175">
        <v>4267</v>
      </c>
      <c r="D175">
        <v>5</v>
      </c>
      <c r="E175">
        <v>35</v>
      </c>
      <c r="F175">
        <v>4</v>
      </c>
      <c r="G175">
        <v>5</v>
      </c>
      <c r="H175">
        <v>5</v>
      </c>
      <c r="I175" t="str">
        <f t="shared" si="4"/>
        <v>455</v>
      </c>
      <c r="J175" t="s">
        <v>2304</v>
      </c>
      <c r="K175" t="s">
        <v>2299</v>
      </c>
      <c r="L175" t="str">
        <f t="shared" si="5"/>
        <v>Low Risk</v>
      </c>
      <c r="M175" t="str">
        <f>IFERROR(VLOOKUP(A184,Promo_Pivot!A:C,3,FALSE),"No")</f>
        <v>Yes</v>
      </c>
    </row>
    <row r="176" spans="1:13" x14ac:dyDescent="0.35">
      <c r="A176" t="s">
        <v>1941</v>
      </c>
      <c r="B176" s="2">
        <v>45504</v>
      </c>
      <c r="C176">
        <v>2293</v>
      </c>
      <c r="D176">
        <v>2</v>
      </c>
      <c r="E176">
        <v>88</v>
      </c>
      <c r="F176">
        <v>3</v>
      </c>
      <c r="G176">
        <v>3</v>
      </c>
      <c r="H176">
        <v>3</v>
      </c>
      <c r="I176" t="str">
        <f t="shared" si="4"/>
        <v>333</v>
      </c>
      <c r="J176" t="s">
        <v>2303</v>
      </c>
      <c r="K176" t="s">
        <v>2299</v>
      </c>
      <c r="L176" t="str">
        <f t="shared" si="5"/>
        <v>High Risk</v>
      </c>
      <c r="M176" t="str">
        <f>IFERROR(VLOOKUP(A185,Promo_Pivot!A:C,3,FALSE),"No")</f>
        <v>Yes</v>
      </c>
    </row>
    <row r="177" spans="1:13" x14ac:dyDescent="0.35">
      <c r="A177" t="s">
        <v>1942</v>
      </c>
      <c r="B177" s="2">
        <v>45577</v>
      </c>
      <c r="C177">
        <v>2648</v>
      </c>
      <c r="D177">
        <v>5</v>
      </c>
      <c r="E177">
        <v>15</v>
      </c>
      <c r="F177">
        <v>5</v>
      </c>
      <c r="G177">
        <v>5</v>
      </c>
      <c r="H177">
        <v>4</v>
      </c>
      <c r="I177" t="str">
        <f t="shared" si="4"/>
        <v>554</v>
      </c>
      <c r="J177" t="s">
        <v>2304</v>
      </c>
      <c r="K177" t="s">
        <v>2299</v>
      </c>
      <c r="L177" t="str">
        <f t="shared" si="5"/>
        <v>Low Risk</v>
      </c>
      <c r="M177" t="str">
        <f>IFERROR(VLOOKUP(A186,Promo_Pivot!A:C,3,FALSE),"No")</f>
        <v>Yes</v>
      </c>
    </row>
    <row r="178" spans="1:13" x14ac:dyDescent="0.35">
      <c r="A178" t="s">
        <v>1943</v>
      </c>
      <c r="B178" s="2">
        <v>45456</v>
      </c>
      <c r="C178">
        <v>748</v>
      </c>
      <c r="D178">
        <v>2</v>
      </c>
      <c r="E178">
        <v>136</v>
      </c>
      <c r="F178">
        <v>2</v>
      </c>
      <c r="G178">
        <v>3</v>
      </c>
      <c r="H178">
        <v>1</v>
      </c>
      <c r="I178" t="str">
        <f t="shared" si="4"/>
        <v>231</v>
      </c>
      <c r="J178" t="s">
        <v>2300</v>
      </c>
      <c r="K178" t="s">
        <v>2301</v>
      </c>
      <c r="L178" t="str">
        <f t="shared" si="5"/>
        <v>Very High Risk</v>
      </c>
      <c r="M178" t="str">
        <f>IFERROR(VLOOKUP(A187,Promo_Pivot!A:C,3,FALSE),"No")</f>
        <v>Yes</v>
      </c>
    </row>
    <row r="179" spans="1:13" x14ac:dyDescent="0.35">
      <c r="A179" t="s">
        <v>1944</v>
      </c>
      <c r="B179" s="2">
        <v>45569</v>
      </c>
      <c r="C179">
        <v>4137</v>
      </c>
      <c r="D179">
        <v>5</v>
      </c>
      <c r="E179">
        <v>23</v>
      </c>
      <c r="F179">
        <v>5</v>
      </c>
      <c r="G179">
        <v>5</v>
      </c>
      <c r="H179">
        <v>5</v>
      </c>
      <c r="I179" t="str">
        <f t="shared" si="4"/>
        <v>555</v>
      </c>
      <c r="J179" t="s">
        <v>2304</v>
      </c>
      <c r="K179" t="s">
        <v>2299</v>
      </c>
      <c r="L179" t="str">
        <f t="shared" si="5"/>
        <v>Low Risk</v>
      </c>
      <c r="M179" t="str">
        <f>IFERROR(VLOOKUP(A188,Promo_Pivot!A:C,3,FALSE),"No")</f>
        <v>Yes</v>
      </c>
    </row>
    <row r="180" spans="1:13" x14ac:dyDescent="0.35">
      <c r="A180" t="s">
        <v>1711</v>
      </c>
      <c r="B180" s="2">
        <v>45464</v>
      </c>
      <c r="C180">
        <v>1345</v>
      </c>
      <c r="D180">
        <v>1</v>
      </c>
      <c r="E180">
        <v>128</v>
      </c>
      <c r="F180">
        <v>2</v>
      </c>
      <c r="G180">
        <v>2</v>
      </c>
      <c r="H180">
        <v>2</v>
      </c>
      <c r="I180" t="str">
        <f t="shared" si="4"/>
        <v>222</v>
      </c>
      <c r="J180" t="s">
        <v>2300</v>
      </c>
      <c r="K180" t="s">
        <v>2301</v>
      </c>
      <c r="L180" t="str">
        <f t="shared" si="5"/>
        <v>Very High Risk</v>
      </c>
      <c r="M180" t="str">
        <f>IFERROR(VLOOKUP(A189,Promo_Pivot!A:C,3,FALSE),"No")</f>
        <v>Yes</v>
      </c>
    </row>
    <row r="181" spans="1:13" x14ac:dyDescent="0.35">
      <c r="A181" t="s">
        <v>1945</v>
      </c>
      <c r="B181" s="2">
        <v>45568</v>
      </c>
      <c r="C181">
        <v>2591</v>
      </c>
      <c r="D181">
        <v>4</v>
      </c>
      <c r="E181">
        <v>24</v>
      </c>
      <c r="F181">
        <v>5</v>
      </c>
      <c r="G181">
        <v>5</v>
      </c>
      <c r="H181">
        <v>4</v>
      </c>
      <c r="I181" t="str">
        <f t="shared" si="4"/>
        <v>554</v>
      </c>
      <c r="J181" t="s">
        <v>2304</v>
      </c>
      <c r="K181" t="s">
        <v>2299</v>
      </c>
      <c r="L181" t="str">
        <f t="shared" si="5"/>
        <v>Low Risk</v>
      </c>
      <c r="M181" t="str">
        <f>IFERROR(VLOOKUP(A190,Promo_Pivot!A:C,3,FALSE),"No")</f>
        <v>Yes</v>
      </c>
    </row>
    <row r="182" spans="1:13" x14ac:dyDescent="0.35">
      <c r="A182" t="s">
        <v>1946</v>
      </c>
      <c r="B182" s="2">
        <v>45560</v>
      </c>
      <c r="C182">
        <v>2469</v>
      </c>
      <c r="D182">
        <v>2</v>
      </c>
      <c r="E182">
        <v>32</v>
      </c>
      <c r="F182">
        <v>4</v>
      </c>
      <c r="G182">
        <v>3</v>
      </c>
      <c r="H182">
        <v>3</v>
      </c>
      <c r="I182" t="str">
        <f t="shared" si="4"/>
        <v>433</v>
      </c>
      <c r="J182" t="s">
        <v>2303</v>
      </c>
      <c r="K182" t="s">
        <v>2299</v>
      </c>
      <c r="L182" t="str">
        <f t="shared" si="5"/>
        <v>Moderate Risk</v>
      </c>
      <c r="M182" t="str">
        <f>IFERROR(VLOOKUP(A191,Promo_Pivot!A:C,3,FALSE),"No")</f>
        <v>Yes</v>
      </c>
    </row>
    <row r="183" spans="1:13" x14ac:dyDescent="0.35">
      <c r="A183" t="s">
        <v>1947</v>
      </c>
      <c r="B183" s="2">
        <v>45576</v>
      </c>
      <c r="C183">
        <v>1951</v>
      </c>
      <c r="D183">
        <v>4</v>
      </c>
      <c r="E183">
        <v>16</v>
      </c>
      <c r="F183">
        <v>5</v>
      </c>
      <c r="G183">
        <v>5</v>
      </c>
      <c r="H183">
        <v>3</v>
      </c>
      <c r="I183" t="str">
        <f t="shared" si="4"/>
        <v>553</v>
      </c>
      <c r="J183" t="s">
        <v>2303</v>
      </c>
      <c r="K183" t="s">
        <v>2299</v>
      </c>
      <c r="L183" t="str">
        <f t="shared" si="5"/>
        <v>Moderate Risk</v>
      </c>
      <c r="M183" t="str">
        <f>IFERROR(VLOOKUP(A192,Promo_Pivot!A:C,3,FALSE),"No")</f>
        <v>Yes</v>
      </c>
    </row>
    <row r="184" spans="1:13" x14ac:dyDescent="0.35">
      <c r="A184" t="s">
        <v>1948</v>
      </c>
      <c r="B184" s="2">
        <v>45495</v>
      </c>
      <c r="C184">
        <v>5736</v>
      </c>
      <c r="D184">
        <v>4</v>
      </c>
      <c r="E184">
        <v>97</v>
      </c>
      <c r="F184">
        <v>2</v>
      </c>
      <c r="G184">
        <v>5</v>
      </c>
      <c r="H184">
        <v>5</v>
      </c>
      <c r="I184" t="str">
        <f t="shared" si="4"/>
        <v>255</v>
      </c>
      <c r="J184" t="s">
        <v>2300</v>
      </c>
      <c r="K184" t="s">
        <v>2301</v>
      </c>
      <c r="L184" t="str">
        <f t="shared" si="5"/>
        <v>Very High Risk</v>
      </c>
      <c r="M184" t="str">
        <f>IFERROR(VLOOKUP(A193,Promo_Pivot!A:C,3,FALSE),"No")</f>
        <v>Yes</v>
      </c>
    </row>
    <row r="185" spans="1:13" x14ac:dyDescent="0.35">
      <c r="A185" t="s">
        <v>1949</v>
      </c>
      <c r="B185" s="2">
        <v>45481</v>
      </c>
      <c r="C185">
        <v>1095</v>
      </c>
      <c r="D185">
        <v>2</v>
      </c>
      <c r="E185">
        <v>111</v>
      </c>
      <c r="F185">
        <v>2</v>
      </c>
      <c r="G185">
        <v>3</v>
      </c>
      <c r="H185">
        <v>2</v>
      </c>
      <c r="I185" t="str">
        <f t="shared" si="4"/>
        <v>232</v>
      </c>
      <c r="J185" t="s">
        <v>2300</v>
      </c>
      <c r="K185" t="s">
        <v>2301</v>
      </c>
      <c r="L185" t="str">
        <f t="shared" si="5"/>
        <v>Very High Risk</v>
      </c>
      <c r="M185" t="str">
        <f>IFERROR(VLOOKUP(A194,Promo_Pivot!A:C,3,FALSE),"No")</f>
        <v>Yes</v>
      </c>
    </row>
    <row r="186" spans="1:13" x14ac:dyDescent="0.35">
      <c r="A186" t="s">
        <v>1950</v>
      </c>
      <c r="B186" s="2">
        <v>45495</v>
      </c>
      <c r="C186">
        <v>2977</v>
      </c>
      <c r="D186">
        <v>3</v>
      </c>
      <c r="E186">
        <v>97</v>
      </c>
      <c r="F186">
        <v>2</v>
      </c>
      <c r="G186">
        <v>4</v>
      </c>
      <c r="H186">
        <v>4</v>
      </c>
      <c r="I186" t="str">
        <f t="shared" si="4"/>
        <v>244</v>
      </c>
      <c r="J186" t="s">
        <v>2300</v>
      </c>
      <c r="K186" t="s">
        <v>2301</v>
      </c>
      <c r="L186" t="str">
        <f t="shared" si="5"/>
        <v>Very High Risk</v>
      </c>
      <c r="M186" t="str">
        <f>IFERROR(VLOOKUP(A195,Promo_Pivot!A:C,3,FALSE),"No")</f>
        <v>Yes</v>
      </c>
    </row>
    <row r="187" spans="1:13" x14ac:dyDescent="0.35">
      <c r="A187" t="s">
        <v>1951</v>
      </c>
      <c r="B187" s="2">
        <v>45446</v>
      </c>
      <c r="C187">
        <v>3591</v>
      </c>
      <c r="D187">
        <v>3</v>
      </c>
      <c r="E187">
        <v>146</v>
      </c>
      <c r="F187">
        <v>2</v>
      </c>
      <c r="G187">
        <v>4</v>
      </c>
      <c r="H187">
        <v>4</v>
      </c>
      <c r="I187" t="str">
        <f t="shared" si="4"/>
        <v>244</v>
      </c>
      <c r="J187" t="s">
        <v>2300</v>
      </c>
      <c r="K187" t="s">
        <v>2301</v>
      </c>
      <c r="L187" t="str">
        <f t="shared" si="5"/>
        <v>Very High Risk</v>
      </c>
      <c r="M187" t="str">
        <f>IFERROR(VLOOKUP(A196,Promo_Pivot!A:C,3,FALSE),"No")</f>
        <v>Yes</v>
      </c>
    </row>
    <row r="188" spans="1:13" x14ac:dyDescent="0.35">
      <c r="A188" t="s">
        <v>1952</v>
      </c>
      <c r="B188" s="2">
        <v>45523</v>
      </c>
      <c r="C188">
        <v>3127</v>
      </c>
      <c r="D188">
        <v>4</v>
      </c>
      <c r="E188">
        <v>69</v>
      </c>
      <c r="F188">
        <v>3</v>
      </c>
      <c r="G188">
        <v>5</v>
      </c>
      <c r="H188">
        <v>4</v>
      </c>
      <c r="I188" t="str">
        <f t="shared" si="4"/>
        <v>354</v>
      </c>
      <c r="J188" t="s">
        <v>2303</v>
      </c>
      <c r="K188" t="s">
        <v>2299</v>
      </c>
      <c r="L188" t="str">
        <f t="shared" si="5"/>
        <v>High Risk</v>
      </c>
      <c r="M188" t="str">
        <f>IFERROR(VLOOKUP(A197,Promo_Pivot!A:C,3,FALSE),"No")</f>
        <v>Yes</v>
      </c>
    </row>
    <row r="189" spans="1:13" x14ac:dyDescent="0.35">
      <c r="A189" t="s">
        <v>1953</v>
      </c>
      <c r="B189" s="2">
        <v>45399</v>
      </c>
      <c r="C189">
        <v>1106</v>
      </c>
      <c r="D189">
        <v>2</v>
      </c>
      <c r="E189">
        <v>193</v>
      </c>
      <c r="F189">
        <v>1</v>
      </c>
      <c r="G189">
        <v>3</v>
      </c>
      <c r="H189">
        <v>2</v>
      </c>
      <c r="I189" t="str">
        <f t="shared" si="4"/>
        <v>132</v>
      </c>
      <c r="J189" t="s">
        <v>2300</v>
      </c>
      <c r="K189" t="s">
        <v>2301</v>
      </c>
      <c r="L189" t="str">
        <f t="shared" si="5"/>
        <v>Critical Risk</v>
      </c>
      <c r="M189" t="str">
        <f>IFERROR(VLOOKUP(A198,Promo_Pivot!A:C,3,FALSE),"No")</f>
        <v>Yes</v>
      </c>
    </row>
    <row r="190" spans="1:13" x14ac:dyDescent="0.35">
      <c r="A190" t="s">
        <v>1954</v>
      </c>
      <c r="B190" s="2">
        <v>45558</v>
      </c>
      <c r="C190">
        <v>867</v>
      </c>
      <c r="D190">
        <v>2</v>
      </c>
      <c r="E190">
        <v>34</v>
      </c>
      <c r="F190">
        <v>4</v>
      </c>
      <c r="G190">
        <v>3</v>
      </c>
      <c r="H190">
        <v>2</v>
      </c>
      <c r="I190" t="str">
        <f t="shared" si="4"/>
        <v>432</v>
      </c>
      <c r="J190" t="s">
        <v>2298</v>
      </c>
      <c r="K190" t="s">
        <v>2299</v>
      </c>
      <c r="L190" t="str">
        <f t="shared" si="5"/>
        <v>Moderate Risk</v>
      </c>
      <c r="M190" t="str">
        <f>IFERROR(VLOOKUP(A199,Promo_Pivot!A:C,3,FALSE),"No")</f>
        <v>Yes</v>
      </c>
    </row>
    <row r="191" spans="1:13" x14ac:dyDescent="0.35">
      <c r="A191" t="s">
        <v>1712</v>
      </c>
      <c r="B191" s="2">
        <v>45319</v>
      </c>
      <c r="C191">
        <v>471</v>
      </c>
      <c r="D191">
        <v>1</v>
      </c>
      <c r="E191">
        <v>273</v>
      </c>
      <c r="F191">
        <v>1</v>
      </c>
      <c r="G191">
        <v>2</v>
      </c>
      <c r="H191">
        <v>1</v>
      </c>
      <c r="I191" t="str">
        <f t="shared" si="4"/>
        <v>121</v>
      </c>
      <c r="J191" t="s">
        <v>2300</v>
      </c>
      <c r="K191" t="s">
        <v>2301</v>
      </c>
      <c r="L191" t="str">
        <f t="shared" si="5"/>
        <v>Low Risk</v>
      </c>
      <c r="M191" t="str">
        <f>IFERROR(VLOOKUP(A200,Promo_Pivot!A:C,3,FALSE),"No")</f>
        <v>Yes</v>
      </c>
    </row>
    <row r="192" spans="1:13" x14ac:dyDescent="0.35">
      <c r="A192" t="s">
        <v>1955</v>
      </c>
      <c r="B192" s="2">
        <v>45414</v>
      </c>
      <c r="C192">
        <v>1650</v>
      </c>
      <c r="D192">
        <v>2</v>
      </c>
      <c r="E192">
        <v>178</v>
      </c>
      <c r="F192">
        <v>1</v>
      </c>
      <c r="G192">
        <v>3</v>
      </c>
      <c r="H192">
        <v>3</v>
      </c>
      <c r="I192" t="str">
        <f t="shared" si="4"/>
        <v>133</v>
      </c>
      <c r="J192" t="s">
        <v>2300</v>
      </c>
      <c r="K192" t="s">
        <v>2301</v>
      </c>
      <c r="L192" t="str">
        <f t="shared" si="5"/>
        <v>Very High Risk</v>
      </c>
      <c r="M192" t="str">
        <f>IFERROR(VLOOKUP(A201,Promo_Pivot!A:C,3,FALSE),"No")</f>
        <v>Yes</v>
      </c>
    </row>
    <row r="193" spans="1:13" x14ac:dyDescent="0.35">
      <c r="A193" t="s">
        <v>1956</v>
      </c>
      <c r="B193" s="2">
        <v>45579</v>
      </c>
      <c r="C193">
        <v>4223</v>
      </c>
      <c r="D193">
        <v>4</v>
      </c>
      <c r="E193">
        <v>13</v>
      </c>
      <c r="F193">
        <v>5</v>
      </c>
      <c r="G193">
        <v>5</v>
      </c>
      <c r="H193">
        <v>5</v>
      </c>
      <c r="I193" t="str">
        <f t="shared" si="4"/>
        <v>555</v>
      </c>
      <c r="J193" t="s">
        <v>2304</v>
      </c>
      <c r="K193" t="s">
        <v>2299</v>
      </c>
      <c r="L193" t="str">
        <f t="shared" si="5"/>
        <v>Low Risk</v>
      </c>
      <c r="M193" t="str">
        <f>IFERROR(VLOOKUP(A202,Promo_Pivot!A:C,3,FALSE),"No")</f>
        <v>Yes</v>
      </c>
    </row>
    <row r="194" spans="1:13" x14ac:dyDescent="0.35">
      <c r="A194" t="s">
        <v>1957</v>
      </c>
      <c r="B194" s="2">
        <v>45538</v>
      </c>
      <c r="C194">
        <v>5688</v>
      </c>
      <c r="D194">
        <v>5</v>
      </c>
      <c r="E194">
        <v>54</v>
      </c>
      <c r="F194">
        <v>3</v>
      </c>
      <c r="G194">
        <v>5</v>
      </c>
      <c r="H194">
        <v>5</v>
      </c>
      <c r="I194" t="str">
        <f t="shared" si="4"/>
        <v>355</v>
      </c>
      <c r="J194" t="s">
        <v>2303</v>
      </c>
      <c r="K194" t="s">
        <v>2299</v>
      </c>
      <c r="L194" t="str">
        <f t="shared" si="5"/>
        <v>Moderate Risk</v>
      </c>
      <c r="M194" t="str">
        <f>IFERROR(VLOOKUP(A203,Promo_Pivot!A:C,3,FALSE),"No")</f>
        <v>Yes</v>
      </c>
    </row>
    <row r="195" spans="1:13" x14ac:dyDescent="0.35">
      <c r="A195" t="s">
        <v>1958</v>
      </c>
      <c r="B195" s="2">
        <v>45580</v>
      </c>
      <c r="C195">
        <v>3443</v>
      </c>
      <c r="D195">
        <v>4</v>
      </c>
      <c r="E195">
        <v>12</v>
      </c>
      <c r="F195">
        <v>5</v>
      </c>
      <c r="G195">
        <v>5</v>
      </c>
      <c r="H195">
        <v>4</v>
      </c>
      <c r="I195" t="str">
        <f t="shared" ref="I195:I258" si="6">F195&amp;G195&amp;H195</f>
        <v>554</v>
      </c>
      <c r="J195" t="s">
        <v>2304</v>
      </c>
      <c r="K195" t="s">
        <v>2299</v>
      </c>
      <c r="L195" t="str">
        <f t="shared" ref="L195:L258" si="7">IF(E197&lt;=30,"Low Risk",
IF(E195&lt;=60,"Moderate Risk",
IF(E195&lt;=90,"High Risk",
IF(E195&lt;=180,"Very High Risk","Critical Risk"))))</f>
        <v>Moderate Risk</v>
      </c>
      <c r="M195" t="str">
        <f>IFERROR(VLOOKUP(A204,Promo_Pivot!A:C,3,FALSE),"No")</f>
        <v>Yes</v>
      </c>
    </row>
    <row r="196" spans="1:13" x14ac:dyDescent="0.35">
      <c r="A196" t="s">
        <v>1959</v>
      </c>
      <c r="B196" s="2">
        <v>45462</v>
      </c>
      <c r="C196">
        <v>639</v>
      </c>
      <c r="D196">
        <v>2</v>
      </c>
      <c r="E196">
        <v>130</v>
      </c>
      <c r="F196">
        <v>2</v>
      </c>
      <c r="G196">
        <v>3</v>
      </c>
      <c r="H196">
        <v>1</v>
      </c>
      <c r="I196" t="str">
        <f t="shared" si="6"/>
        <v>231</v>
      </c>
      <c r="J196" t="s">
        <v>2300</v>
      </c>
      <c r="K196" t="s">
        <v>2301</v>
      </c>
      <c r="L196" t="str">
        <f t="shared" si="7"/>
        <v>Low Risk</v>
      </c>
      <c r="M196" t="str">
        <f>IFERROR(VLOOKUP(A205,Promo_Pivot!A:C,3,FALSE),"No")</f>
        <v>Yes</v>
      </c>
    </row>
    <row r="197" spans="1:13" x14ac:dyDescent="0.35">
      <c r="A197" t="s">
        <v>1960</v>
      </c>
      <c r="B197" s="2">
        <v>45533</v>
      </c>
      <c r="C197">
        <v>2288</v>
      </c>
      <c r="D197">
        <v>3</v>
      </c>
      <c r="E197">
        <v>59</v>
      </c>
      <c r="F197">
        <v>3</v>
      </c>
      <c r="G197">
        <v>4</v>
      </c>
      <c r="H197">
        <v>3</v>
      </c>
      <c r="I197" t="str">
        <f t="shared" si="6"/>
        <v>343</v>
      </c>
      <c r="J197" t="s">
        <v>2303</v>
      </c>
      <c r="K197" t="s">
        <v>2299</v>
      </c>
      <c r="L197" t="str">
        <f t="shared" si="7"/>
        <v>Moderate Risk</v>
      </c>
      <c r="M197" t="str">
        <f>IFERROR(VLOOKUP(A206,Promo_Pivot!A:C,3,FALSE),"No")</f>
        <v>Yes</v>
      </c>
    </row>
    <row r="198" spans="1:13" x14ac:dyDescent="0.35">
      <c r="A198" t="s">
        <v>1961</v>
      </c>
      <c r="B198" s="2">
        <v>45565</v>
      </c>
      <c r="C198">
        <v>2757</v>
      </c>
      <c r="D198">
        <v>5</v>
      </c>
      <c r="E198">
        <v>27</v>
      </c>
      <c r="F198">
        <v>5</v>
      </c>
      <c r="G198">
        <v>5</v>
      </c>
      <c r="H198">
        <v>4</v>
      </c>
      <c r="I198" t="str">
        <f t="shared" si="6"/>
        <v>554</v>
      </c>
      <c r="J198" t="s">
        <v>2304</v>
      </c>
      <c r="K198" t="s">
        <v>2299</v>
      </c>
      <c r="L198" t="str">
        <f t="shared" si="7"/>
        <v>Moderate Risk</v>
      </c>
      <c r="M198" t="str">
        <f>IFERROR(VLOOKUP(A207,Promo_Pivot!A:C,3,FALSE),"No")</f>
        <v>Yes</v>
      </c>
    </row>
    <row r="199" spans="1:13" x14ac:dyDescent="0.35">
      <c r="A199" t="s">
        <v>1962</v>
      </c>
      <c r="B199" s="2">
        <v>45451</v>
      </c>
      <c r="C199">
        <v>2532</v>
      </c>
      <c r="D199">
        <v>2</v>
      </c>
      <c r="E199">
        <v>141</v>
      </c>
      <c r="F199">
        <v>2</v>
      </c>
      <c r="G199">
        <v>3</v>
      </c>
      <c r="H199">
        <v>3</v>
      </c>
      <c r="I199" t="str">
        <f t="shared" si="6"/>
        <v>233</v>
      </c>
      <c r="J199" t="s">
        <v>2300</v>
      </c>
      <c r="K199" t="s">
        <v>2301</v>
      </c>
      <c r="L199" t="str">
        <f t="shared" si="7"/>
        <v>Very High Risk</v>
      </c>
      <c r="M199" t="str">
        <f>IFERROR(VLOOKUP(A208,Promo_Pivot!A:C,3,FALSE),"No")</f>
        <v>Yes</v>
      </c>
    </row>
    <row r="200" spans="1:13" x14ac:dyDescent="0.35">
      <c r="A200" t="s">
        <v>1963</v>
      </c>
      <c r="B200" s="2">
        <v>45553</v>
      </c>
      <c r="C200">
        <v>2236</v>
      </c>
      <c r="D200">
        <v>3</v>
      </c>
      <c r="E200">
        <v>39</v>
      </c>
      <c r="F200">
        <v>4</v>
      </c>
      <c r="G200">
        <v>4</v>
      </c>
      <c r="H200">
        <v>3</v>
      </c>
      <c r="I200" t="str">
        <f t="shared" si="6"/>
        <v>443</v>
      </c>
      <c r="J200" t="s">
        <v>2303</v>
      </c>
      <c r="K200" t="s">
        <v>2299</v>
      </c>
      <c r="L200" t="str">
        <f t="shared" si="7"/>
        <v>Moderate Risk</v>
      </c>
      <c r="M200" t="str">
        <f>IFERROR(VLOOKUP(A209,Promo_Pivot!A:C,3,FALSE),"No")</f>
        <v>Yes</v>
      </c>
    </row>
    <row r="201" spans="1:13" x14ac:dyDescent="0.35">
      <c r="A201" t="s">
        <v>1964</v>
      </c>
      <c r="B201" s="2">
        <v>45558</v>
      </c>
      <c r="C201">
        <v>4390</v>
      </c>
      <c r="D201">
        <v>4</v>
      </c>
      <c r="E201">
        <v>34</v>
      </c>
      <c r="F201">
        <v>4</v>
      </c>
      <c r="G201">
        <v>5</v>
      </c>
      <c r="H201">
        <v>5</v>
      </c>
      <c r="I201" t="str">
        <f t="shared" si="6"/>
        <v>455</v>
      </c>
      <c r="J201" t="s">
        <v>2304</v>
      </c>
      <c r="K201" t="s">
        <v>2299</v>
      </c>
      <c r="L201" t="str">
        <f t="shared" si="7"/>
        <v>Low Risk</v>
      </c>
      <c r="M201" t="str">
        <f>IFERROR(VLOOKUP(A210,Promo_Pivot!A:C,3,FALSE),"No")</f>
        <v>Yes</v>
      </c>
    </row>
    <row r="202" spans="1:13" x14ac:dyDescent="0.35">
      <c r="A202" t="s">
        <v>1713</v>
      </c>
      <c r="B202" s="2">
        <v>45553</v>
      </c>
      <c r="C202">
        <v>420</v>
      </c>
      <c r="D202">
        <v>1</v>
      </c>
      <c r="E202">
        <v>39</v>
      </c>
      <c r="F202">
        <v>4</v>
      </c>
      <c r="G202">
        <v>2</v>
      </c>
      <c r="H202">
        <v>1</v>
      </c>
      <c r="I202" t="str">
        <f t="shared" si="6"/>
        <v>421</v>
      </c>
      <c r="J202" t="s">
        <v>2298</v>
      </c>
      <c r="K202" t="s">
        <v>2299</v>
      </c>
      <c r="L202" t="str">
        <f t="shared" si="7"/>
        <v>Moderate Risk</v>
      </c>
      <c r="M202" t="str">
        <f>IFERROR(VLOOKUP(A211,Promo_Pivot!A:C,3,FALSE),"No")</f>
        <v>Yes</v>
      </c>
    </row>
    <row r="203" spans="1:13" x14ac:dyDescent="0.35">
      <c r="A203" t="s">
        <v>1965</v>
      </c>
      <c r="B203" s="2">
        <v>45577</v>
      </c>
      <c r="C203">
        <v>2415</v>
      </c>
      <c r="D203">
        <v>2</v>
      </c>
      <c r="E203">
        <v>15</v>
      </c>
      <c r="F203">
        <v>5</v>
      </c>
      <c r="G203">
        <v>3</v>
      </c>
      <c r="H203">
        <v>3</v>
      </c>
      <c r="I203" t="str">
        <f t="shared" si="6"/>
        <v>533</v>
      </c>
      <c r="J203" t="s">
        <v>2303</v>
      </c>
      <c r="K203" t="s">
        <v>2299</v>
      </c>
      <c r="L203" t="str">
        <f t="shared" si="7"/>
        <v>Low Risk</v>
      </c>
      <c r="M203" t="str">
        <f>IFERROR(VLOOKUP(A212,Promo_Pivot!A:C,3,FALSE),"No")</f>
        <v>Yes</v>
      </c>
    </row>
    <row r="204" spans="1:13" x14ac:dyDescent="0.35">
      <c r="A204" t="s">
        <v>1966</v>
      </c>
      <c r="B204" s="2">
        <v>45468</v>
      </c>
      <c r="C204">
        <v>2695</v>
      </c>
      <c r="D204">
        <v>3</v>
      </c>
      <c r="E204">
        <v>124</v>
      </c>
      <c r="F204">
        <v>2</v>
      </c>
      <c r="G204">
        <v>4</v>
      </c>
      <c r="H204">
        <v>4</v>
      </c>
      <c r="I204" t="str">
        <f t="shared" si="6"/>
        <v>244</v>
      </c>
      <c r="J204" t="s">
        <v>2300</v>
      </c>
      <c r="K204" t="s">
        <v>2301</v>
      </c>
      <c r="L204" t="str">
        <f t="shared" si="7"/>
        <v>Low Risk</v>
      </c>
      <c r="M204" t="str">
        <f>IFERROR(VLOOKUP(A213,Promo_Pivot!A:C,3,FALSE),"No")</f>
        <v>Yes</v>
      </c>
    </row>
    <row r="205" spans="1:13" x14ac:dyDescent="0.35">
      <c r="A205" t="s">
        <v>1967</v>
      </c>
      <c r="B205" s="2">
        <v>45566</v>
      </c>
      <c r="C205">
        <v>3859</v>
      </c>
      <c r="D205">
        <v>5</v>
      </c>
      <c r="E205">
        <v>26</v>
      </c>
      <c r="F205">
        <v>5</v>
      </c>
      <c r="G205">
        <v>5</v>
      </c>
      <c r="H205">
        <v>5</v>
      </c>
      <c r="I205" t="str">
        <f t="shared" si="6"/>
        <v>555</v>
      </c>
      <c r="J205" t="s">
        <v>2304</v>
      </c>
      <c r="K205" t="s">
        <v>2299</v>
      </c>
      <c r="L205" t="str">
        <f t="shared" si="7"/>
        <v>Moderate Risk</v>
      </c>
      <c r="M205" t="str">
        <f>IFERROR(VLOOKUP(A214,Promo_Pivot!A:C,3,FALSE),"No")</f>
        <v>Yes</v>
      </c>
    </row>
    <row r="206" spans="1:13" x14ac:dyDescent="0.35">
      <c r="A206" t="s">
        <v>1968</v>
      </c>
      <c r="B206" s="2">
        <v>45581</v>
      </c>
      <c r="C206">
        <v>4999</v>
      </c>
      <c r="D206">
        <v>4</v>
      </c>
      <c r="E206">
        <v>11</v>
      </c>
      <c r="F206">
        <v>5</v>
      </c>
      <c r="G206">
        <v>5</v>
      </c>
      <c r="H206">
        <v>5</v>
      </c>
      <c r="I206" t="str">
        <f t="shared" si="6"/>
        <v>555</v>
      </c>
      <c r="J206" t="s">
        <v>2304</v>
      </c>
      <c r="K206" t="s">
        <v>2299</v>
      </c>
      <c r="L206" t="str">
        <f t="shared" si="7"/>
        <v>Low Risk</v>
      </c>
      <c r="M206" t="str">
        <f>IFERROR(VLOOKUP(A215,Promo_Pivot!A:C,3,FALSE),"No")</f>
        <v>Yes</v>
      </c>
    </row>
    <row r="207" spans="1:13" x14ac:dyDescent="0.35">
      <c r="A207" t="s">
        <v>1969</v>
      </c>
      <c r="B207" s="2">
        <v>45489</v>
      </c>
      <c r="C207">
        <v>3387</v>
      </c>
      <c r="D207">
        <v>5</v>
      </c>
      <c r="E207">
        <v>103</v>
      </c>
      <c r="F207">
        <v>2</v>
      </c>
      <c r="G207">
        <v>5</v>
      </c>
      <c r="H207">
        <v>4</v>
      </c>
      <c r="I207" t="str">
        <f t="shared" si="6"/>
        <v>254</v>
      </c>
      <c r="J207" t="s">
        <v>2300</v>
      </c>
      <c r="K207" t="s">
        <v>2301</v>
      </c>
      <c r="L207" t="str">
        <f t="shared" si="7"/>
        <v>Very High Risk</v>
      </c>
      <c r="M207" t="str">
        <f>IFERROR(VLOOKUP(A216,Promo_Pivot!A:C,3,FALSE),"No")</f>
        <v>Yes</v>
      </c>
    </row>
    <row r="208" spans="1:13" x14ac:dyDescent="0.35">
      <c r="A208" t="s">
        <v>1970</v>
      </c>
      <c r="B208" s="2">
        <v>45581</v>
      </c>
      <c r="C208">
        <v>4378</v>
      </c>
      <c r="D208">
        <v>4</v>
      </c>
      <c r="E208">
        <v>11</v>
      </c>
      <c r="F208">
        <v>5</v>
      </c>
      <c r="G208">
        <v>5</v>
      </c>
      <c r="H208">
        <v>5</v>
      </c>
      <c r="I208" t="str">
        <f t="shared" si="6"/>
        <v>555</v>
      </c>
      <c r="J208" t="s">
        <v>2304</v>
      </c>
      <c r="K208" t="s">
        <v>2299</v>
      </c>
      <c r="L208" t="str">
        <f t="shared" si="7"/>
        <v>Low Risk</v>
      </c>
      <c r="M208" t="str">
        <f>IFERROR(VLOOKUP(A217,Promo_Pivot!A:C,3,FALSE),"No")</f>
        <v>Yes</v>
      </c>
    </row>
    <row r="209" spans="1:13" x14ac:dyDescent="0.35">
      <c r="A209" t="s">
        <v>1971</v>
      </c>
      <c r="B209" s="2">
        <v>45545</v>
      </c>
      <c r="C209">
        <v>1193</v>
      </c>
      <c r="D209">
        <v>2</v>
      </c>
      <c r="E209">
        <v>47</v>
      </c>
      <c r="F209">
        <v>4</v>
      </c>
      <c r="G209">
        <v>3</v>
      </c>
      <c r="H209">
        <v>2</v>
      </c>
      <c r="I209" t="str">
        <f t="shared" si="6"/>
        <v>432</v>
      </c>
      <c r="J209" t="s">
        <v>2298</v>
      </c>
      <c r="K209" t="s">
        <v>2299</v>
      </c>
      <c r="L209" t="str">
        <f t="shared" si="7"/>
        <v>Moderate Risk</v>
      </c>
      <c r="M209" t="str">
        <f>IFERROR(VLOOKUP(A218,Promo_Pivot!A:C,3,FALSE),"No")</f>
        <v>Yes</v>
      </c>
    </row>
    <row r="210" spans="1:13" x14ac:dyDescent="0.35">
      <c r="A210" t="s">
        <v>1972</v>
      </c>
      <c r="B210" s="2">
        <v>45587</v>
      </c>
      <c r="C210">
        <v>4359</v>
      </c>
      <c r="D210">
        <v>5</v>
      </c>
      <c r="E210">
        <v>5</v>
      </c>
      <c r="F210">
        <v>5</v>
      </c>
      <c r="G210">
        <v>5</v>
      </c>
      <c r="H210">
        <v>5</v>
      </c>
      <c r="I210" t="str">
        <f t="shared" si="6"/>
        <v>555</v>
      </c>
      <c r="J210" t="s">
        <v>2304</v>
      </c>
      <c r="K210" t="s">
        <v>2299</v>
      </c>
      <c r="L210" t="str">
        <f t="shared" si="7"/>
        <v>Moderate Risk</v>
      </c>
      <c r="M210" t="str">
        <f>IFERROR(VLOOKUP(A219,Promo_Pivot!A:C,3,FALSE),"No")</f>
        <v>Yes</v>
      </c>
    </row>
    <row r="211" spans="1:13" x14ac:dyDescent="0.35">
      <c r="A211" t="s">
        <v>1973</v>
      </c>
      <c r="B211" s="2">
        <v>45558</v>
      </c>
      <c r="C211">
        <v>2958</v>
      </c>
      <c r="D211">
        <v>5</v>
      </c>
      <c r="E211">
        <v>34</v>
      </c>
      <c r="F211">
        <v>4</v>
      </c>
      <c r="G211">
        <v>5</v>
      </c>
      <c r="H211">
        <v>4</v>
      </c>
      <c r="I211" t="str">
        <f t="shared" si="6"/>
        <v>454</v>
      </c>
      <c r="J211" t="s">
        <v>2304</v>
      </c>
      <c r="K211" t="s">
        <v>2299</v>
      </c>
      <c r="L211" t="str">
        <f t="shared" si="7"/>
        <v>Moderate Risk</v>
      </c>
      <c r="M211" t="str">
        <f>IFERROR(VLOOKUP(A220,Promo_Pivot!A:C,3,FALSE),"No")</f>
        <v>Yes</v>
      </c>
    </row>
    <row r="212" spans="1:13" x14ac:dyDescent="0.35">
      <c r="A212" t="s">
        <v>1974</v>
      </c>
      <c r="B212" s="2">
        <v>45514</v>
      </c>
      <c r="C212">
        <v>4215</v>
      </c>
      <c r="D212">
        <v>4</v>
      </c>
      <c r="E212">
        <v>78</v>
      </c>
      <c r="F212">
        <v>3</v>
      </c>
      <c r="G212">
        <v>5</v>
      </c>
      <c r="H212">
        <v>5</v>
      </c>
      <c r="I212" t="str">
        <f t="shared" si="6"/>
        <v>355</v>
      </c>
      <c r="J212" t="s">
        <v>2303</v>
      </c>
      <c r="K212" t="s">
        <v>2299</v>
      </c>
      <c r="L212" t="str">
        <f t="shared" si="7"/>
        <v>High Risk</v>
      </c>
      <c r="M212" t="str">
        <f>IFERROR(VLOOKUP(A221,Promo_Pivot!A:C,3,FALSE),"No")</f>
        <v>Yes</v>
      </c>
    </row>
    <row r="213" spans="1:13" x14ac:dyDescent="0.35">
      <c r="A213" t="s">
        <v>1714</v>
      </c>
      <c r="B213" s="2">
        <v>45367</v>
      </c>
      <c r="C213">
        <v>1002</v>
      </c>
      <c r="D213">
        <v>1</v>
      </c>
      <c r="E213">
        <v>225</v>
      </c>
      <c r="F213">
        <v>1</v>
      </c>
      <c r="G213">
        <v>2</v>
      </c>
      <c r="H213">
        <v>2</v>
      </c>
      <c r="I213" t="str">
        <f t="shared" si="6"/>
        <v>122</v>
      </c>
      <c r="J213" t="s">
        <v>2300</v>
      </c>
      <c r="K213" t="s">
        <v>2301</v>
      </c>
      <c r="L213" t="str">
        <f t="shared" si="7"/>
        <v>Critical Risk</v>
      </c>
      <c r="M213" t="str">
        <f>IFERROR(VLOOKUP(A222,Promo_Pivot!A:C,3,FALSE),"No")</f>
        <v>Yes</v>
      </c>
    </row>
    <row r="214" spans="1:13" x14ac:dyDescent="0.35">
      <c r="A214" t="s">
        <v>1975</v>
      </c>
      <c r="B214" s="2">
        <v>45556</v>
      </c>
      <c r="C214">
        <v>3063</v>
      </c>
      <c r="D214">
        <v>3</v>
      </c>
      <c r="E214">
        <v>36</v>
      </c>
      <c r="F214">
        <v>4</v>
      </c>
      <c r="G214">
        <v>4</v>
      </c>
      <c r="H214">
        <v>4</v>
      </c>
      <c r="I214" t="str">
        <f t="shared" si="6"/>
        <v>444</v>
      </c>
      <c r="J214" t="s">
        <v>2304</v>
      </c>
      <c r="K214" t="s">
        <v>2299</v>
      </c>
      <c r="L214" t="str">
        <f t="shared" si="7"/>
        <v>Moderate Risk</v>
      </c>
      <c r="M214" t="str">
        <f>IFERROR(VLOOKUP(A223,Promo_Pivot!A:C,3,FALSE),"No")</f>
        <v>Yes</v>
      </c>
    </row>
    <row r="215" spans="1:13" x14ac:dyDescent="0.35">
      <c r="A215" t="s">
        <v>1976</v>
      </c>
      <c r="B215" s="2">
        <v>45551</v>
      </c>
      <c r="C215">
        <v>1526</v>
      </c>
      <c r="D215">
        <v>2</v>
      </c>
      <c r="E215">
        <v>41</v>
      </c>
      <c r="F215">
        <v>4</v>
      </c>
      <c r="G215">
        <v>3</v>
      </c>
      <c r="H215">
        <v>2</v>
      </c>
      <c r="I215" t="str">
        <f t="shared" si="6"/>
        <v>432</v>
      </c>
      <c r="J215" t="s">
        <v>2298</v>
      </c>
      <c r="K215" t="s">
        <v>2299</v>
      </c>
      <c r="L215" t="str">
        <f t="shared" si="7"/>
        <v>Moderate Risk</v>
      </c>
      <c r="M215" t="str">
        <f>IFERROR(VLOOKUP(A224,Promo_Pivot!A:C,3,FALSE),"No")</f>
        <v>Yes</v>
      </c>
    </row>
    <row r="216" spans="1:13" x14ac:dyDescent="0.35">
      <c r="A216" t="s">
        <v>1977</v>
      </c>
      <c r="B216" s="2">
        <v>45512</v>
      </c>
      <c r="C216">
        <v>2606</v>
      </c>
      <c r="D216">
        <v>5</v>
      </c>
      <c r="E216">
        <v>80</v>
      </c>
      <c r="F216">
        <v>3</v>
      </c>
      <c r="G216">
        <v>5</v>
      </c>
      <c r="H216">
        <v>4</v>
      </c>
      <c r="I216" t="str">
        <f t="shared" si="6"/>
        <v>354</v>
      </c>
      <c r="J216" t="s">
        <v>2303</v>
      </c>
      <c r="K216" t="s">
        <v>2299</v>
      </c>
      <c r="L216" t="str">
        <f t="shared" si="7"/>
        <v>High Risk</v>
      </c>
      <c r="M216" t="str">
        <f>IFERROR(VLOOKUP(A225,Promo_Pivot!A:C,3,FALSE),"No")</f>
        <v>Yes</v>
      </c>
    </row>
    <row r="217" spans="1:13" x14ac:dyDescent="0.35">
      <c r="A217" t="s">
        <v>1978</v>
      </c>
      <c r="B217" s="2">
        <v>45523</v>
      </c>
      <c r="C217">
        <v>2693</v>
      </c>
      <c r="D217">
        <v>4</v>
      </c>
      <c r="E217">
        <v>69</v>
      </c>
      <c r="F217">
        <v>3</v>
      </c>
      <c r="G217">
        <v>5</v>
      </c>
      <c r="H217">
        <v>4</v>
      </c>
      <c r="I217" t="str">
        <f t="shared" si="6"/>
        <v>354</v>
      </c>
      <c r="J217" t="s">
        <v>2303</v>
      </c>
      <c r="K217" t="s">
        <v>2299</v>
      </c>
      <c r="L217" t="str">
        <f t="shared" si="7"/>
        <v>Low Risk</v>
      </c>
      <c r="M217" t="str">
        <f>IFERROR(VLOOKUP(A226,Promo_Pivot!A:C,3,FALSE),"No")</f>
        <v>Yes</v>
      </c>
    </row>
    <row r="218" spans="1:13" x14ac:dyDescent="0.35">
      <c r="A218" t="s">
        <v>1979</v>
      </c>
      <c r="B218" s="2">
        <v>45523</v>
      </c>
      <c r="C218">
        <v>2690</v>
      </c>
      <c r="D218">
        <v>4</v>
      </c>
      <c r="E218">
        <v>69</v>
      </c>
      <c r="F218">
        <v>3</v>
      </c>
      <c r="G218">
        <v>5</v>
      </c>
      <c r="H218">
        <v>4</v>
      </c>
      <c r="I218" t="str">
        <f t="shared" si="6"/>
        <v>354</v>
      </c>
      <c r="J218" t="s">
        <v>2303</v>
      </c>
      <c r="K218" t="s">
        <v>2299</v>
      </c>
      <c r="L218" t="str">
        <f t="shared" si="7"/>
        <v>High Risk</v>
      </c>
      <c r="M218" t="str">
        <f>IFERROR(VLOOKUP(A227,Promo_Pivot!A:C,3,FALSE),"No")</f>
        <v>Yes</v>
      </c>
    </row>
    <row r="219" spans="1:13" x14ac:dyDescent="0.35">
      <c r="A219" t="s">
        <v>1980</v>
      </c>
      <c r="B219" s="2">
        <v>45588</v>
      </c>
      <c r="C219">
        <v>3612</v>
      </c>
      <c r="D219">
        <v>4</v>
      </c>
      <c r="E219">
        <v>4</v>
      </c>
      <c r="F219">
        <v>5</v>
      </c>
      <c r="G219">
        <v>5</v>
      </c>
      <c r="H219">
        <v>4</v>
      </c>
      <c r="I219" t="str">
        <f t="shared" si="6"/>
        <v>554</v>
      </c>
      <c r="J219" t="s">
        <v>2304</v>
      </c>
      <c r="K219" t="s">
        <v>2299</v>
      </c>
      <c r="L219" t="str">
        <f t="shared" si="7"/>
        <v>Low Risk</v>
      </c>
      <c r="M219" t="str">
        <f>IFERROR(VLOOKUP(A228,Promo_Pivot!A:C,3,FALSE),"No")</f>
        <v>Yes</v>
      </c>
    </row>
    <row r="220" spans="1:13" x14ac:dyDescent="0.35">
      <c r="A220" t="s">
        <v>1981</v>
      </c>
      <c r="B220" s="2">
        <v>45516</v>
      </c>
      <c r="C220">
        <v>1770</v>
      </c>
      <c r="D220">
        <v>3</v>
      </c>
      <c r="E220">
        <v>76</v>
      </c>
      <c r="F220">
        <v>3</v>
      </c>
      <c r="G220">
        <v>4</v>
      </c>
      <c r="H220">
        <v>3</v>
      </c>
      <c r="I220" t="str">
        <f t="shared" si="6"/>
        <v>343</v>
      </c>
      <c r="J220" t="s">
        <v>2303</v>
      </c>
      <c r="K220" t="s">
        <v>2299</v>
      </c>
      <c r="L220" t="str">
        <f t="shared" si="7"/>
        <v>Low Risk</v>
      </c>
      <c r="M220" t="str">
        <f>IFERROR(VLOOKUP(A229,Promo_Pivot!A:C,3,FALSE),"No")</f>
        <v>Yes</v>
      </c>
    </row>
    <row r="221" spans="1:13" x14ac:dyDescent="0.35">
      <c r="A221" t="s">
        <v>1982</v>
      </c>
      <c r="B221" s="2">
        <v>45574</v>
      </c>
      <c r="C221">
        <v>4653</v>
      </c>
      <c r="D221">
        <v>5</v>
      </c>
      <c r="E221">
        <v>18</v>
      </c>
      <c r="F221">
        <v>5</v>
      </c>
      <c r="G221">
        <v>5</v>
      </c>
      <c r="H221">
        <v>5</v>
      </c>
      <c r="I221" t="str">
        <f t="shared" si="6"/>
        <v>555</v>
      </c>
      <c r="J221" t="s">
        <v>2304</v>
      </c>
      <c r="K221" t="s">
        <v>2299</v>
      </c>
      <c r="L221" t="str">
        <f t="shared" si="7"/>
        <v>Low Risk</v>
      </c>
      <c r="M221" t="str">
        <f>IFERROR(VLOOKUP(A230,Promo_Pivot!A:C,3,FALSE),"No")</f>
        <v>Yes</v>
      </c>
    </row>
    <row r="222" spans="1:13" x14ac:dyDescent="0.35">
      <c r="A222" t="s">
        <v>1983</v>
      </c>
      <c r="B222" s="2">
        <v>45586</v>
      </c>
      <c r="C222">
        <v>3510</v>
      </c>
      <c r="D222">
        <v>5</v>
      </c>
      <c r="E222">
        <v>6</v>
      </c>
      <c r="F222">
        <v>5</v>
      </c>
      <c r="G222">
        <v>5</v>
      </c>
      <c r="H222">
        <v>4</v>
      </c>
      <c r="I222" t="str">
        <f t="shared" si="6"/>
        <v>554</v>
      </c>
      <c r="J222" t="s">
        <v>2304</v>
      </c>
      <c r="K222" t="s">
        <v>2299</v>
      </c>
      <c r="L222" t="str">
        <f t="shared" si="7"/>
        <v>Moderate Risk</v>
      </c>
      <c r="M222" t="str">
        <f>IFERROR(VLOOKUP(A231,Promo_Pivot!A:C,3,FALSE),"No")</f>
        <v>Yes</v>
      </c>
    </row>
    <row r="223" spans="1:13" x14ac:dyDescent="0.35">
      <c r="A223" t="s">
        <v>1984</v>
      </c>
      <c r="B223" s="2">
        <v>45565</v>
      </c>
      <c r="C223">
        <v>3166</v>
      </c>
      <c r="D223">
        <v>4</v>
      </c>
      <c r="E223">
        <v>27</v>
      </c>
      <c r="F223">
        <v>5</v>
      </c>
      <c r="G223">
        <v>5</v>
      </c>
      <c r="H223">
        <v>4</v>
      </c>
      <c r="I223" t="str">
        <f t="shared" si="6"/>
        <v>554</v>
      </c>
      <c r="J223" t="s">
        <v>2304</v>
      </c>
      <c r="K223" t="s">
        <v>2299</v>
      </c>
      <c r="L223" t="str">
        <f t="shared" si="7"/>
        <v>Moderate Risk</v>
      </c>
      <c r="M223" t="str">
        <f>IFERROR(VLOOKUP(A232,Promo_Pivot!A:C,3,FALSE),"No")</f>
        <v>Yes</v>
      </c>
    </row>
    <row r="224" spans="1:13" x14ac:dyDescent="0.35">
      <c r="A224" t="s">
        <v>1688</v>
      </c>
      <c r="B224" s="2">
        <v>45412</v>
      </c>
      <c r="C224">
        <v>1119</v>
      </c>
      <c r="D224">
        <v>1</v>
      </c>
      <c r="E224">
        <v>180</v>
      </c>
      <c r="F224">
        <v>1</v>
      </c>
      <c r="G224">
        <v>2</v>
      </c>
      <c r="H224">
        <v>2</v>
      </c>
      <c r="I224" t="str">
        <f t="shared" si="6"/>
        <v>122</v>
      </c>
      <c r="J224" t="s">
        <v>2300</v>
      </c>
      <c r="K224" t="s">
        <v>2301</v>
      </c>
      <c r="L224" t="str">
        <f t="shared" si="7"/>
        <v>Very High Risk</v>
      </c>
      <c r="M224" t="str">
        <f>IFERROR(VLOOKUP(A233,Promo_Pivot!A:C,3,FALSE),"No")</f>
        <v>Yes</v>
      </c>
    </row>
    <row r="225" spans="1:13" x14ac:dyDescent="0.35">
      <c r="A225" t="s">
        <v>1715</v>
      </c>
      <c r="B225" s="2">
        <v>45512</v>
      </c>
      <c r="C225">
        <v>948</v>
      </c>
      <c r="D225">
        <v>1</v>
      </c>
      <c r="E225">
        <v>80</v>
      </c>
      <c r="F225">
        <v>3</v>
      </c>
      <c r="G225">
        <v>2</v>
      </c>
      <c r="H225">
        <v>2</v>
      </c>
      <c r="I225" t="str">
        <f t="shared" si="6"/>
        <v>322</v>
      </c>
      <c r="J225" t="s">
        <v>2302</v>
      </c>
      <c r="K225" t="s">
        <v>2299</v>
      </c>
      <c r="L225" t="str">
        <f t="shared" si="7"/>
        <v>Low Risk</v>
      </c>
      <c r="M225" t="str">
        <f>IFERROR(VLOOKUP(A234,Promo_Pivot!A:C,3,FALSE),"No")</f>
        <v>Yes</v>
      </c>
    </row>
    <row r="226" spans="1:13" x14ac:dyDescent="0.35">
      <c r="A226" t="s">
        <v>1985</v>
      </c>
      <c r="B226" s="2">
        <v>45523</v>
      </c>
      <c r="C226">
        <v>1485</v>
      </c>
      <c r="D226">
        <v>2</v>
      </c>
      <c r="E226">
        <v>69</v>
      </c>
      <c r="F226">
        <v>3</v>
      </c>
      <c r="G226">
        <v>3</v>
      </c>
      <c r="H226">
        <v>2</v>
      </c>
      <c r="I226" t="str">
        <f t="shared" si="6"/>
        <v>332</v>
      </c>
      <c r="J226" t="s">
        <v>2302</v>
      </c>
      <c r="K226" t="s">
        <v>2299</v>
      </c>
      <c r="L226" t="str">
        <f t="shared" si="7"/>
        <v>High Risk</v>
      </c>
      <c r="M226" t="str">
        <f>IFERROR(VLOOKUP(A235,Promo_Pivot!A:C,3,FALSE),"No")</f>
        <v>Yes</v>
      </c>
    </row>
    <row r="227" spans="1:13" x14ac:dyDescent="0.35">
      <c r="A227" t="s">
        <v>1986</v>
      </c>
      <c r="B227" s="2">
        <v>45587</v>
      </c>
      <c r="C227">
        <v>5273</v>
      </c>
      <c r="D227">
        <v>4</v>
      </c>
      <c r="E227">
        <v>5</v>
      </c>
      <c r="F227">
        <v>5</v>
      </c>
      <c r="G227">
        <v>5</v>
      </c>
      <c r="H227">
        <v>5</v>
      </c>
      <c r="I227" t="str">
        <f t="shared" si="6"/>
        <v>555</v>
      </c>
      <c r="J227" t="s">
        <v>2304</v>
      </c>
      <c r="K227" t="s">
        <v>2299</v>
      </c>
      <c r="L227" t="str">
        <f t="shared" si="7"/>
        <v>Moderate Risk</v>
      </c>
      <c r="M227" t="str">
        <f>IFERROR(VLOOKUP(A236,Promo_Pivot!A:C,3,FALSE),"No")</f>
        <v>Yes</v>
      </c>
    </row>
    <row r="228" spans="1:13" x14ac:dyDescent="0.35">
      <c r="A228" t="s">
        <v>1987</v>
      </c>
      <c r="B228" s="2">
        <v>45550</v>
      </c>
      <c r="C228">
        <v>2421</v>
      </c>
      <c r="D228">
        <v>2</v>
      </c>
      <c r="E228">
        <v>42</v>
      </c>
      <c r="F228">
        <v>4</v>
      </c>
      <c r="G228">
        <v>3</v>
      </c>
      <c r="H228">
        <v>3</v>
      </c>
      <c r="I228" t="str">
        <f t="shared" si="6"/>
        <v>433</v>
      </c>
      <c r="J228" t="s">
        <v>2303</v>
      </c>
      <c r="K228" t="s">
        <v>2299</v>
      </c>
      <c r="L228" t="str">
        <f t="shared" si="7"/>
        <v>Moderate Risk</v>
      </c>
      <c r="M228" t="str">
        <f>IFERROR(VLOOKUP(A237,Promo_Pivot!A:C,3,FALSE),"No")</f>
        <v>Yes</v>
      </c>
    </row>
    <row r="229" spans="1:13" x14ac:dyDescent="0.35">
      <c r="A229" t="s">
        <v>1988</v>
      </c>
      <c r="B229" s="2">
        <v>45532</v>
      </c>
      <c r="C229">
        <v>4553</v>
      </c>
      <c r="D229">
        <v>5</v>
      </c>
      <c r="E229">
        <v>60</v>
      </c>
      <c r="F229">
        <v>3</v>
      </c>
      <c r="G229">
        <v>5</v>
      </c>
      <c r="H229">
        <v>5</v>
      </c>
      <c r="I229" t="str">
        <f t="shared" si="6"/>
        <v>355</v>
      </c>
      <c r="J229" t="s">
        <v>2303</v>
      </c>
      <c r="K229" t="s">
        <v>2299</v>
      </c>
      <c r="L229" t="str">
        <f t="shared" si="7"/>
        <v>Low Risk</v>
      </c>
      <c r="M229" t="str">
        <f>IFERROR(VLOOKUP(A238,Promo_Pivot!A:C,3,FALSE),"No")</f>
        <v>Yes</v>
      </c>
    </row>
    <row r="230" spans="1:13" x14ac:dyDescent="0.35">
      <c r="A230" t="s">
        <v>1989</v>
      </c>
      <c r="B230" s="2">
        <v>45317</v>
      </c>
      <c r="C230">
        <v>2339</v>
      </c>
      <c r="D230">
        <v>2</v>
      </c>
      <c r="E230">
        <v>275</v>
      </c>
      <c r="F230">
        <v>1</v>
      </c>
      <c r="G230">
        <v>3</v>
      </c>
      <c r="H230">
        <v>3</v>
      </c>
      <c r="I230" t="str">
        <f t="shared" si="6"/>
        <v>133</v>
      </c>
      <c r="J230" t="s">
        <v>2300</v>
      </c>
      <c r="K230" t="s">
        <v>2301</v>
      </c>
      <c r="L230" t="str">
        <f t="shared" si="7"/>
        <v>Critical Risk</v>
      </c>
      <c r="M230" t="str">
        <f>IFERROR(VLOOKUP(A239,Promo_Pivot!A:C,3,FALSE),"No")</f>
        <v>Yes</v>
      </c>
    </row>
    <row r="231" spans="1:13" x14ac:dyDescent="0.35">
      <c r="A231" t="s">
        <v>1990</v>
      </c>
      <c r="B231" s="2">
        <v>45564</v>
      </c>
      <c r="C231">
        <v>5528</v>
      </c>
      <c r="D231">
        <v>5</v>
      </c>
      <c r="E231">
        <v>28</v>
      </c>
      <c r="F231">
        <v>4</v>
      </c>
      <c r="G231">
        <v>5</v>
      </c>
      <c r="H231">
        <v>5</v>
      </c>
      <c r="I231" t="str">
        <f t="shared" si="6"/>
        <v>455</v>
      </c>
      <c r="J231" t="s">
        <v>2304</v>
      </c>
      <c r="K231" t="s">
        <v>2299</v>
      </c>
      <c r="L231" t="str">
        <f t="shared" si="7"/>
        <v>Low Risk</v>
      </c>
      <c r="M231" t="str">
        <f>IFERROR(VLOOKUP(A240,Promo_Pivot!A:C,3,FALSE),"No")</f>
        <v>Yes</v>
      </c>
    </row>
    <row r="232" spans="1:13" x14ac:dyDescent="0.35">
      <c r="A232" t="s">
        <v>1991</v>
      </c>
      <c r="B232" s="2">
        <v>45511</v>
      </c>
      <c r="C232">
        <v>4251</v>
      </c>
      <c r="D232">
        <v>4</v>
      </c>
      <c r="E232">
        <v>81</v>
      </c>
      <c r="F232">
        <v>3</v>
      </c>
      <c r="G232">
        <v>5</v>
      </c>
      <c r="H232">
        <v>5</v>
      </c>
      <c r="I232" t="str">
        <f t="shared" si="6"/>
        <v>355</v>
      </c>
      <c r="J232" t="s">
        <v>2303</v>
      </c>
      <c r="K232" t="s">
        <v>2299</v>
      </c>
      <c r="L232" t="str">
        <f t="shared" si="7"/>
        <v>High Risk</v>
      </c>
      <c r="M232" t="str">
        <f>IFERROR(VLOOKUP(A241,Promo_Pivot!A:C,3,FALSE),"No")</f>
        <v>Yes</v>
      </c>
    </row>
    <row r="233" spans="1:13" x14ac:dyDescent="0.35">
      <c r="A233" t="s">
        <v>1992</v>
      </c>
      <c r="B233" s="2">
        <v>45590</v>
      </c>
      <c r="C233">
        <v>3749</v>
      </c>
      <c r="D233">
        <v>5</v>
      </c>
      <c r="E233">
        <v>2</v>
      </c>
      <c r="F233">
        <v>5</v>
      </c>
      <c r="G233">
        <v>5</v>
      </c>
      <c r="H233">
        <v>5</v>
      </c>
      <c r="I233" t="str">
        <f t="shared" si="6"/>
        <v>555</v>
      </c>
      <c r="J233" t="s">
        <v>2304</v>
      </c>
      <c r="K233" t="s">
        <v>2299</v>
      </c>
      <c r="L233" t="str">
        <f t="shared" si="7"/>
        <v>Moderate Risk</v>
      </c>
      <c r="M233" t="str">
        <f>IFERROR(VLOOKUP(A242,Promo_Pivot!A:C,3,FALSE),"No")</f>
        <v>Yes</v>
      </c>
    </row>
    <row r="234" spans="1:13" x14ac:dyDescent="0.35">
      <c r="A234" t="s">
        <v>1993</v>
      </c>
      <c r="B234" s="2">
        <v>45464</v>
      </c>
      <c r="C234">
        <v>355</v>
      </c>
      <c r="D234">
        <v>2</v>
      </c>
      <c r="E234">
        <v>128</v>
      </c>
      <c r="F234">
        <v>2</v>
      </c>
      <c r="G234">
        <v>3</v>
      </c>
      <c r="H234">
        <v>1</v>
      </c>
      <c r="I234" t="str">
        <f t="shared" si="6"/>
        <v>231</v>
      </c>
      <c r="J234" t="s">
        <v>2300</v>
      </c>
      <c r="K234" t="s">
        <v>2301</v>
      </c>
      <c r="L234" t="str">
        <f t="shared" si="7"/>
        <v>Very High Risk</v>
      </c>
      <c r="M234" t="str">
        <f>IFERROR(VLOOKUP(A243,Promo_Pivot!A:C,3,FALSE),"No")</f>
        <v>Yes</v>
      </c>
    </row>
    <row r="235" spans="1:13" x14ac:dyDescent="0.35">
      <c r="A235" t="s">
        <v>1994</v>
      </c>
      <c r="B235" s="2">
        <v>45553</v>
      </c>
      <c r="C235">
        <v>5402</v>
      </c>
      <c r="D235">
        <v>5</v>
      </c>
      <c r="E235">
        <v>39</v>
      </c>
      <c r="F235">
        <v>4</v>
      </c>
      <c r="G235">
        <v>5</v>
      </c>
      <c r="H235">
        <v>5</v>
      </c>
      <c r="I235" t="str">
        <f t="shared" si="6"/>
        <v>455</v>
      </c>
      <c r="J235" t="s">
        <v>2304</v>
      </c>
      <c r="K235" t="s">
        <v>2299</v>
      </c>
      <c r="L235" t="str">
        <f t="shared" si="7"/>
        <v>Moderate Risk</v>
      </c>
      <c r="M235" t="str">
        <f>IFERROR(VLOOKUP(A244,Promo_Pivot!A:C,3,FALSE),"No")</f>
        <v>Yes</v>
      </c>
    </row>
    <row r="236" spans="1:13" x14ac:dyDescent="0.35">
      <c r="A236" t="s">
        <v>1716</v>
      </c>
      <c r="B236" s="2">
        <v>45390</v>
      </c>
      <c r="C236">
        <v>1745</v>
      </c>
      <c r="D236">
        <v>1</v>
      </c>
      <c r="E236">
        <v>202</v>
      </c>
      <c r="F236">
        <v>1</v>
      </c>
      <c r="G236">
        <v>2</v>
      </c>
      <c r="H236">
        <v>3</v>
      </c>
      <c r="I236" t="str">
        <f t="shared" si="6"/>
        <v>123</v>
      </c>
      <c r="J236" t="s">
        <v>2300</v>
      </c>
      <c r="K236" t="s">
        <v>2301</v>
      </c>
      <c r="L236" t="str">
        <f t="shared" si="7"/>
        <v>Critical Risk</v>
      </c>
      <c r="M236" t="str">
        <f>IFERROR(VLOOKUP(A245,Promo_Pivot!A:C,3,FALSE),"No")</f>
        <v>Yes</v>
      </c>
    </row>
    <row r="237" spans="1:13" x14ac:dyDescent="0.35">
      <c r="A237" t="s">
        <v>1995</v>
      </c>
      <c r="B237" s="2">
        <v>45536</v>
      </c>
      <c r="C237">
        <v>763</v>
      </c>
      <c r="D237">
        <v>2</v>
      </c>
      <c r="E237">
        <v>56</v>
      </c>
      <c r="F237">
        <v>3</v>
      </c>
      <c r="G237">
        <v>3</v>
      </c>
      <c r="H237">
        <v>1</v>
      </c>
      <c r="I237" t="str">
        <f t="shared" si="6"/>
        <v>331</v>
      </c>
      <c r="J237" t="s">
        <v>2302</v>
      </c>
      <c r="K237" t="s">
        <v>2299</v>
      </c>
      <c r="L237" t="str">
        <f t="shared" si="7"/>
        <v>Moderate Risk</v>
      </c>
      <c r="M237" t="str">
        <f>IFERROR(VLOOKUP(A246,Promo_Pivot!A:C,3,FALSE),"No")</f>
        <v>Yes</v>
      </c>
    </row>
    <row r="238" spans="1:13" x14ac:dyDescent="0.35">
      <c r="A238" t="s">
        <v>1996</v>
      </c>
      <c r="B238" s="2">
        <v>45549</v>
      </c>
      <c r="C238">
        <v>2885</v>
      </c>
      <c r="D238">
        <v>5</v>
      </c>
      <c r="E238">
        <v>43</v>
      </c>
      <c r="F238">
        <v>4</v>
      </c>
      <c r="G238">
        <v>5</v>
      </c>
      <c r="H238">
        <v>4</v>
      </c>
      <c r="I238" t="str">
        <f t="shared" si="6"/>
        <v>454</v>
      </c>
      <c r="J238" t="s">
        <v>2304</v>
      </c>
      <c r="K238" t="s">
        <v>2299</v>
      </c>
      <c r="L238" t="str">
        <f t="shared" si="7"/>
        <v>Moderate Risk</v>
      </c>
      <c r="M238" t="str">
        <f>IFERROR(VLOOKUP(A247,Promo_Pivot!A:C,3,FALSE),"No")</f>
        <v>Yes</v>
      </c>
    </row>
    <row r="239" spans="1:13" x14ac:dyDescent="0.35">
      <c r="A239" t="s">
        <v>1997</v>
      </c>
      <c r="B239" s="2">
        <v>45551</v>
      </c>
      <c r="C239">
        <v>3073</v>
      </c>
      <c r="D239">
        <v>5</v>
      </c>
      <c r="E239">
        <v>41</v>
      </c>
      <c r="F239">
        <v>4</v>
      </c>
      <c r="G239">
        <v>5</v>
      </c>
      <c r="H239">
        <v>4</v>
      </c>
      <c r="I239" t="str">
        <f t="shared" si="6"/>
        <v>454</v>
      </c>
      <c r="J239" t="s">
        <v>2304</v>
      </c>
      <c r="K239" t="s">
        <v>2299</v>
      </c>
      <c r="L239" t="str">
        <f t="shared" si="7"/>
        <v>Low Risk</v>
      </c>
      <c r="M239" t="str">
        <f>IFERROR(VLOOKUP(A248,Promo_Pivot!A:C,3,FALSE),"No")</f>
        <v>Yes</v>
      </c>
    </row>
    <row r="240" spans="1:13" x14ac:dyDescent="0.35">
      <c r="A240" t="s">
        <v>1998</v>
      </c>
      <c r="B240" s="2">
        <v>45404</v>
      </c>
      <c r="C240">
        <v>4281</v>
      </c>
      <c r="D240">
        <v>5</v>
      </c>
      <c r="E240">
        <v>188</v>
      </c>
      <c r="F240">
        <v>1</v>
      </c>
      <c r="G240">
        <v>5</v>
      </c>
      <c r="H240">
        <v>5</v>
      </c>
      <c r="I240" t="str">
        <f t="shared" si="6"/>
        <v>155</v>
      </c>
      <c r="J240" t="s">
        <v>2300</v>
      </c>
      <c r="K240" t="s">
        <v>2301</v>
      </c>
      <c r="L240" t="str">
        <f t="shared" si="7"/>
        <v>Critical Risk</v>
      </c>
      <c r="M240" t="str">
        <f>IFERROR(VLOOKUP(A249,Promo_Pivot!A:C,3,FALSE),"No")</f>
        <v>Yes</v>
      </c>
    </row>
    <row r="241" spans="1:13" x14ac:dyDescent="0.35">
      <c r="A241" t="s">
        <v>1999</v>
      </c>
      <c r="B241" s="2">
        <v>45587</v>
      </c>
      <c r="C241">
        <v>1300</v>
      </c>
      <c r="D241">
        <v>2</v>
      </c>
      <c r="E241">
        <v>5</v>
      </c>
      <c r="F241">
        <v>5</v>
      </c>
      <c r="G241">
        <v>3</v>
      </c>
      <c r="H241">
        <v>2</v>
      </c>
      <c r="I241" t="str">
        <f t="shared" si="6"/>
        <v>532</v>
      </c>
      <c r="J241" t="s">
        <v>2298</v>
      </c>
      <c r="K241" t="s">
        <v>2299</v>
      </c>
      <c r="L241" t="str">
        <f t="shared" si="7"/>
        <v>Moderate Risk</v>
      </c>
      <c r="M241" t="str">
        <f>IFERROR(VLOOKUP(A250,Promo_Pivot!A:C,3,FALSE),"No")</f>
        <v>Yes</v>
      </c>
    </row>
    <row r="242" spans="1:13" x14ac:dyDescent="0.35">
      <c r="A242" t="s">
        <v>2000</v>
      </c>
      <c r="B242" s="2">
        <v>45536</v>
      </c>
      <c r="C242">
        <v>2534</v>
      </c>
      <c r="D242">
        <v>2</v>
      </c>
      <c r="E242">
        <v>56</v>
      </c>
      <c r="F242">
        <v>3</v>
      </c>
      <c r="G242">
        <v>3</v>
      </c>
      <c r="H242">
        <v>3</v>
      </c>
      <c r="I242" t="str">
        <f t="shared" si="6"/>
        <v>333</v>
      </c>
      <c r="J242" t="s">
        <v>2303</v>
      </c>
      <c r="K242" t="s">
        <v>2299</v>
      </c>
      <c r="L242" t="str">
        <f t="shared" si="7"/>
        <v>Moderate Risk</v>
      </c>
      <c r="M242" t="str">
        <f>IFERROR(VLOOKUP(A251,Promo_Pivot!A:C,3,FALSE),"No")</f>
        <v>Yes</v>
      </c>
    </row>
    <row r="243" spans="1:13" x14ac:dyDescent="0.35">
      <c r="A243" t="s">
        <v>2001</v>
      </c>
      <c r="B243" s="2">
        <v>45560</v>
      </c>
      <c r="C243">
        <v>2074</v>
      </c>
      <c r="D243">
        <v>3</v>
      </c>
      <c r="E243">
        <v>32</v>
      </c>
      <c r="F243">
        <v>4</v>
      </c>
      <c r="G243">
        <v>4</v>
      </c>
      <c r="H243">
        <v>3</v>
      </c>
      <c r="I243" t="str">
        <f t="shared" si="6"/>
        <v>443</v>
      </c>
      <c r="J243" t="s">
        <v>2303</v>
      </c>
      <c r="K243" t="s">
        <v>2299</v>
      </c>
      <c r="L243" t="str">
        <f t="shared" si="7"/>
        <v>Low Risk</v>
      </c>
      <c r="M243" t="str">
        <f>IFERROR(VLOOKUP(A252,Promo_Pivot!A:C,3,FALSE),"No")</f>
        <v>Yes</v>
      </c>
    </row>
    <row r="244" spans="1:13" x14ac:dyDescent="0.35">
      <c r="A244" t="s">
        <v>2002</v>
      </c>
      <c r="B244" s="2">
        <v>45549</v>
      </c>
      <c r="C244">
        <v>3014</v>
      </c>
      <c r="D244">
        <v>3</v>
      </c>
      <c r="E244">
        <v>43</v>
      </c>
      <c r="F244">
        <v>4</v>
      </c>
      <c r="G244">
        <v>4</v>
      </c>
      <c r="H244">
        <v>4</v>
      </c>
      <c r="I244" t="str">
        <f t="shared" si="6"/>
        <v>444</v>
      </c>
      <c r="J244" t="s">
        <v>2304</v>
      </c>
      <c r="K244" t="s">
        <v>2299</v>
      </c>
      <c r="L244" t="str">
        <f t="shared" si="7"/>
        <v>Moderate Risk</v>
      </c>
      <c r="M244" t="str">
        <f>IFERROR(VLOOKUP(A253,Promo_Pivot!A:C,3,FALSE),"No")</f>
        <v>Yes</v>
      </c>
    </row>
    <row r="245" spans="1:13" x14ac:dyDescent="0.35">
      <c r="A245" t="s">
        <v>2003</v>
      </c>
      <c r="B245" s="2">
        <v>45586</v>
      </c>
      <c r="C245">
        <v>3189</v>
      </c>
      <c r="D245">
        <v>3</v>
      </c>
      <c r="E245">
        <v>6</v>
      </c>
      <c r="F245">
        <v>5</v>
      </c>
      <c r="G245">
        <v>4</v>
      </c>
      <c r="H245">
        <v>4</v>
      </c>
      <c r="I245" t="str">
        <f t="shared" si="6"/>
        <v>544</v>
      </c>
      <c r="J245" t="s">
        <v>2304</v>
      </c>
      <c r="K245" t="s">
        <v>2299</v>
      </c>
      <c r="L245" t="str">
        <f t="shared" si="7"/>
        <v>Moderate Risk</v>
      </c>
      <c r="M245" t="str">
        <f>IFERROR(VLOOKUP(A254,Promo_Pivot!A:C,3,FALSE),"No")</f>
        <v>Yes</v>
      </c>
    </row>
    <row r="246" spans="1:13" x14ac:dyDescent="0.35">
      <c r="A246" t="s">
        <v>2004</v>
      </c>
      <c r="B246" s="2">
        <v>45546</v>
      </c>
      <c r="C246">
        <v>3302</v>
      </c>
      <c r="D246">
        <v>4</v>
      </c>
      <c r="E246">
        <v>46</v>
      </c>
      <c r="F246">
        <v>4</v>
      </c>
      <c r="G246">
        <v>5</v>
      </c>
      <c r="H246">
        <v>4</v>
      </c>
      <c r="I246" t="str">
        <f t="shared" si="6"/>
        <v>454</v>
      </c>
      <c r="J246" t="s">
        <v>2304</v>
      </c>
      <c r="K246" t="s">
        <v>2299</v>
      </c>
      <c r="L246" t="str">
        <f t="shared" si="7"/>
        <v>Low Risk</v>
      </c>
      <c r="M246" t="str">
        <f>IFERROR(VLOOKUP(A255,Promo_Pivot!A:C,3,FALSE),"No")</f>
        <v>Yes</v>
      </c>
    </row>
    <row r="247" spans="1:13" x14ac:dyDescent="0.35">
      <c r="A247" t="s">
        <v>1717</v>
      </c>
      <c r="B247" s="2">
        <v>45558</v>
      </c>
      <c r="C247">
        <v>695</v>
      </c>
      <c r="D247">
        <v>1</v>
      </c>
      <c r="E247">
        <v>34</v>
      </c>
      <c r="F247">
        <v>4</v>
      </c>
      <c r="G247">
        <v>2</v>
      </c>
      <c r="H247">
        <v>1</v>
      </c>
      <c r="I247" t="str">
        <f t="shared" si="6"/>
        <v>421</v>
      </c>
      <c r="J247" t="s">
        <v>2298</v>
      </c>
      <c r="K247" t="s">
        <v>2299</v>
      </c>
      <c r="L247" t="str">
        <f t="shared" si="7"/>
        <v>Moderate Risk</v>
      </c>
      <c r="M247" t="str">
        <f>IFERROR(VLOOKUP(A256,Promo_Pivot!A:C,3,FALSE),"No")</f>
        <v>Yes</v>
      </c>
    </row>
    <row r="248" spans="1:13" x14ac:dyDescent="0.35">
      <c r="A248" t="s">
        <v>2005</v>
      </c>
      <c r="B248" s="2">
        <v>45570</v>
      </c>
      <c r="C248">
        <v>5980</v>
      </c>
      <c r="D248">
        <v>5</v>
      </c>
      <c r="E248">
        <v>22</v>
      </c>
      <c r="F248">
        <v>5</v>
      </c>
      <c r="G248">
        <v>5</v>
      </c>
      <c r="H248">
        <v>5</v>
      </c>
      <c r="I248" t="str">
        <f t="shared" si="6"/>
        <v>555</v>
      </c>
      <c r="J248" t="s">
        <v>2304</v>
      </c>
      <c r="K248" t="s">
        <v>2299</v>
      </c>
      <c r="L248" t="str">
        <f t="shared" si="7"/>
        <v>Moderate Risk</v>
      </c>
      <c r="M248" t="str">
        <f>IFERROR(VLOOKUP(A257,Promo_Pivot!A:C,3,FALSE),"No")</f>
        <v>Yes</v>
      </c>
    </row>
    <row r="249" spans="1:13" x14ac:dyDescent="0.35">
      <c r="A249" t="s">
        <v>2006</v>
      </c>
      <c r="B249" s="2">
        <v>45543</v>
      </c>
      <c r="C249">
        <v>2338</v>
      </c>
      <c r="D249">
        <v>2</v>
      </c>
      <c r="E249">
        <v>49</v>
      </c>
      <c r="F249">
        <v>4</v>
      </c>
      <c r="G249">
        <v>3</v>
      </c>
      <c r="H249">
        <v>3</v>
      </c>
      <c r="I249" t="str">
        <f t="shared" si="6"/>
        <v>433</v>
      </c>
      <c r="J249" t="s">
        <v>2303</v>
      </c>
      <c r="K249" t="s">
        <v>2299</v>
      </c>
      <c r="L249" t="str">
        <f t="shared" si="7"/>
        <v>Low Risk</v>
      </c>
      <c r="M249" t="str">
        <f>IFERROR(VLOOKUP(A258,Promo_Pivot!A:C,3,FALSE),"No")</f>
        <v>Yes</v>
      </c>
    </row>
    <row r="250" spans="1:13" x14ac:dyDescent="0.35">
      <c r="A250" t="s">
        <v>2007</v>
      </c>
      <c r="B250" s="2">
        <v>45539</v>
      </c>
      <c r="C250">
        <v>5108</v>
      </c>
      <c r="D250">
        <v>5</v>
      </c>
      <c r="E250">
        <v>53</v>
      </c>
      <c r="F250">
        <v>4</v>
      </c>
      <c r="G250">
        <v>5</v>
      </c>
      <c r="H250">
        <v>5</v>
      </c>
      <c r="I250" t="str">
        <f t="shared" si="6"/>
        <v>455</v>
      </c>
      <c r="J250" t="s">
        <v>2304</v>
      </c>
      <c r="K250" t="s">
        <v>2299</v>
      </c>
      <c r="L250" t="str">
        <f t="shared" si="7"/>
        <v>Low Risk</v>
      </c>
      <c r="M250" t="str">
        <f>IFERROR(VLOOKUP(A259,Promo_Pivot!A:C,3,FALSE),"No")</f>
        <v>Yes</v>
      </c>
    </row>
    <row r="251" spans="1:13" x14ac:dyDescent="0.35">
      <c r="A251" t="s">
        <v>2008</v>
      </c>
      <c r="B251" s="2">
        <v>45582</v>
      </c>
      <c r="C251">
        <v>1356</v>
      </c>
      <c r="D251">
        <v>3</v>
      </c>
      <c r="E251">
        <v>10</v>
      </c>
      <c r="F251">
        <v>5</v>
      </c>
      <c r="G251">
        <v>4</v>
      </c>
      <c r="H251">
        <v>2</v>
      </c>
      <c r="I251" t="str">
        <f t="shared" si="6"/>
        <v>542</v>
      </c>
      <c r="J251" t="s">
        <v>2298</v>
      </c>
      <c r="K251" t="s">
        <v>2299</v>
      </c>
      <c r="L251" t="str">
        <f t="shared" si="7"/>
        <v>Moderate Risk</v>
      </c>
      <c r="M251" t="str">
        <f>IFERROR(VLOOKUP(A260,Promo_Pivot!A:C,3,FALSE),"No")</f>
        <v>Yes</v>
      </c>
    </row>
    <row r="252" spans="1:13" x14ac:dyDescent="0.35">
      <c r="A252" t="s">
        <v>2009</v>
      </c>
      <c r="B252" s="2">
        <v>45592</v>
      </c>
      <c r="C252">
        <v>1087</v>
      </c>
      <c r="D252">
        <v>2</v>
      </c>
      <c r="E252">
        <v>0</v>
      </c>
      <c r="F252">
        <v>5</v>
      </c>
      <c r="G252">
        <v>3</v>
      </c>
      <c r="H252">
        <v>2</v>
      </c>
      <c r="I252" t="str">
        <f t="shared" si="6"/>
        <v>532</v>
      </c>
      <c r="J252" t="s">
        <v>2298</v>
      </c>
      <c r="K252" t="s">
        <v>2299</v>
      </c>
      <c r="L252" t="str">
        <f t="shared" si="7"/>
        <v>Moderate Risk</v>
      </c>
      <c r="M252" t="str">
        <f>IFERROR(VLOOKUP(A261,Promo_Pivot!A:C,3,FALSE),"No")</f>
        <v>Yes</v>
      </c>
    </row>
    <row r="253" spans="1:13" x14ac:dyDescent="0.35">
      <c r="A253" t="s">
        <v>2010</v>
      </c>
      <c r="B253" s="2">
        <v>45504</v>
      </c>
      <c r="C253">
        <v>1050</v>
      </c>
      <c r="D253">
        <v>2</v>
      </c>
      <c r="E253">
        <v>88</v>
      </c>
      <c r="F253">
        <v>3</v>
      </c>
      <c r="G253">
        <v>3</v>
      </c>
      <c r="H253">
        <v>2</v>
      </c>
      <c r="I253" t="str">
        <f t="shared" si="6"/>
        <v>332</v>
      </c>
      <c r="J253" t="s">
        <v>2302</v>
      </c>
      <c r="K253" t="s">
        <v>2299</v>
      </c>
      <c r="L253" t="str">
        <f t="shared" si="7"/>
        <v>High Risk</v>
      </c>
      <c r="M253" t="str">
        <f>IFERROR(VLOOKUP(A262,Promo_Pivot!A:C,3,FALSE),"No")</f>
        <v>Yes</v>
      </c>
    </row>
    <row r="254" spans="1:13" x14ac:dyDescent="0.35">
      <c r="A254" t="s">
        <v>2011</v>
      </c>
      <c r="B254" s="2">
        <v>45550</v>
      </c>
      <c r="C254">
        <v>1774</v>
      </c>
      <c r="D254">
        <v>4</v>
      </c>
      <c r="E254">
        <v>42</v>
      </c>
      <c r="F254">
        <v>4</v>
      </c>
      <c r="G254">
        <v>5</v>
      </c>
      <c r="H254">
        <v>3</v>
      </c>
      <c r="I254" t="str">
        <f t="shared" si="6"/>
        <v>453</v>
      </c>
      <c r="J254" t="s">
        <v>2303</v>
      </c>
      <c r="K254" t="s">
        <v>2299</v>
      </c>
      <c r="L254" t="str">
        <f t="shared" si="7"/>
        <v>Moderate Risk</v>
      </c>
      <c r="M254" t="str">
        <f>IFERROR(VLOOKUP(A263,Promo_Pivot!A:C,3,FALSE),"No")</f>
        <v>Yes</v>
      </c>
    </row>
    <row r="255" spans="1:13" x14ac:dyDescent="0.35">
      <c r="A255" t="s">
        <v>2012</v>
      </c>
      <c r="B255" s="2">
        <v>45475</v>
      </c>
      <c r="C255">
        <v>3959</v>
      </c>
      <c r="D255">
        <v>4</v>
      </c>
      <c r="E255">
        <v>117</v>
      </c>
      <c r="F255">
        <v>2</v>
      </c>
      <c r="G255">
        <v>5</v>
      </c>
      <c r="H255">
        <v>5</v>
      </c>
      <c r="I255" t="str">
        <f t="shared" si="6"/>
        <v>255</v>
      </c>
      <c r="J255" t="s">
        <v>2300</v>
      </c>
      <c r="K255" t="s">
        <v>2301</v>
      </c>
      <c r="L255" t="str">
        <f t="shared" si="7"/>
        <v>Very High Risk</v>
      </c>
      <c r="M255" t="str">
        <f>IFERROR(VLOOKUP(A264,Promo_Pivot!A:C,3,FALSE),"No")</f>
        <v>Yes</v>
      </c>
    </row>
    <row r="256" spans="1:13" x14ac:dyDescent="0.35">
      <c r="A256" t="s">
        <v>2013</v>
      </c>
      <c r="B256" s="2">
        <v>45547</v>
      </c>
      <c r="C256">
        <v>5590</v>
      </c>
      <c r="D256">
        <v>5</v>
      </c>
      <c r="E256">
        <v>45</v>
      </c>
      <c r="F256">
        <v>4</v>
      </c>
      <c r="G256">
        <v>5</v>
      </c>
      <c r="H256">
        <v>5</v>
      </c>
      <c r="I256" t="str">
        <f t="shared" si="6"/>
        <v>455</v>
      </c>
      <c r="J256" t="s">
        <v>2304</v>
      </c>
      <c r="K256" t="s">
        <v>2299</v>
      </c>
      <c r="L256" t="str">
        <f t="shared" si="7"/>
        <v>Low Risk</v>
      </c>
      <c r="M256" t="str">
        <f>IFERROR(VLOOKUP(A265,Promo_Pivot!A:C,3,FALSE),"No")</f>
        <v>Yes</v>
      </c>
    </row>
    <row r="257" spans="1:13" x14ac:dyDescent="0.35">
      <c r="A257" t="s">
        <v>2014</v>
      </c>
      <c r="B257" s="2">
        <v>45544</v>
      </c>
      <c r="C257">
        <v>2775</v>
      </c>
      <c r="D257">
        <v>4</v>
      </c>
      <c r="E257">
        <v>48</v>
      </c>
      <c r="F257">
        <v>4</v>
      </c>
      <c r="G257">
        <v>5</v>
      </c>
      <c r="H257">
        <v>4</v>
      </c>
      <c r="I257" t="str">
        <f t="shared" si="6"/>
        <v>454</v>
      </c>
      <c r="J257" t="s">
        <v>2304</v>
      </c>
      <c r="K257" t="s">
        <v>2299</v>
      </c>
      <c r="L257" t="str">
        <f t="shared" si="7"/>
        <v>Moderate Risk</v>
      </c>
      <c r="M257" t="str">
        <f>IFERROR(VLOOKUP(A266,Promo_Pivot!A:C,3,FALSE),"No")</f>
        <v>Yes</v>
      </c>
    </row>
    <row r="258" spans="1:13" x14ac:dyDescent="0.35">
      <c r="A258" t="s">
        <v>1718</v>
      </c>
      <c r="B258" s="2">
        <v>45577</v>
      </c>
      <c r="C258">
        <v>491</v>
      </c>
      <c r="D258">
        <v>1</v>
      </c>
      <c r="E258">
        <v>15</v>
      </c>
      <c r="F258">
        <v>5</v>
      </c>
      <c r="G258">
        <v>2</v>
      </c>
      <c r="H258">
        <v>1</v>
      </c>
      <c r="I258" t="str">
        <f t="shared" si="6"/>
        <v>521</v>
      </c>
      <c r="J258" t="s">
        <v>2298</v>
      </c>
      <c r="K258" t="s">
        <v>2299</v>
      </c>
      <c r="L258" t="str">
        <f t="shared" si="7"/>
        <v>Moderate Risk</v>
      </c>
      <c r="M258" t="str">
        <f>IFERROR(VLOOKUP(A267,Promo_Pivot!A:C,3,FALSE),"No")</f>
        <v>Yes</v>
      </c>
    </row>
    <row r="259" spans="1:13" x14ac:dyDescent="0.35">
      <c r="A259" t="s">
        <v>2015</v>
      </c>
      <c r="B259" s="2">
        <v>45363</v>
      </c>
      <c r="C259">
        <v>2716</v>
      </c>
      <c r="D259">
        <v>2</v>
      </c>
      <c r="E259">
        <v>229</v>
      </c>
      <c r="F259">
        <v>1</v>
      </c>
      <c r="G259">
        <v>3</v>
      </c>
      <c r="H259">
        <v>4</v>
      </c>
      <c r="I259" t="str">
        <f t="shared" ref="I259:I322" si="8">F259&amp;G259&amp;H259</f>
        <v>134</v>
      </c>
      <c r="J259" t="s">
        <v>2300</v>
      </c>
      <c r="K259" t="s">
        <v>2301</v>
      </c>
      <c r="L259" t="str">
        <f t="shared" ref="L259:L322" si="9">IF(E261&lt;=30,"Low Risk",
IF(E259&lt;=60,"Moderate Risk",
IF(E259&lt;=90,"High Risk",
IF(E259&lt;=180,"Very High Risk","Critical Risk"))))</f>
        <v>Critical Risk</v>
      </c>
      <c r="M259" t="str">
        <f>IFERROR(VLOOKUP(A268,Promo_Pivot!A:C,3,FALSE),"No")</f>
        <v>Yes</v>
      </c>
    </row>
    <row r="260" spans="1:13" x14ac:dyDescent="0.35">
      <c r="A260" t="s">
        <v>2016</v>
      </c>
      <c r="B260" s="2">
        <v>45507</v>
      </c>
      <c r="C260">
        <v>5474</v>
      </c>
      <c r="D260">
        <v>5</v>
      </c>
      <c r="E260">
        <v>85</v>
      </c>
      <c r="F260">
        <v>3</v>
      </c>
      <c r="G260">
        <v>5</v>
      </c>
      <c r="H260">
        <v>5</v>
      </c>
      <c r="I260" t="str">
        <f t="shared" si="8"/>
        <v>355</v>
      </c>
      <c r="J260" t="s">
        <v>2303</v>
      </c>
      <c r="K260" t="s">
        <v>2299</v>
      </c>
      <c r="L260" t="str">
        <f t="shared" si="9"/>
        <v>High Risk</v>
      </c>
      <c r="M260" t="str">
        <f>IFERROR(VLOOKUP(A269,Promo_Pivot!A:C,3,FALSE),"No")</f>
        <v>Yes</v>
      </c>
    </row>
    <row r="261" spans="1:13" x14ac:dyDescent="0.35">
      <c r="A261" t="s">
        <v>2017</v>
      </c>
      <c r="B261" s="2">
        <v>45531</v>
      </c>
      <c r="C261">
        <v>2749</v>
      </c>
      <c r="D261">
        <v>2</v>
      </c>
      <c r="E261">
        <v>61</v>
      </c>
      <c r="F261">
        <v>3</v>
      </c>
      <c r="G261">
        <v>3</v>
      </c>
      <c r="H261">
        <v>4</v>
      </c>
      <c r="I261" t="str">
        <f t="shared" si="8"/>
        <v>334</v>
      </c>
      <c r="J261" t="s">
        <v>2303</v>
      </c>
      <c r="K261" t="s">
        <v>2299</v>
      </c>
      <c r="L261" t="str">
        <f t="shared" si="9"/>
        <v>High Risk</v>
      </c>
      <c r="M261" t="str">
        <f>IFERROR(VLOOKUP(A270,Promo_Pivot!A:C,3,FALSE),"No")</f>
        <v>Yes</v>
      </c>
    </row>
    <row r="262" spans="1:13" x14ac:dyDescent="0.35">
      <c r="A262" t="s">
        <v>2018</v>
      </c>
      <c r="B262" s="2">
        <v>45548</v>
      </c>
      <c r="C262">
        <v>2070</v>
      </c>
      <c r="D262">
        <v>3</v>
      </c>
      <c r="E262">
        <v>44</v>
      </c>
      <c r="F262">
        <v>4</v>
      </c>
      <c r="G262">
        <v>4</v>
      </c>
      <c r="H262">
        <v>3</v>
      </c>
      <c r="I262" t="str">
        <f t="shared" si="8"/>
        <v>443</v>
      </c>
      <c r="J262" t="s">
        <v>2303</v>
      </c>
      <c r="K262" t="s">
        <v>2299</v>
      </c>
      <c r="L262" t="str">
        <f t="shared" si="9"/>
        <v>Moderate Risk</v>
      </c>
      <c r="M262" t="str">
        <f>IFERROR(VLOOKUP(A271,Promo_Pivot!A:C,3,FALSE),"No")</f>
        <v>Yes</v>
      </c>
    </row>
    <row r="263" spans="1:13" x14ac:dyDescent="0.35">
      <c r="A263" t="s">
        <v>2019</v>
      </c>
      <c r="B263" s="2">
        <v>45468</v>
      </c>
      <c r="C263">
        <v>4795</v>
      </c>
      <c r="D263">
        <v>5</v>
      </c>
      <c r="E263">
        <v>124</v>
      </c>
      <c r="F263">
        <v>2</v>
      </c>
      <c r="G263">
        <v>5</v>
      </c>
      <c r="H263">
        <v>5</v>
      </c>
      <c r="I263" t="str">
        <f t="shared" si="8"/>
        <v>255</v>
      </c>
      <c r="J263" t="s">
        <v>2300</v>
      </c>
      <c r="K263" t="s">
        <v>2301</v>
      </c>
      <c r="L263" t="str">
        <f t="shared" si="9"/>
        <v>Very High Risk</v>
      </c>
      <c r="M263" t="str">
        <f>IFERROR(VLOOKUP(A272,Promo_Pivot!A:C,3,FALSE),"No")</f>
        <v>Yes</v>
      </c>
    </row>
    <row r="264" spans="1:13" x14ac:dyDescent="0.35">
      <c r="A264" t="s">
        <v>2020</v>
      </c>
      <c r="B264" s="2">
        <v>45490</v>
      </c>
      <c r="C264">
        <v>1268</v>
      </c>
      <c r="D264">
        <v>2</v>
      </c>
      <c r="E264">
        <v>102</v>
      </c>
      <c r="F264">
        <v>2</v>
      </c>
      <c r="G264">
        <v>3</v>
      </c>
      <c r="H264">
        <v>2</v>
      </c>
      <c r="I264" t="str">
        <f t="shared" si="8"/>
        <v>232</v>
      </c>
      <c r="J264" t="s">
        <v>2300</v>
      </c>
      <c r="K264" t="s">
        <v>2301</v>
      </c>
      <c r="L264" t="str">
        <f t="shared" si="9"/>
        <v>Very High Risk</v>
      </c>
      <c r="M264" t="str">
        <f>IFERROR(VLOOKUP(A273,Promo_Pivot!A:C,3,FALSE),"No")</f>
        <v>Yes</v>
      </c>
    </row>
    <row r="265" spans="1:13" x14ac:dyDescent="0.35">
      <c r="A265" t="s">
        <v>2021</v>
      </c>
      <c r="B265" s="2">
        <v>45530</v>
      </c>
      <c r="C265">
        <v>2858</v>
      </c>
      <c r="D265">
        <v>3</v>
      </c>
      <c r="E265">
        <v>62</v>
      </c>
      <c r="F265">
        <v>3</v>
      </c>
      <c r="G265">
        <v>4</v>
      </c>
      <c r="H265">
        <v>4</v>
      </c>
      <c r="I265" t="str">
        <f t="shared" si="8"/>
        <v>344</v>
      </c>
      <c r="J265" t="s">
        <v>2303</v>
      </c>
      <c r="K265" t="s">
        <v>2299</v>
      </c>
      <c r="L265" t="str">
        <f t="shared" si="9"/>
        <v>Low Risk</v>
      </c>
      <c r="M265" t="str">
        <f>IFERROR(VLOOKUP(A274,Promo_Pivot!A:C,3,FALSE),"No")</f>
        <v>Yes</v>
      </c>
    </row>
    <row r="266" spans="1:13" x14ac:dyDescent="0.35">
      <c r="A266" t="s">
        <v>2022</v>
      </c>
      <c r="B266" s="2">
        <v>45412</v>
      </c>
      <c r="C266">
        <v>1069</v>
      </c>
      <c r="D266">
        <v>2</v>
      </c>
      <c r="E266">
        <v>180</v>
      </c>
      <c r="F266">
        <v>1</v>
      </c>
      <c r="G266">
        <v>3</v>
      </c>
      <c r="H266">
        <v>2</v>
      </c>
      <c r="I266" t="str">
        <f t="shared" si="8"/>
        <v>132</v>
      </c>
      <c r="J266" t="s">
        <v>2300</v>
      </c>
      <c r="K266" t="s">
        <v>2301</v>
      </c>
      <c r="L266" t="str">
        <f t="shared" si="9"/>
        <v>Low Risk</v>
      </c>
      <c r="M266" t="str">
        <f>IFERROR(VLOOKUP(A275,Promo_Pivot!A:C,3,FALSE),"No")</f>
        <v>Yes</v>
      </c>
    </row>
    <row r="267" spans="1:13" x14ac:dyDescent="0.35">
      <c r="A267" t="s">
        <v>2023</v>
      </c>
      <c r="B267" s="2">
        <v>45565</v>
      </c>
      <c r="C267">
        <v>1026</v>
      </c>
      <c r="D267">
        <v>2</v>
      </c>
      <c r="E267">
        <v>27</v>
      </c>
      <c r="F267">
        <v>5</v>
      </c>
      <c r="G267">
        <v>3</v>
      </c>
      <c r="H267">
        <v>2</v>
      </c>
      <c r="I267" t="str">
        <f t="shared" si="8"/>
        <v>532</v>
      </c>
      <c r="J267" t="s">
        <v>2298</v>
      </c>
      <c r="K267" t="s">
        <v>2299</v>
      </c>
      <c r="L267" t="str">
        <f t="shared" si="9"/>
        <v>Moderate Risk</v>
      </c>
      <c r="M267" t="str">
        <f>IFERROR(VLOOKUP(A276,Promo_Pivot!A:C,3,FALSE),"No")</f>
        <v>Yes</v>
      </c>
    </row>
    <row r="268" spans="1:13" x14ac:dyDescent="0.35">
      <c r="A268" t="s">
        <v>2024</v>
      </c>
      <c r="B268" s="2">
        <v>45564</v>
      </c>
      <c r="C268">
        <v>4775</v>
      </c>
      <c r="D268">
        <v>4</v>
      </c>
      <c r="E268">
        <v>28</v>
      </c>
      <c r="F268">
        <v>4</v>
      </c>
      <c r="G268">
        <v>5</v>
      </c>
      <c r="H268">
        <v>5</v>
      </c>
      <c r="I268" t="str">
        <f t="shared" si="8"/>
        <v>455</v>
      </c>
      <c r="J268" t="s">
        <v>2304</v>
      </c>
      <c r="K268" t="s">
        <v>2299</v>
      </c>
      <c r="L268" t="str">
        <f t="shared" si="9"/>
        <v>Moderate Risk</v>
      </c>
      <c r="M268" t="str">
        <f>IFERROR(VLOOKUP(A277,Promo_Pivot!A:C,3,FALSE),"No")</f>
        <v>Yes</v>
      </c>
    </row>
    <row r="269" spans="1:13" x14ac:dyDescent="0.35">
      <c r="A269" t="s">
        <v>1719</v>
      </c>
      <c r="B269" s="2">
        <v>45477</v>
      </c>
      <c r="C269">
        <v>1924</v>
      </c>
      <c r="D269">
        <v>1</v>
      </c>
      <c r="E269">
        <v>115</v>
      </c>
      <c r="F269">
        <v>2</v>
      </c>
      <c r="G269">
        <v>2</v>
      </c>
      <c r="H269">
        <v>3</v>
      </c>
      <c r="I269" t="str">
        <f t="shared" si="8"/>
        <v>223</v>
      </c>
      <c r="J269" t="s">
        <v>2300</v>
      </c>
      <c r="K269" t="s">
        <v>2301</v>
      </c>
      <c r="L269" t="str">
        <f t="shared" si="9"/>
        <v>Low Risk</v>
      </c>
      <c r="M269" t="str">
        <f>IFERROR(VLOOKUP(A278,Promo_Pivot!A:C,3,FALSE),"No")</f>
        <v>Yes</v>
      </c>
    </row>
    <row r="270" spans="1:13" x14ac:dyDescent="0.35">
      <c r="A270" t="s">
        <v>2025</v>
      </c>
      <c r="B270" s="2">
        <v>45400</v>
      </c>
      <c r="C270">
        <v>1664</v>
      </c>
      <c r="D270">
        <v>2</v>
      </c>
      <c r="E270">
        <v>192</v>
      </c>
      <c r="F270">
        <v>1</v>
      </c>
      <c r="G270">
        <v>3</v>
      </c>
      <c r="H270">
        <v>3</v>
      </c>
      <c r="I270" t="str">
        <f t="shared" si="8"/>
        <v>133</v>
      </c>
      <c r="J270" t="s">
        <v>2300</v>
      </c>
      <c r="K270" t="s">
        <v>2301</v>
      </c>
      <c r="L270" t="str">
        <f t="shared" si="9"/>
        <v>Critical Risk</v>
      </c>
      <c r="M270" t="str">
        <f>IFERROR(VLOOKUP(A279,Promo_Pivot!A:C,3,FALSE),"No")</f>
        <v>Yes</v>
      </c>
    </row>
    <row r="271" spans="1:13" x14ac:dyDescent="0.35">
      <c r="A271" t="s">
        <v>2026</v>
      </c>
      <c r="B271" s="2">
        <v>45562</v>
      </c>
      <c r="C271">
        <v>2076</v>
      </c>
      <c r="D271">
        <v>2</v>
      </c>
      <c r="E271">
        <v>30</v>
      </c>
      <c r="F271">
        <v>4</v>
      </c>
      <c r="G271">
        <v>3</v>
      </c>
      <c r="H271">
        <v>3</v>
      </c>
      <c r="I271" t="str">
        <f t="shared" si="8"/>
        <v>433</v>
      </c>
      <c r="J271" t="s">
        <v>2303</v>
      </c>
      <c r="K271" t="s">
        <v>2299</v>
      </c>
      <c r="L271" t="str">
        <f t="shared" si="9"/>
        <v>Moderate Risk</v>
      </c>
      <c r="M271" t="str">
        <f>IFERROR(VLOOKUP(A280,Promo_Pivot!A:C,3,FALSE),"No")</f>
        <v>Yes</v>
      </c>
    </row>
    <row r="272" spans="1:13" x14ac:dyDescent="0.35">
      <c r="A272" t="s">
        <v>2027</v>
      </c>
      <c r="B272" s="2">
        <v>45484</v>
      </c>
      <c r="C272">
        <v>1859</v>
      </c>
      <c r="D272">
        <v>4</v>
      </c>
      <c r="E272">
        <v>108</v>
      </c>
      <c r="F272">
        <v>2</v>
      </c>
      <c r="G272">
        <v>5</v>
      </c>
      <c r="H272">
        <v>3</v>
      </c>
      <c r="I272" t="str">
        <f t="shared" si="8"/>
        <v>253</v>
      </c>
      <c r="J272" t="s">
        <v>2300</v>
      </c>
      <c r="K272" t="s">
        <v>2301</v>
      </c>
      <c r="L272" t="str">
        <f t="shared" si="9"/>
        <v>Very High Risk</v>
      </c>
      <c r="M272" t="str">
        <f>IFERROR(VLOOKUP(A281,Promo_Pivot!A:C,3,FALSE),"No")</f>
        <v>Yes</v>
      </c>
    </row>
    <row r="273" spans="1:13" x14ac:dyDescent="0.35">
      <c r="A273" t="s">
        <v>2028</v>
      </c>
      <c r="B273" s="2">
        <v>45544</v>
      </c>
      <c r="C273">
        <v>6309</v>
      </c>
      <c r="D273">
        <v>5</v>
      </c>
      <c r="E273">
        <v>48</v>
      </c>
      <c r="F273">
        <v>4</v>
      </c>
      <c r="G273">
        <v>5</v>
      </c>
      <c r="H273">
        <v>5</v>
      </c>
      <c r="I273" t="str">
        <f t="shared" si="8"/>
        <v>455</v>
      </c>
      <c r="J273" t="s">
        <v>2304</v>
      </c>
      <c r="K273" t="s">
        <v>2299</v>
      </c>
      <c r="L273" t="str">
        <f t="shared" si="9"/>
        <v>Low Risk</v>
      </c>
      <c r="M273" t="str">
        <f>IFERROR(VLOOKUP(A282,Promo_Pivot!A:C,3,FALSE),"No")</f>
        <v>Yes</v>
      </c>
    </row>
    <row r="274" spans="1:13" x14ac:dyDescent="0.35">
      <c r="A274" t="s">
        <v>2029</v>
      </c>
      <c r="B274" s="2">
        <v>45476</v>
      </c>
      <c r="C274">
        <v>2502</v>
      </c>
      <c r="D274">
        <v>3</v>
      </c>
      <c r="E274">
        <v>116</v>
      </c>
      <c r="F274">
        <v>2</v>
      </c>
      <c r="G274">
        <v>4</v>
      </c>
      <c r="H274">
        <v>3</v>
      </c>
      <c r="I274" t="str">
        <f t="shared" si="8"/>
        <v>243</v>
      </c>
      <c r="J274" t="s">
        <v>2300</v>
      </c>
      <c r="K274" t="s">
        <v>2301</v>
      </c>
      <c r="L274" t="str">
        <f t="shared" si="9"/>
        <v>Low Risk</v>
      </c>
      <c r="M274" t="str">
        <f>IFERROR(VLOOKUP(A283,Promo_Pivot!A:C,3,FALSE),"No")</f>
        <v>Yes</v>
      </c>
    </row>
    <row r="275" spans="1:13" x14ac:dyDescent="0.35">
      <c r="A275" t="s">
        <v>2030</v>
      </c>
      <c r="B275" s="2">
        <v>45579</v>
      </c>
      <c r="C275">
        <v>3439</v>
      </c>
      <c r="D275">
        <v>5</v>
      </c>
      <c r="E275">
        <v>13</v>
      </c>
      <c r="F275">
        <v>5</v>
      </c>
      <c r="G275">
        <v>5</v>
      </c>
      <c r="H275">
        <v>4</v>
      </c>
      <c r="I275" t="str">
        <f t="shared" si="8"/>
        <v>554</v>
      </c>
      <c r="J275" t="s">
        <v>2304</v>
      </c>
      <c r="K275" t="s">
        <v>2299</v>
      </c>
      <c r="L275" t="str">
        <f t="shared" si="9"/>
        <v>Low Risk</v>
      </c>
      <c r="M275" t="str">
        <f>IFERROR(VLOOKUP(A284,Promo_Pivot!A:C,3,FALSE),"No")</f>
        <v>Yes</v>
      </c>
    </row>
    <row r="276" spans="1:13" x14ac:dyDescent="0.35">
      <c r="A276" t="s">
        <v>2031</v>
      </c>
      <c r="B276" s="2">
        <v>45583</v>
      </c>
      <c r="C276">
        <v>6153</v>
      </c>
      <c r="D276">
        <v>5</v>
      </c>
      <c r="E276">
        <v>9</v>
      </c>
      <c r="F276">
        <v>5</v>
      </c>
      <c r="G276">
        <v>5</v>
      </c>
      <c r="H276">
        <v>5</v>
      </c>
      <c r="I276" t="str">
        <f t="shared" si="8"/>
        <v>555</v>
      </c>
      <c r="J276" t="s">
        <v>2304</v>
      </c>
      <c r="K276" t="s">
        <v>2299</v>
      </c>
      <c r="L276" t="str">
        <f t="shared" si="9"/>
        <v>Moderate Risk</v>
      </c>
      <c r="M276" t="str">
        <f>IFERROR(VLOOKUP(A285,Promo_Pivot!A:C,3,FALSE),"No")</f>
        <v>Yes</v>
      </c>
    </row>
    <row r="277" spans="1:13" x14ac:dyDescent="0.35">
      <c r="A277" t="s">
        <v>2032</v>
      </c>
      <c r="B277" s="2">
        <v>45568</v>
      </c>
      <c r="C277">
        <v>3124</v>
      </c>
      <c r="D277">
        <v>4</v>
      </c>
      <c r="E277">
        <v>24</v>
      </c>
      <c r="F277">
        <v>5</v>
      </c>
      <c r="G277">
        <v>5</v>
      </c>
      <c r="H277">
        <v>4</v>
      </c>
      <c r="I277" t="str">
        <f t="shared" si="8"/>
        <v>554</v>
      </c>
      <c r="J277" t="s">
        <v>2304</v>
      </c>
      <c r="K277" t="s">
        <v>2299</v>
      </c>
      <c r="L277" t="str">
        <f t="shared" si="9"/>
        <v>Moderate Risk</v>
      </c>
      <c r="M277" t="str">
        <f>IFERROR(VLOOKUP(A286,Promo_Pivot!A:C,3,FALSE),"No")</f>
        <v>Yes</v>
      </c>
    </row>
    <row r="278" spans="1:13" x14ac:dyDescent="0.35">
      <c r="A278" t="s">
        <v>2033</v>
      </c>
      <c r="B278" s="2">
        <v>45497</v>
      </c>
      <c r="C278">
        <v>1029</v>
      </c>
      <c r="D278">
        <v>2</v>
      </c>
      <c r="E278">
        <v>95</v>
      </c>
      <c r="F278">
        <v>2</v>
      </c>
      <c r="G278">
        <v>3</v>
      </c>
      <c r="H278">
        <v>2</v>
      </c>
      <c r="I278" t="str">
        <f t="shared" si="8"/>
        <v>232</v>
      </c>
      <c r="J278" t="s">
        <v>2300</v>
      </c>
      <c r="K278" t="s">
        <v>2301</v>
      </c>
      <c r="L278" t="str">
        <f t="shared" si="9"/>
        <v>Very High Risk</v>
      </c>
      <c r="M278" t="str">
        <f>IFERROR(VLOOKUP(A287,Promo_Pivot!A:C,3,FALSE),"No")</f>
        <v>Yes</v>
      </c>
    </row>
    <row r="279" spans="1:13" x14ac:dyDescent="0.35">
      <c r="A279" t="s">
        <v>2034</v>
      </c>
      <c r="B279" s="2">
        <v>45535</v>
      </c>
      <c r="C279">
        <v>4796</v>
      </c>
      <c r="D279">
        <v>4</v>
      </c>
      <c r="E279">
        <v>57</v>
      </c>
      <c r="F279">
        <v>3</v>
      </c>
      <c r="G279">
        <v>5</v>
      </c>
      <c r="H279">
        <v>5</v>
      </c>
      <c r="I279" t="str">
        <f t="shared" si="8"/>
        <v>355</v>
      </c>
      <c r="J279" t="s">
        <v>2303</v>
      </c>
      <c r="K279" t="s">
        <v>2299</v>
      </c>
      <c r="L279" t="str">
        <f t="shared" si="9"/>
        <v>Moderate Risk</v>
      </c>
      <c r="M279" t="str">
        <f>IFERROR(VLOOKUP(A288,Promo_Pivot!A:C,3,FALSE),"No")</f>
        <v>Yes</v>
      </c>
    </row>
    <row r="280" spans="1:13" x14ac:dyDescent="0.35">
      <c r="A280" t="s">
        <v>1720</v>
      </c>
      <c r="B280" s="2">
        <v>45399</v>
      </c>
      <c r="C280">
        <v>1608</v>
      </c>
      <c r="D280">
        <v>1</v>
      </c>
      <c r="E280">
        <v>193</v>
      </c>
      <c r="F280">
        <v>1</v>
      </c>
      <c r="G280">
        <v>2</v>
      </c>
      <c r="H280">
        <v>3</v>
      </c>
      <c r="I280" t="str">
        <f t="shared" si="8"/>
        <v>123</v>
      </c>
      <c r="J280" t="s">
        <v>2300</v>
      </c>
      <c r="K280" t="s">
        <v>2301</v>
      </c>
      <c r="L280" t="str">
        <f t="shared" si="9"/>
        <v>Critical Risk</v>
      </c>
      <c r="M280" t="str">
        <f>IFERROR(VLOOKUP(A289,Promo_Pivot!A:C,3,FALSE),"No")</f>
        <v>Yes</v>
      </c>
    </row>
    <row r="281" spans="1:13" x14ac:dyDescent="0.35">
      <c r="A281" t="s">
        <v>2035</v>
      </c>
      <c r="B281" s="2">
        <v>45560</v>
      </c>
      <c r="C281">
        <v>2750</v>
      </c>
      <c r="D281">
        <v>3</v>
      </c>
      <c r="E281">
        <v>32</v>
      </c>
      <c r="F281">
        <v>4</v>
      </c>
      <c r="G281">
        <v>4</v>
      </c>
      <c r="H281">
        <v>4</v>
      </c>
      <c r="I281" t="str">
        <f t="shared" si="8"/>
        <v>444</v>
      </c>
      <c r="J281" t="s">
        <v>2304</v>
      </c>
      <c r="K281" t="s">
        <v>2299</v>
      </c>
      <c r="L281" t="str">
        <f t="shared" si="9"/>
        <v>Low Risk</v>
      </c>
      <c r="M281" t="str">
        <f>IFERROR(VLOOKUP(A290,Promo_Pivot!A:C,3,FALSE),"No")</f>
        <v>Yes</v>
      </c>
    </row>
    <row r="282" spans="1:13" x14ac:dyDescent="0.35">
      <c r="A282" t="s">
        <v>2036</v>
      </c>
      <c r="B282" s="2">
        <v>45401</v>
      </c>
      <c r="C282">
        <v>1536</v>
      </c>
      <c r="D282">
        <v>2</v>
      </c>
      <c r="E282">
        <v>191</v>
      </c>
      <c r="F282">
        <v>1</v>
      </c>
      <c r="G282">
        <v>3</v>
      </c>
      <c r="H282">
        <v>2</v>
      </c>
      <c r="I282" t="str">
        <f t="shared" si="8"/>
        <v>132</v>
      </c>
      <c r="J282" t="s">
        <v>2300</v>
      </c>
      <c r="K282" t="s">
        <v>2301</v>
      </c>
      <c r="L282" t="str">
        <f t="shared" si="9"/>
        <v>Critical Risk</v>
      </c>
      <c r="M282" t="str">
        <f>IFERROR(VLOOKUP(A291,Promo_Pivot!A:C,3,FALSE),"No")</f>
        <v>Yes</v>
      </c>
    </row>
    <row r="283" spans="1:13" x14ac:dyDescent="0.35">
      <c r="A283" t="s">
        <v>2037</v>
      </c>
      <c r="B283" s="2">
        <v>45584</v>
      </c>
      <c r="C283">
        <v>2117</v>
      </c>
      <c r="D283">
        <v>3</v>
      </c>
      <c r="E283">
        <v>8</v>
      </c>
      <c r="F283">
        <v>5</v>
      </c>
      <c r="G283">
        <v>4</v>
      </c>
      <c r="H283">
        <v>3</v>
      </c>
      <c r="I283" t="str">
        <f t="shared" si="8"/>
        <v>543</v>
      </c>
      <c r="J283" t="s">
        <v>2303</v>
      </c>
      <c r="K283" t="s">
        <v>2299</v>
      </c>
      <c r="L283" t="str">
        <f t="shared" si="9"/>
        <v>Moderate Risk</v>
      </c>
      <c r="M283" t="str">
        <f>IFERROR(VLOOKUP(A292,Promo_Pivot!A:C,3,FALSE),"No")</f>
        <v>Yes</v>
      </c>
    </row>
    <row r="284" spans="1:13" x14ac:dyDescent="0.35">
      <c r="A284" t="s">
        <v>2038</v>
      </c>
      <c r="B284" s="2">
        <v>45411</v>
      </c>
      <c r="C284">
        <v>1206</v>
      </c>
      <c r="D284">
        <v>2</v>
      </c>
      <c r="E284">
        <v>181</v>
      </c>
      <c r="F284">
        <v>1</v>
      </c>
      <c r="G284">
        <v>3</v>
      </c>
      <c r="H284">
        <v>2</v>
      </c>
      <c r="I284" t="str">
        <f t="shared" si="8"/>
        <v>132</v>
      </c>
      <c r="J284" t="s">
        <v>2300</v>
      </c>
      <c r="K284" t="s">
        <v>2301</v>
      </c>
      <c r="L284" t="str">
        <f t="shared" si="9"/>
        <v>Critical Risk</v>
      </c>
      <c r="M284" t="str">
        <f>IFERROR(VLOOKUP(A293,Promo_Pivot!A:C,3,FALSE),"No")</f>
        <v>Yes</v>
      </c>
    </row>
    <row r="285" spans="1:13" x14ac:dyDescent="0.35">
      <c r="A285" t="s">
        <v>2039</v>
      </c>
      <c r="B285" s="2">
        <v>45513</v>
      </c>
      <c r="C285">
        <v>1611</v>
      </c>
      <c r="D285">
        <v>4</v>
      </c>
      <c r="E285">
        <v>79</v>
      </c>
      <c r="F285">
        <v>3</v>
      </c>
      <c r="G285">
        <v>5</v>
      </c>
      <c r="H285">
        <v>3</v>
      </c>
      <c r="I285" t="str">
        <f t="shared" si="8"/>
        <v>353</v>
      </c>
      <c r="J285" t="s">
        <v>2303</v>
      </c>
      <c r="K285" t="s">
        <v>2299</v>
      </c>
      <c r="L285" t="str">
        <f t="shared" si="9"/>
        <v>Low Risk</v>
      </c>
      <c r="M285" t="str">
        <f>IFERROR(VLOOKUP(A294,Promo_Pivot!A:C,3,FALSE),"No")</f>
        <v>Yes</v>
      </c>
    </row>
    <row r="286" spans="1:13" x14ac:dyDescent="0.35">
      <c r="A286" t="s">
        <v>2040</v>
      </c>
      <c r="B286" s="2">
        <v>45443</v>
      </c>
      <c r="C286">
        <v>1890</v>
      </c>
      <c r="D286">
        <v>4</v>
      </c>
      <c r="E286">
        <v>149</v>
      </c>
      <c r="F286">
        <v>2</v>
      </c>
      <c r="G286">
        <v>5</v>
      </c>
      <c r="H286">
        <v>3</v>
      </c>
      <c r="I286" t="str">
        <f t="shared" si="8"/>
        <v>253</v>
      </c>
      <c r="J286" t="s">
        <v>2300</v>
      </c>
      <c r="K286" t="s">
        <v>2301</v>
      </c>
      <c r="L286" t="str">
        <f t="shared" si="9"/>
        <v>Very High Risk</v>
      </c>
      <c r="M286" t="str">
        <f>IFERROR(VLOOKUP(A295,Promo_Pivot!A:C,3,FALSE),"No")</f>
        <v>Yes</v>
      </c>
    </row>
    <row r="287" spans="1:13" x14ac:dyDescent="0.35">
      <c r="A287" t="s">
        <v>2041</v>
      </c>
      <c r="B287" s="2">
        <v>45582</v>
      </c>
      <c r="C287">
        <v>4562</v>
      </c>
      <c r="D287">
        <v>5</v>
      </c>
      <c r="E287">
        <v>10</v>
      </c>
      <c r="F287">
        <v>5</v>
      </c>
      <c r="G287">
        <v>5</v>
      </c>
      <c r="H287">
        <v>5</v>
      </c>
      <c r="I287" t="str">
        <f t="shared" si="8"/>
        <v>555</v>
      </c>
      <c r="J287" t="s">
        <v>2304</v>
      </c>
      <c r="K287" t="s">
        <v>2299</v>
      </c>
      <c r="L287" t="str">
        <f t="shared" si="9"/>
        <v>Low Risk</v>
      </c>
      <c r="M287" t="str">
        <f>IFERROR(VLOOKUP(A296,Promo_Pivot!A:C,3,FALSE),"No")</f>
        <v>Yes</v>
      </c>
    </row>
    <row r="288" spans="1:13" x14ac:dyDescent="0.35">
      <c r="A288" t="s">
        <v>2042</v>
      </c>
      <c r="B288" s="2">
        <v>45440</v>
      </c>
      <c r="C288">
        <v>3303</v>
      </c>
      <c r="D288">
        <v>3</v>
      </c>
      <c r="E288">
        <v>152</v>
      </c>
      <c r="F288">
        <v>1</v>
      </c>
      <c r="G288">
        <v>4</v>
      </c>
      <c r="H288">
        <v>4</v>
      </c>
      <c r="I288" t="str">
        <f t="shared" si="8"/>
        <v>144</v>
      </c>
      <c r="J288" t="s">
        <v>2300</v>
      </c>
      <c r="K288" t="s">
        <v>2301</v>
      </c>
      <c r="L288" t="str">
        <f t="shared" si="9"/>
        <v>Very High Risk</v>
      </c>
      <c r="M288" t="str">
        <f>IFERROR(VLOOKUP(A297,Promo_Pivot!A:C,3,FALSE),"No")</f>
        <v>Yes</v>
      </c>
    </row>
    <row r="289" spans="1:13" x14ac:dyDescent="0.35">
      <c r="A289" t="s">
        <v>2043</v>
      </c>
      <c r="B289" s="2">
        <v>45584</v>
      </c>
      <c r="C289">
        <v>3963</v>
      </c>
      <c r="D289">
        <v>5</v>
      </c>
      <c r="E289">
        <v>8</v>
      </c>
      <c r="F289">
        <v>5</v>
      </c>
      <c r="G289">
        <v>5</v>
      </c>
      <c r="H289">
        <v>5</v>
      </c>
      <c r="I289" t="str">
        <f t="shared" si="8"/>
        <v>555</v>
      </c>
      <c r="J289" t="s">
        <v>2304</v>
      </c>
      <c r="K289" t="s">
        <v>2299</v>
      </c>
      <c r="L289" t="str">
        <f t="shared" si="9"/>
        <v>Moderate Risk</v>
      </c>
      <c r="M289" t="str">
        <f>IFERROR(VLOOKUP(A298,Promo_Pivot!A:C,3,FALSE),"No")</f>
        <v>Yes</v>
      </c>
    </row>
    <row r="290" spans="1:13" x14ac:dyDescent="0.35">
      <c r="A290" t="s">
        <v>2044</v>
      </c>
      <c r="B290" s="2">
        <v>45490</v>
      </c>
      <c r="C290">
        <v>4716</v>
      </c>
      <c r="D290">
        <v>4</v>
      </c>
      <c r="E290">
        <v>102</v>
      </c>
      <c r="F290">
        <v>2</v>
      </c>
      <c r="G290">
        <v>5</v>
      </c>
      <c r="H290">
        <v>5</v>
      </c>
      <c r="I290" t="str">
        <f t="shared" si="8"/>
        <v>255</v>
      </c>
      <c r="J290" t="s">
        <v>2300</v>
      </c>
      <c r="K290" t="s">
        <v>2301</v>
      </c>
      <c r="L290" t="str">
        <f t="shared" si="9"/>
        <v>Very High Risk</v>
      </c>
      <c r="M290" t="str">
        <f>IFERROR(VLOOKUP(A299,Promo_Pivot!A:C,3,FALSE),"No")</f>
        <v>Yes</v>
      </c>
    </row>
    <row r="291" spans="1:13" x14ac:dyDescent="0.35">
      <c r="A291" t="s">
        <v>1721</v>
      </c>
      <c r="B291" s="2">
        <v>45468</v>
      </c>
      <c r="C291">
        <v>532</v>
      </c>
      <c r="D291">
        <v>1</v>
      </c>
      <c r="E291">
        <v>124</v>
      </c>
      <c r="F291">
        <v>2</v>
      </c>
      <c r="G291">
        <v>2</v>
      </c>
      <c r="H291">
        <v>1</v>
      </c>
      <c r="I291" t="str">
        <f t="shared" si="8"/>
        <v>221</v>
      </c>
      <c r="J291" t="s">
        <v>2300</v>
      </c>
      <c r="K291" t="s">
        <v>2301</v>
      </c>
      <c r="L291" t="str">
        <f t="shared" si="9"/>
        <v>Very High Risk</v>
      </c>
      <c r="M291" t="str">
        <f>IFERROR(VLOOKUP(A300,Promo_Pivot!A:C,3,FALSE),"No")</f>
        <v>Yes</v>
      </c>
    </row>
    <row r="292" spans="1:13" x14ac:dyDescent="0.35">
      <c r="A292" t="s">
        <v>2045</v>
      </c>
      <c r="B292" s="2">
        <v>45489</v>
      </c>
      <c r="C292">
        <v>400</v>
      </c>
      <c r="D292">
        <v>2</v>
      </c>
      <c r="E292">
        <v>103</v>
      </c>
      <c r="F292">
        <v>2</v>
      </c>
      <c r="G292">
        <v>3</v>
      </c>
      <c r="H292">
        <v>1</v>
      </c>
      <c r="I292" t="str">
        <f t="shared" si="8"/>
        <v>231</v>
      </c>
      <c r="J292" t="s">
        <v>2300</v>
      </c>
      <c r="K292" t="s">
        <v>2301</v>
      </c>
      <c r="L292" t="str">
        <f t="shared" si="9"/>
        <v>Very High Risk</v>
      </c>
      <c r="M292" t="str">
        <f>IFERROR(VLOOKUP(A301,Promo_Pivot!A:C,3,FALSE),"No")</f>
        <v>Yes</v>
      </c>
    </row>
    <row r="293" spans="1:13" x14ac:dyDescent="0.35">
      <c r="A293" t="s">
        <v>2046</v>
      </c>
      <c r="B293" s="2">
        <v>45391</v>
      </c>
      <c r="C293">
        <v>5261</v>
      </c>
      <c r="D293">
        <v>4</v>
      </c>
      <c r="E293">
        <v>201</v>
      </c>
      <c r="F293">
        <v>1</v>
      </c>
      <c r="G293">
        <v>5</v>
      </c>
      <c r="H293">
        <v>5</v>
      </c>
      <c r="I293" t="str">
        <f t="shared" si="8"/>
        <v>155</v>
      </c>
      <c r="J293" t="s">
        <v>2300</v>
      </c>
      <c r="K293" t="s">
        <v>2301</v>
      </c>
      <c r="L293" t="str">
        <f t="shared" si="9"/>
        <v>Critical Risk</v>
      </c>
      <c r="M293" t="str">
        <f>IFERROR(VLOOKUP(A302,Promo_Pivot!A:C,3,FALSE),"No")</f>
        <v>Yes</v>
      </c>
    </row>
    <row r="294" spans="1:13" x14ac:dyDescent="0.35">
      <c r="A294" t="s">
        <v>2047</v>
      </c>
      <c r="B294" s="2">
        <v>45530</v>
      </c>
      <c r="C294">
        <v>1732</v>
      </c>
      <c r="D294">
        <v>2</v>
      </c>
      <c r="E294">
        <v>62</v>
      </c>
      <c r="F294">
        <v>3</v>
      </c>
      <c r="G294">
        <v>3</v>
      </c>
      <c r="H294">
        <v>3</v>
      </c>
      <c r="I294" t="str">
        <f t="shared" si="8"/>
        <v>333</v>
      </c>
      <c r="J294" t="s">
        <v>2303</v>
      </c>
      <c r="K294" t="s">
        <v>2299</v>
      </c>
      <c r="L294" t="str">
        <f t="shared" si="9"/>
        <v>High Risk</v>
      </c>
      <c r="M294" t="str">
        <f>IFERROR(VLOOKUP(A303,Promo_Pivot!A:C,3,FALSE),"No")</f>
        <v>Yes</v>
      </c>
    </row>
    <row r="295" spans="1:13" x14ac:dyDescent="0.35">
      <c r="A295" t="s">
        <v>2048</v>
      </c>
      <c r="B295" s="2">
        <v>45529</v>
      </c>
      <c r="C295">
        <v>4921</v>
      </c>
      <c r="D295">
        <v>5</v>
      </c>
      <c r="E295">
        <v>63</v>
      </c>
      <c r="F295">
        <v>3</v>
      </c>
      <c r="G295">
        <v>5</v>
      </c>
      <c r="H295">
        <v>5</v>
      </c>
      <c r="I295" t="str">
        <f t="shared" si="8"/>
        <v>355</v>
      </c>
      <c r="J295" t="s">
        <v>2303</v>
      </c>
      <c r="K295" t="s">
        <v>2299</v>
      </c>
      <c r="L295" t="str">
        <f t="shared" si="9"/>
        <v>High Risk</v>
      </c>
      <c r="M295" t="str">
        <f>IFERROR(VLOOKUP(A304,Promo_Pivot!A:C,3,FALSE),"No")</f>
        <v>Yes</v>
      </c>
    </row>
    <row r="296" spans="1:13" x14ac:dyDescent="0.35">
      <c r="A296" t="s">
        <v>2049</v>
      </c>
      <c r="B296" s="2">
        <v>45526</v>
      </c>
      <c r="C296">
        <v>3016</v>
      </c>
      <c r="D296">
        <v>4</v>
      </c>
      <c r="E296">
        <v>66</v>
      </c>
      <c r="F296">
        <v>3</v>
      </c>
      <c r="G296">
        <v>5</v>
      </c>
      <c r="H296">
        <v>4</v>
      </c>
      <c r="I296" t="str">
        <f t="shared" si="8"/>
        <v>354</v>
      </c>
      <c r="J296" t="s">
        <v>2303</v>
      </c>
      <c r="K296" t="s">
        <v>2299</v>
      </c>
      <c r="L296" t="str">
        <f t="shared" si="9"/>
        <v>High Risk</v>
      </c>
      <c r="M296" t="str">
        <f>IFERROR(VLOOKUP(A305,Promo_Pivot!A:C,3,FALSE),"No")</f>
        <v>Yes</v>
      </c>
    </row>
    <row r="297" spans="1:13" x14ac:dyDescent="0.35">
      <c r="A297" t="s">
        <v>2050</v>
      </c>
      <c r="B297" s="2">
        <v>45542</v>
      </c>
      <c r="C297">
        <v>3050</v>
      </c>
      <c r="D297">
        <v>4</v>
      </c>
      <c r="E297">
        <v>50</v>
      </c>
      <c r="F297">
        <v>4</v>
      </c>
      <c r="G297">
        <v>5</v>
      </c>
      <c r="H297">
        <v>4</v>
      </c>
      <c r="I297" t="str">
        <f t="shared" si="8"/>
        <v>454</v>
      </c>
      <c r="J297" t="s">
        <v>2304</v>
      </c>
      <c r="K297" t="s">
        <v>2299</v>
      </c>
      <c r="L297" t="str">
        <f t="shared" si="9"/>
        <v>Moderate Risk</v>
      </c>
      <c r="M297" t="str">
        <f>IFERROR(VLOOKUP(A306,Promo_Pivot!A:C,3,FALSE),"No")</f>
        <v>Yes</v>
      </c>
    </row>
    <row r="298" spans="1:13" x14ac:dyDescent="0.35">
      <c r="A298" t="s">
        <v>2051</v>
      </c>
      <c r="B298" s="2">
        <v>45497</v>
      </c>
      <c r="C298">
        <v>3351</v>
      </c>
      <c r="D298">
        <v>3</v>
      </c>
      <c r="E298">
        <v>95</v>
      </c>
      <c r="F298">
        <v>2</v>
      </c>
      <c r="G298">
        <v>4</v>
      </c>
      <c r="H298">
        <v>4</v>
      </c>
      <c r="I298" t="str">
        <f t="shared" si="8"/>
        <v>244</v>
      </c>
      <c r="J298" t="s">
        <v>2300</v>
      </c>
      <c r="K298" t="s">
        <v>2301</v>
      </c>
      <c r="L298" t="str">
        <f t="shared" si="9"/>
        <v>Very High Risk</v>
      </c>
      <c r="M298" t="str">
        <f>IFERROR(VLOOKUP(A307,Promo_Pivot!A:C,3,FALSE),"No")</f>
        <v>Yes</v>
      </c>
    </row>
    <row r="299" spans="1:13" x14ac:dyDescent="0.35">
      <c r="A299" t="s">
        <v>2052</v>
      </c>
      <c r="B299" s="2">
        <v>45474</v>
      </c>
      <c r="C299">
        <v>1679</v>
      </c>
      <c r="D299">
        <v>3</v>
      </c>
      <c r="E299">
        <v>118</v>
      </c>
      <c r="F299">
        <v>2</v>
      </c>
      <c r="G299">
        <v>4</v>
      </c>
      <c r="H299">
        <v>3</v>
      </c>
      <c r="I299" t="str">
        <f t="shared" si="8"/>
        <v>243</v>
      </c>
      <c r="J299" t="s">
        <v>2300</v>
      </c>
      <c r="K299" t="s">
        <v>2301</v>
      </c>
      <c r="L299" t="str">
        <f t="shared" si="9"/>
        <v>Very High Risk</v>
      </c>
      <c r="M299" t="str">
        <f>IFERROR(VLOOKUP(A308,Promo_Pivot!A:C,3,FALSE),"No")</f>
        <v>Yes</v>
      </c>
    </row>
    <row r="300" spans="1:13" x14ac:dyDescent="0.35">
      <c r="A300" t="s">
        <v>2053</v>
      </c>
      <c r="B300" s="2">
        <v>45509</v>
      </c>
      <c r="C300">
        <v>3619</v>
      </c>
      <c r="D300">
        <v>4</v>
      </c>
      <c r="E300">
        <v>83</v>
      </c>
      <c r="F300">
        <v>3</v>
      </c>
      <c r="G300">
        <v>5</v>
      </c>
      <c r="H300">
        <v>4</v>
      </c>
      <c r="I300" t="str">
        <f t="shared" si="8"/>
        <v>354</v>
      </c>
      <c r="J300" t="s">
        <v>2303</v>
      </c>
      <c r="K300" t="s">
        <v>2299</v>
      </c>
      <c r="L300" t="str">
        <f t="shared" si="9"/>
        <v>High Risk</v>
      </c>
      <c r="M300" t="str">
        <f>IFERROR(VLOOKUP(A309,Promo_Pivot!A:C,3,FALSE),"No")</f>
        <v>Yes</v>
      </c>
    </row>
    <row r="301" spans="1:13" x14ac:dyDescent="0.35">
      <c r="A301" t="s">
        <v>2054</v>
      </c>
      <c r="B301" s="2">
        <v>45453</v>
      </c>
      <c r="C301">
        <v>1537</v>
      </c>
      <c r="D301">
        <v>2</v>
      </c>
      <c r="E301">
        <v>139</v>
      </c>
      <c r="F301">
        <v>2</v>
      </c>
      <c r="G301">
        <v>3</v>
      </c>
      <c r="H301">
        <v>2</v>
      </c>
      <c r="I301" t="str">
        <f t="shared" si="8"/>
        <v>232</v>
      </c>
      <c r="J301" t="s">
        <v>2300</v>
      </c>
      <c r="K301" t="s">
        <v>2301</v>
      </c>
      <c r="L301" t="str">
        <f t="shared" si="9"/>
        <v>Very High Risk</v>
      </c>
      <c r="M301" t="str">
        <f>IFERROR(VLOOKUP(A310,Promo_Pivot!A:C,3,FALSE),"No")</f>
        <v>Yes</v>
      </c>
    </row>
    <row r="302" spans="1:13" x14ac:dyDescent="0.35">
      <c r="A302" t="s">
        <v>1722</v>
      </c>
      <c r="B302" s="2">
        <v>45442</v>
      </c>
      <c r="C302">
        <v>555</v>
      </c>
      <c r="D302">
        <v>1</v>
      </c>
      <c r="E302">
        <v>150</v>
      </c>
      <c r="F302">
        <v>1</v>
      </c>
      <c r="G302">
        <v>2</v>
      </c>
      <c r="H302">
        <v>1</v>
      </c>
      <c r="I302" t="str">
        <f t="shared" si="8"/>
        <v>121</v>
      </c>
      <c r="J302" t="s">
        <v>2300</v>
      </c>
      <c r="K302" t="s">
        <v>2301</v>
      </c>
      <c r="L302" t="str">
        <f t="shared" si="9"/>
        <v>Very High Risk</v>
      </c>
      <c r="M302" t="str">
        <f>IFERROR(VLOOKUP(A311,Promo_Pivot!A:C,3,FALSE),"No")</f>
        <v>Yes</v>
      </c>
    </row>
    <row r="303" spans="1:13" x14ac:dyDescent="0.35">
      <c r="A303" t="s">
        <v>2055</v>
      </c>
      <c r="B303" s="2">
        <v>45553</v>
      </c>
      <c r="C303">
        <v>2351</v>
      </c>
      <c r="D303">
        <v>4</v>
      </c>
      <c r="E303">
        <v>39</v>
      </c>
      <c r="F303">
        <v>4</v>
      </c>
      <c r="G303">
        <v>5</v>
      </c>
      <c r="H303">
        <v>3</v>
      </c>
      <c r="I303" t="str">
        <f t="shared" si="8"/>
        <v>453</v>
      </c>
      <c r="J303" t="s">
        <v>2303</v>
      </c>
      <c r="K303" t="s">
        <v>2299</v>
      </c>
      <c r="L303" t="str">
        <f t="shared" si="9"/>
        <v>Low Risk</v>
      </c>
      <c r="M303" t="str">
        <f>IFERROR(VLOOKUP(A312,Promo_Pivot!A:C,3,FALSE),"No")</f>
        <v>Yes</v>
      </c>
    </row>
    <row r="304" spans="1:13" x14ac:dyDescent="0.35">
      <c r="A304" t="s">
        <v>2056</v>
      </c>
      <c r="B304" s="2">
        <v>45533</v>
      </c>
      <c r="C304">
        <v>1452</v>
      </c>
      <c r="D304">
        <v>2</v>
      </c>
      <c r="E304">
        <v>59</v>
      </c>
      <c r="F304">
        <v>3</v>
      </c>
      <c r="G304">
        <v>3</v>
      </c>
      <c r="H304">
        <v>2</v>
      </c>
      <c r="I304" t="str">
        <f t="shared" si="8"/>
        <v>332</v>
      </c>
      <c r="J304" t="s">
        <v>2302</v>
      </c>
      <c r="K304" t="s">
        <v>2299</v>
      </c>
      <c r="L304" t="str">
        <f t="shared" si="9"/>
        <v>Moderate Risk</v>
      </c>
      <c r="M304" t="str">
        <f>IFERROR(VLOOKUP(A313,Promo_Pivot!A:C,3,FALSE),"No")</f>
        <v>Yes</v>
      </c>
    </row>
    <row r="305" spans="1:13" x14ac:dyDescent="0.35">
      <c r="A305" t="s">
        <v>2057</v>
      </c>
      <c r="B305" s="2">
        <v>45577</v>
      </c>
      <c r="C305">
        <v>3120</v>
      </c>
      <c r="D305">
        <v>5</v>
      </c>
      <c r="E305">
        <v>15</v>
      </c>
      <c r="F305">
        <v>5</v>
      </c>
      <c r="G305">
        <v>5</v>
      </c>
      <c r="H305">
        <v>4</v>
      </c>
      <c r="I305" t="str">
        <f t="shared" si="8"/>
        <v>554</v>
      </c>
      <c r="J305" t="s">
        <v>2304</v>
      </c>
      <c r="K305" t="s">
        <v>2299</v>
      </c>
      <c r="L305" t="str">
        <f t="shared" si="9"/>
        <v>Moderate Risk</v>
      </c>
      <c r="M305" t="str">
        <f>IFERROR(VLOOKUP(A314,Promo_Pivot!A:C,3,FALSE),"No")</f>
        <v>Yes</v>
      </c>
    </row>
    <row r="306" spans="1:13" x14ac:dyDescent="0.35">
      <c r="A306" t="s">
        <v>2058</v>
      </c>
      <c r="B306" s="2">
        <v>45494</v>
      </c>
      <c r="C306">
        <v>2578</v>
      </c>
      <c r="D306">
        <v>3</v>
      </c>
      <c r="E306">
        <v>98</v>
      </c>
      <c r="F306">
        <v>2</v>
      </c>
      <c r="G306">
        <v>4</v>
      </c>
      <c r="H306">
        <v>4</v>
      </c>
      <c r="I306" t="str">
        <f t="shared" si="8"/>
        <v>244</v>
      </c>
      <c r="J306" t="s">
        <v>2300</v>
      </c>
      <c r="K306" t="s">
        <v>2301</v>
      </c>
      <c r="L306" t="str">
        <f t="shared" si="9"/>
        <v>Very High Risk</v>
      </c>
      <c r="M306" t="str">
        <f>IFERROR(VLOOKUP(A315,Promo_Pivot!A:C,3,FALSE),"No")</f>
        <v>Yes</v>
      </c>
    </row>
    <row r="307" spans="1:13" x14ac:dyDescent="0.35">
      <c r="A307" t="s">
        <v>2059</v>
      </c>
      <c r="B307" s="2">
        <v>45498</v>
      </c>
      <c r="C307">
        <v>2440</v>
      </c>
      <c r="D307">
        <v>3</v>
      </c>
      <c r="E307">
        <v>94</v>
      </c>
      <c r="F307">
        <v>2</v>
      </c>
      <c r="G307">
        <v>4</v>
      </c>
      <c r="H307">
        <v>3</v>
      </c>
      <c r="I307" t="str">
        <f t="shared" si="8"/>
        <v>243</v>
      </c>
      <c r="J307" t="s">
        <v>2300</v>
      </c>
      <c r="K307" t="s">
        <v>2301</v>
      </c>
      <c r="L307" t="str">
        <f t="shared" si="9"/>
        <v>Very High Risk</v>
      </c>
      <c r="M307" t="str">
        <f>IFERROR(VLOOKUP(A316,Promo_Pivot!A:C,3,FALSE),"No")</f>
        <v>Yes</v>
      </c>
    </row>
    <row r="308" spans="1:13" x14ac:dyDescent="0.35">
      <c r="A308" t="s">
        <v>2060</v>
      </c>
      <c r="B308" s="2">
        <v>45473</v>
      </c>
      <c r="C308">
        <v>2292</v>
      </c>
      <c r="D308">
        <v>3</v>
      </c>
      <c r="E308">
        <v>119</v>
      </c>
      <c r="F308">
        <v>2</v>
      </c>
      <c r="G308">
        <v>4</v>
      </c>
      <c r="H308">
        <v>3</v>
      </c>
      <c r="I308" t="str">
        <f t="shared" si="8"/>
        <v>243</v>
      </c>
      <c r="J308" t="s">
        <v>2300</v>
      </c>
      <c r="K308" t="s">
        <v>2301</v>
      </c>
      <c r="L308" t="str">
        <f t="shared" si="9"/>
        <v>Very High Risk</v>
      </c>
      <c r="M308" t="str">
        <f>IFERROR(VLOOKUP(A317,Promo_Pivot!A:C,3,FALSE),"No")</f>
        <v>Yes</v>
      </c>
    </row>
    <row r="309" spans="1:13" x14ac:dyDescent="0.35">
      <c r="A309" t="s">
        <v>2061</v>
      </c>
      <c r="B309" s="2">
        <v>45469</v>
      </c>
      <c r="C309">
        <v>2937</v>
      </c>
      <c r="D309">
        <v>4</v>
      </c>
      <c r="E309">
        <v>123</v>
      </c>
      <c r="F309">
        <v>2</v>
      </c>
      <c r="G309">
        <v>5</v>
      </c>
      <c r="H309">
        <v>4</v>
      </c>
      <c r="I309" t="str">
        <f t="shared" si="8"/>
        <v>254</v>
      </c>
      <c r="J309" t="s">
        <v>2300</v>
      </c>
      <c r="K309" t="s">
        <v>2301</v>
      </c>
      <c r="L309" t="str">
        <f t="shared" si="9"/>
        <v>Low Risk</v>
      </c>
      <c r="M309" t="str">
        <f>IFERROR(VLOOKUP(A318,Promo_Pivot!A:C,3,FALSE),"No")</f>
        <v>Yes</v>
      </c>
    </row>
    <row r="310" spans="1:13" x14ac:dyDescent="0.35">
      <c r="A310" t="s">
        <v>2062</v>
      </c>
      <c r="B310" s="2">
        <v>45522</v>
      </c>
      <c r="C310">
        <v>3732</v>
      </c>
      <c r="D310">
        <v>3</v>
      </c>
      <c r="E310">
        <v>70</v>
      </c>
      <c r="F310">
        <v>3</v>
      </c>
      <c r="G310">
        <v>4</v>
      </c>
      <c r="H310">
        <v>5</v>
      </c>
      <c r="I310" t="str">
        <f t="shared" si="8"/>
        <v>345</v>
      </c>
      <c r="J310" t="s">
        <v>2303</v>
      </c>
      <c r="K310" t="s">
        <v>2299</v>
      </c>
      <c r="L310" t="str">
        <f t="shared" si="9"/>
        <v>Low Risk</v>
      </c>
      <c r="M310" t="str">
        <f>IFERROR(VLOOKUP(A319,Promo_Pivot!A:C,3,FALSE),"No")</f>
        <v>Yes</v>
      </c>
    </row>
    <row r="311" spans="1:13" x14ac:dyDescent="0.35">
      <c r="A311" t="s">
        <v>2063</v>
      </c>
      <c r="B311" s="2">
        <v>45574</v>
      </c>
      <c r="C311">
        <v>2747</v>
      </c>
      <c r="D311">
        <v>4</v>
      </c>
      <c r="E311">
        <v>18</v>
      </c>
      <c r="F311">
        <v>5</v>
      </c>
      <c r="G311">
        <v>5</v>
      </c>
      <c r="H311">
        <v>4</v>
      </c>
      <c r="I311" t="str">
        <f t="shared" si="8"/>
        <v>554</v>
      </c>
      <c r="J311" t="s">
        <v>2304</v>
      </c>
      <c r="K311" t="s">
        <v>2299</v>
      </c>
      <c r="L311" t="str">
        <f t="shared" si="9"/>
        <v>Low Risk</v>
      </c>
      <c r="M311" t="str">
        <f>IFERROR(VLOOKUP(A320,Promo_Pivot!A:C,3,FALSE),"No")</f>
        <v>Yes</v>
      </c>
    </row>
    <row r="312" spans="1:13" x14ac:dyDescent="0.35">
      <c r="A312" t="s">
        <v>2064</v>
      </c>
      <c r="B312" s="2">
        <v>45590</v>
      </c>
      <c r="C312">
        <v>3140</v>
      </c>
      <c r="D312">
        <v>4</v>
      </c>
      <c r="E312">
        <v>2</v>
      </c>
      <c r="F312">
        <v>5</v>
      </c>
      <c r="G312">
        <v>5</v>
      </c>
      <c r="H312">
        <v>4</v>
      </c>
      <c r="I312" t="str">
        <f t="shared" si="8"/>
        <v>554</v>
      </c>
      <c r="J312" t="s">
        <v>2304</v>
      </c>
      <c r="K312" t="s">
        <v>2299</v>
      </c>
      <c r="L312" t="str">
        <f t="shared" si="9"/>
        <v>Moderate Risk</v>
      </c>
      <c r="M312" t="str">
        <f>IFERROR(VLOOKUP(A321,Promo_Pivot!A:C,3,FALSE),"No")</f>
        <v>Yes</v>
      </c>
    </row>
    <row r="313" spans="1:13" x14ac:dyDescent="0.35">
      <c r="A313" t="s">
        <v>1723</v>
      </c>
      <c r="B313" s="2">
        <v>45566</v>
      </c>
      <c r="C313">
        <v>987</v>
      </c>
      <c r="D313">
        <v>1</v>
      </c>
      <c r="E313">
        <v>26</v>
      </c>
      <c r="F313">
        <v>5</v>
      </c>
      <c r="G313">
        <v>2</v>
      </c>
      <c r="H313">
        <v>2</v>
      </c>
      <c r="I313" t="str">
        <f t="shared" si="8"/>
        <v>522</v>
      </c>
      <c r="J313" t="s">
        <v>2298</v>
      </c>
      <c r="K313" t="s">
        <v>2299</v>
      </c>
      <c r="L313" t="str">
        <f t="shared" si="9"/>
        <v>Moderate Risk</v>
      </c>
      <c r="M313" t="str">
        <f>IFERROR(VLOOKUP(A322,Promo_Pivot!A:C,3,FALSE),"No")</f>
        <v>Yes</v>
      </c>
    </row>
    <row r="314" spans="1:13" x14ac:dyDescent="0.35">
      <c r="A314" t="s">
        <v>2065</v>
      </c>
      <c r="B314" s="2">
        <v>45553</v>
      </c>
      <c r="C314">
        <v>6164</v>
      </c>
      <c r="D314">
        <v>4</v>
      </c>
      <c r="E314">
        <v>39</v>
      </c>
      <c r="F314">
        <v>4</v>
      </c>
      <c r="G314">
        <v>5</v>
      </c>
      <c r="H314">
        <v>5</v>
      </c>
      <c r="I314" t="str">
        <f t="shared" si="8"/>
        <v>455</v>
      </c>
      <c r="J314" t="s">
        <v>2304</v>
      </c>
      <c r="K314" t="s">
        <v>2299</v>
      </c>
      <c r="L314" t="str">
        <f t="shared" si="9"/>
        <v>Low Risk</v>
      </c>
      <c r="M314" t="str">
        <f>IFERROR(VLOOKUP(A323,Promo_Pivot!A:C,3,FALSE),"No")</f>
        <v>Yes</v>
      </c>
    </row>
    <row r="315" spans="1:13" x14ac:dyDescent="0.35">
      <c r="A315" t="s">
        <v>2066</v>
      </c>
      <c r="B315" s="2">
        <v>45508</v>
      </c>
      <c r="C315">
        <v>1936</v>
      </c>
      <c r="D315">
        <v>3</v>
      </c>
      <c r="E315">
        <v>84</v>
      </c>
      <c r="F315">
        <v>3</v>
      </c>
      <c r="G315">
        <v>4</v>
      </c>
      <c r="H315">
        <v>3</v>
      </c>
      <c r="I315" t="str">
        <f t="shared" si="8"/>
        <v>343</v>
      </c>
      <c r="J315" t="s">
        <v>2303</v>
      </c>
      <c r="K315" t="s">
        <v>2299</v>
      </c>
      <c r="L315" t="str">
        <f t="shared" si="9"/>
        <v>High Risk</v>
      </c>
      <c r="M315" t="str">
        <f>IFERROR(VLOOKUP(A324,Promo_Pivot!A:C,3,FALSE),"No")</f>
        <v>Yes</v>
      </c>
    </row>
    <row r="316" spans="1:13" x14ac:dyDescent="0.35">
      <c r="A316" t="s">
        <v>2067</v>
      </c>
      <c r="B316" s="2">
        <v>45577</v>
      </c>
      <c r="C316">
        <v>4444</v>
      </c>
      <c r="D316">
        <v>3</v>
      </c>
      <c r="E316">
        <v>15</v>
      </c>
      <c r="F316">
        <v>5</v>
      </c>
      <c r="G316">
        <v>4</v>
      </c>
      <c r="H316">
        <v>5</v>
      </c>
      <c r="I316" t="str">
        <f t="shared" si="8"/>
        <v>545</v>
      </c>
      <c r="J316" t="s">
        <v>2304</v>
      </c>
      <c r="K316" t="s">
        <v>2299</v>
      </c>
      <c r="L316" t="str">
        <f t="shared" si="9"/>
        <v>Moderate Risk</v>
      </c>
      <c r="M316" t="str">
        <f>IFERROR(VLOOKUP(A325,Promo_Pivot!A:C,3,FALSE),"No")</f>
        <v>Yes</v>
      </c>
    </row>
    <row r="317" spans="1:13" x14ac:dyDescent="0.35">
      <c r="A317" t="s">
        <v>2068</v>
      </c>
      <c r="B317" s="2">
        <v>45510</v>
      </c>
      <c r="C317">
        <v>3631</v>
      </c>
      <c r="D317">
        <v>3</v>
      </c>
      <c r="E317">
        <v>82</v>
      </c>
      <c r="F317">
        <v>3</v>
      </c>
      <c r="G317">
        <v>4</v>
      </c>
      <c r="H317">
        <v>4</v>
      </c>
      <c r="I317" t="str">
        <f t="shared" si="8"/>
        <v>344</v>
      </c>
      <c r="J317" t="s">
        <v>2303</v>
      </c>
      <c r="K317" t="s">
        <v>2299</v>
      </c>
      <c r="L317" t="str">
        <f t="shared" si="9"/>
        <v>High Risk</v>
      </c>
      <c r="M317" t="str">
        <f>IFERROR(VLOOKUP(A326,Promo_Pivot!A:C,3,FALSE),"No")</f>
        <v>Yes</v>
      </c>
    </row>
    <row r="318" spans="1:13" x14ac:dyDescent="0.35">
      <c r="A318" t="s">
        <v>2069</v>
      </c>
      <c r="B318" s="2">
        <v>45517</v>
      </c>
      <c r="C318">
        <v>3413</v>
      </c>
      <c r="D318">
        <v>3</v>
      </c>
      <c r="E318">
        <v>75</v>
      </c>
      <c r="F318">
        <v>3</v>
      </c>
      <c r="G318">
        <v>4</v>
      </c>
      <c r="H318">
        <v>4</v>
      </c>
      <c r="I318" t="str">
        <f t="shared" si="8"/>
        <v>344</v>
      </c>
      <c r="J318" t="s">
        <v>2303</v>
      </c>
      <c r="K318" t="s">
        <v>2299</v>
      </c>
      <c r="L318" t="str">
        <f t="shared" si="9"/>
        <v>High Risk</v>
      </c>
      <c r="M318" t="str">
        <f>IFERROR(VLOOKUP(A327,Promo_Pivot!A:C,3,FALSE),"No")</f>
        <v>Yes</v>
      </c>
    </row>
    <row r="319" spans="1:13" x14ac:dyDescent="0.35">
      <c r="A319" t="s">
        <v>2070</v>
      </c>
      <c r="B319" s="2">
        <v>45539</v>
      </c>
      <c r="C319">
        <v>3228</v>
      </c>
      <c r="D319">
        <v>3</v>
      </c>
      <c r="E319">
        <v>53</v>
      </c>
      <c r="F319">
        <v>4</v>
      </c>
      <c r="G319">
        <v>4</v>
      </c>
      <c r="H319">
        <v>4</v>
      </c>
      <c r="I319" t="str">
        <f t="shared" si="8"/>
        <v>444</v>
      </c>
      <c r="J319" t="s">
        <v>2304</v>
      </c>
      <c r="K319" t="s">
        <v>2299</v>
      </c>
      <c r="L319" t="str">
        <f t="shared" si="9"/>
        <v>Low Risk</v>
      </c>
      <c r="M319" t="str">
        <f>IFERROR(VLOOKUP(A328,Promo_Pivot!A:C,3,FALSE),"No")</f>
        <v>Yes</v>
      </c>
    </row>
    <row r="320" spans="1:13" x14ac:dyDescent="0.35">
      <c r="A320" t="s">
        <v>2071</v>
      </c>
      <c r="B320" s="2">
        <v>45467</v>
      </c>
      <c r="C320">
        <v>1980</v>
      </c>
      <c r="D320">
        <v>4</v>
      </c>
      <c r="E320">
        <v>125</v>
      </c>
      <c r="F320">
        <v>2</v>
      </c>
      <c r="G320">
        <v>5</v>
      </c>
      <c r="H320">
        <v>3</v>
      </c>
      <c r="I320" t="str">
        <f t="shared" si="8"/>
        <v>253</v>
      </c>
      <c r="J320" t="s">
        <v>2300</v>
      </c>
      <c r="K320" t="s">
        <v>2301</v>
      </c>
      <c r="L320" t="str">
        <f t="shared" si="9"/>
        <v>Very High Risk</v>
      </c>
      <c r="M320" t="str">
        <f>IFERROR(VLOOKUP(A329,Promo_Pivot!A:C,3,FALSE),"No")</f>
        <v>Yes</v>
      </c>
    </row>
    <row r="321" spans="1:13" x14ac:dyDescent="0.35">
      <c r="A321" t="s">
        <v>2072</v>
      </c>
      <c r="B321" s="2">
        <v>45567</v>
      </c>
      <c r="C321">
        <v>4271</v>
      </c>
      <c r="D321">
        <v>5</v>
      </c>
      <c r="E321">
        <v>25</v>
      </c>
      <c r="F321">
        <v>5</v>
      </c>
      <c r="G321">
        <v>5</v>
      </c>
      <c r="H321">
        <v>5</v>
      </c>
      <c r="I321" t="str">
        <f t="shared" si="8"/>
        <v>555</v>
      </c>
      <c r="J321" t="s">
        <v>2304</v>
      </c>
      <c r="K321" t="s">
        <v>2299</v>
      </c>
      <c r="L321" t="str">
        <f t="shared" si="9"/>
        <v>Moderate Risk</v>
      </c>
      <c r="M321" t="str">
        <f>IFERROR(VLOOKUP(A330,Promo_Pivot!A:C,3,FALSE),"No")</f>
        <v>Yes</v>
      </c>
    </row>
    <row r="322" spans="1:13" x14ac:dyDescent="0.35">
      <c r="A322" t="s">
        <v>2073</v>
      </c>
      <c r="B322" s="2">
        <v>45547</v>
      </c>
      <c r="C322">
        <v>3873</v>
      </c>
      <c r="D322">
        <v>4</v>
      </c>
      <c r="E322">
        <v>45</v>
      </c>
      <c r="F322">
        <v>4</v>
      </c>
      <c r="G322">
        <v>5</v>
      </c>
      <c r="H322">
        <v>5</v>
      </c>
      <c r="I322" t="str">
        <f t="shared" si="8"/>
        <v>455</v>
      </c>
      <c r="J322" t="s">
        <v>2304</v>
      </c>
      <c r="K322" t="s">
        <v>2299</v>
      </c>
      <c r="L322" t="str">
        <f t="shared" si="9"/>
        <v>Moderate Risk</v>
      </c>
      <c r="M322" t="str">
        <f>IFERROR(VLOOKUP(A331,Promo_Pivot!A:C,3,FALSE),"No")</f>
        <v>Yes</v>
      </c>
    </row>
    <row r="323" spans="1:13" x14ac:dyDescent="0.35">
      <c r="A323" t="s">
        <v>2074</v>
      </c>
      <c r="B323" s="2">
        <v>45509</v>
      </c>
      <c r="C323">
        <v>3978</v>
      </c>
      <c r="D323">
        <v>5</v>
      </c>
      <c r="E323">
        <v>83</v>
      </c>
      <c r="F323">
        <v>3</v>
      </c>
      <c r="G323">
        <v>5</v>
      </c>
      <c r="H323">
        <v>5</v>
      </c>
      <c r="I323" t="str">
        <f t="shared" ref="I323:I386" si="10">F323&amp;G323&amp;H323</f>
        <v>355</v>
      </c>
      <c r="J323" t="s">
        <v>2303</v>
      </c>
      <c r="K323" t="s">
        <v>2299</v>
      </c>
      <c r="L323" t="str">
        <f t="shared" ref="L323:L386" si="11">IF(E325&lt;=30,"Low Risk",
IF(E323&lt;=60,"Moderate Risk",
IF(E323&lt;=90,"High Risk",
IF(E323&lt;=180,"Very High Risk","Critical Risk"))))</f>
        <v>High Risk</v>
      </c>
      <c r="M323" t="str">
        <f>IFERROR(VLOOKUP(A332,Promo_Pivot!A:C,3,FALSE),"No")</f>
        <v>Yes</v>
      </c>
    </row>
    <row r="324" spans="1:13" x14ac:dyDescent="0.35">
      <c r="A324" t="s">
        <v>1724</v>
      </c>
      <c r="B324" s="2">
        <v>45308</v>
      </c>
      <c r="C324">
        <v>298</v>
      </c>
      <c r="D324">
        <v>1</v>
      </c>
      <c r="E324">
        <v>284</v>
      </c>
      <c r="F324">
        <v>1</v>
      </c>
      <c r="G324">
        <v>2</v>
      </c>
      <c r="H324">
        <v>1</v>
      </c>
      <c r="I324" t="str">
        <f t="shared" si="10"/>
        <v>121</v>
      </c>
      <c r="J324" t="s">
        <v>2300</v>
      </c>
      <c r="K324" t="s">
        <v>2301</v>
      </c>
      <c r="L324" t="str">
        <f t="shared" si="11"/>
        <v>Critical Risk</v>
      </c>
      <c r="M324" t="str">
        <f>IFERROR(VLOOKUP(A333,Promo_Pivot!A:C,3,FALSE),"No")</f>
        <v>Yes</v>
      </c>
    </row>
    <row r="325" spans="1:13" x14ac:dyDescent="0.35">
      <c r="A325" t="s">
        <v>2075</v>
      </c>
      <c r="B325" s="2">
        <v>45520</v>
      </c>
      <c r="C325">
        <v>5839</v>
      </c>
      <c r="D325">
        <v>5</v>
      </c>
      <c r="E325">
        <v>72</v>
      </c>
      <c r="F325">
        <v>3</v>
      </c>
      <c r="G325">
        <v>5</v>
      </c>
      <c r="H325">
        <v>5</v>
      </c>
      <c r="I325" t="str">
        <f t="shared" si="10"/>
        <v>355</v>
      </c>
      <c r="J325" t="s">
        <v>2303</v>
      </c>
      <c r="K325" t="s">
        <v>2299</v>
      </c>
      <c r="L325" t="str">
        <f t="shared" si="11"/>
        <v>High Risk</v>
      </c>
      <c r="M325" t="str">
        <f>IFERROR(VLOOKUP(A334,Promo_Pivot!A:C,3,FALSE),"No")</f>
        <v>Yes</v>
      </c>
    </row>
    <row r="326" spans="1:13" x14ac:dyDescent="0.35">
      <c r="A326" t="s">
        <v>2076</v>
      </c>
      <c r="B326" s="2">
        <v>45523</v>
      </c>
      <c r="C326">
        <v>1969</v>
      </c>
      <c r="D326">
        <v>3</v>
      </c>
      <c r="E326">
        <v>69</v>
      </c>
      <c r="F326">
        <v>3</v>
      </c>
      <c r="G326">
        <v>4</v>
      </c>
      <c r="H326">
        <v>3</v>
      </c>
      <c r="I326" t="str">
        <f t="shared" si="10"/>
        <v>343</v>
      </c>
      <c r="J326" t="s">
        <v>2303</v>
      </c>
      <c r="K326" t="s">
        <v>2299</v>
      </c>
      <c r="L326" t="str">
        <f t="shared" si="11"/>
        <v>Low Risk</v>
      </c>
      <c r="M326" t="str">
        <f>IFERROR(VLOOKUP(A335,Promo_Pivot!A:C,3,FALSE),"No")</f>
        <v>Yes</v>
      </c>
    </row>
    <row r="327" spans="1:13" x14ac:dyDescent="0.35">
      <c r="A327" t="s">
        <v>2077</v>
      </c>
      <c r="B327" s="2">
        <v>45497</v>
      </c>
      <c r="C327">
        <v>2116</v>
      </c>
      <c r="D327">
        <v>4</v>
      </c>
      <c r="E327">
        <v>95</v>
      </c>
      <c r="F327">
        <v>2</v>
      </c>
      <c r="G327">
        <v>5</v>
      </c>
      <c r="H327">
        <v>3</v>
      </c>
      <c r="I327" t="str">
        <f t="shared" si="10"/>
        <v>253</v>
      </c>
      <c r="J327" t="s">
        <v>2300</v>
      </c>
      <c r="K327" t="s">
        <v>2301</v>
      </c>
      <c r="L327" t="str">
        <f t="shared" si="11"/>
        <v>Very High Risk</v>
      </c>
      <c r="M327" t="str">
        <f>IFERROR(VLOOKUP(A336,Promo_Pivot!A:C,3,FALSE),"No")</f>
        <v>Yes</v>
      </c>
    </row>
    <row r="328" spans="1:13" x14ac:dyDescent="0.35">
      <c r="A328" t="s">
        <v>2078</v>
      </c>
      <c r="B328" s="2">
        <v>45588</v>
      </c>
      <c r="C328">
        <v>2428</v>
      </c>
      <c r="D328">
        <v>5</v>
      </c>
      <c r="E328">
        <v>4</v>
      </c>
      <c r="F328">
        <v>5</v>
      </c>
      <c r="G328">
        <v>5</v>
      </c>
      <c r="H328">
        <v>3</v>
      </c>
      <c r="I328" t="str">
        <f t="shared" si="10"/>
        <v>553</v>
      </c>
      <c r="J328" t="s">
        <v>2303</v>
      </c>
      <c r="K328" t="s">
        <v>2299</v>
      </c>
      <c r="L328" t="str">
        <f t="shared" si="11"/>
        <v>Low Risk</v>
      </c>
      <c r="M328" t="str">
        <f>IFERROR(VLOOKUP(A337,Promo_Pivot!A:C,3,FALSE),"No")</f>
        <v>Yes</v>
      </c>
    </row>
    <row r="329" spans="1:13" x14ac:dyDescent="0.35">
      <c r="A329" t="s">
        <v>2079</v>
      </c>
      <c r="B329" s="2">
        <v>45341</v>
      </c>
      <c r="C329">
        <v>1291</v>
      </c>
      <c r="D329">
        <v>2</v>
      </c>
      <c r="E329">
        <v>251</v>
      </c>
      <c r="F329">
        <v>1</v>
      </c>
      <c r="G329">
        <v>3</v>
      </c>
      <c r="H329">
        <v>2</v>
      </c>
      <c r="I329" t="str">
        <f t="shared" si="10"/>
        <v>132</v>
      </c>
      <c r="J329" t="s">
        <v>2300</v>
      </c>
      <c r="K329" t="s">
        <v>2301</v>
      </c>
      <c r="L329" t="str">
        <f t="shared" si="11"/>
        <v>Critical Risk</v>
      </c>
      <c r="M329" t="str">
        <f>IFERROR(VLOOKUP(A338,Promo_Pivot!A:C,3,FALSE),"No")</f>
        <v>Yes</v>
      </c>
    </row>
    <row r="330" spans="1:13" x14ac:dyDescent="0.35">
      <c r="A330" t="s">
        <v>2080</v>
      </c>
      <c r="B330" s="2">
        <v>45591</v>
      </c>
      <c r="C330">
        <v>1590</v>
      </c>
      <c r="D330">
        <v>2</v>
      </c>
      <c r="E330">
        <v>1</v>
      </c>
      <c r="F330">
        <v>5</v>
      </c>
      <c r="G330">
        <v>3</v>
      </c>
      <c r="H330">
        <v>2</v>
      </c>
      <c r="I330" t="str">
        <f t="shared" si="10"/>
        <v>532</v>
      </c>
      <c r="J330" t="s">
        <v>2298</v>
      </c>
      <c r="K330" t="s">
        <v>2299</v>
      </c>
      <c r="L330" t="str">
        <f t="shared" si="11"/>
        <v>Moderate Risk</v>
      </c>
      <c r="M330" t="str">
        <f>IFERROR(VLOOKUP(A339,Promo_Pivot!A:C,3,FALSE),"No")</f>
        <v>Yes</v>
      </c>
    </row>
    <row r="331" spans="1:13" x14ac:dyDescent="0.35">
      <c r="A331" t="s">
        <v>2081</v>
      </c>
      <c r="B331" s="2">
        <v>45554</v>
      </c>
      <c r="C331">
        <v>2023</v>
      </c>
      <c r="D331">
        <v>3</v>
      </c>
      <c r="E331">
        <v>38</v>
      </c>
      <c r="F331">
        <v>4</v>
      </c>
      <c r="G331">
        <v>4</v>
      </c>
      <c r="H331">
        <v>3</v>
      </c>
      <c r="I331" t="str">
        <f t="shared" si="10"/>
        <v>443</v>
      </c>
      <c r="J331" t="s">
        <v>2303</v>
      </c>
      <c r="K331" t="s">
        <v>2299</v>
      </c>
      <c r="L331" t="str">
        <f t="shared" si="11"/>
        <v>Moderate Risk</v>
      </c>
      <c r="M331" t="str">
        <f>IFERROR(VLOOKUP(A340,Promo_Pivot!A:C,3,FALSE),"No")</f>
        <v>Yes</v>
      </c>
    </row>
    <row r="332" spans="1:13" x14ac:dyDescent="0.35">
      <c r="A332" t="s">
        <v>2082</v>
      </c>
      <c r="B332" s="2">
        <v>45533</v>
      </c>
      <c r="C332">
        <v>3692</v>
      </c>
      <c r="D332">
        <v>5</v>
      </c>
      <c r="E332">
        <v>59</v>
      </c>
      <c r="F332">
        <v>3</v>
      </c>
      <c r="G332">
        <v>5</v>
      </c>
      <c r="H332">
        <v>5</v>
      </c>
      <c r="I332" t="str">
        <f t="shared" si="10"/>
        <v>355</v>
      </c>
      <c r="J332" t="s">
        <v>2303</v>
      </c>
      <c r="K332" t="s">
        <v>2299</v>
      </c>
      <c r="L332" t="str">
        <f t="shared" si="11"/>
        <v>Moderate Risk</v>
      </c>
      <c r="M332" t="str">
        <f>IFERROR(VLOOKUP(A341,Promo_Pivot!A:C,3,FALSE),"No")</f>
        <v>Yes</v>
      </c>
    </row>
    <row r="333" spans="1:13" x14ac:dyDescent="0.35">
      <c r="A333" t="s">
        <v>2083</v>
      </c>
      <c r="B333" s="2">
        <v>45557</v>
      </c>
      <c r="C333">
        <v>4099</v>
      </c>
      <c r="D333">
        <v>4</v>
      </c>
      <c r="E333">
        <v>35</v>
      </c>
      <c r="F333">
        <v>4</v>
      </c>
      <c r="G333">
        <v>5</v>
      </c>
      <c r="H333">
        <v>5</v>
      </c>
      <c r="I333" t="str">
        <f t="shared" si="10"/>
        <v>455</v>
      </c>
      <c r="J333" t="s">
        <v>2304</v>
      </c>
      <c r="K333" t="s">
        <v>2299</v>
      </c>
      <c r="L333" t="str">
        <f t="shared" si="11"/>
        <v>Moderate Risk</v>
      </c>
      <c r="M333" t="str">
        <f>IFERROR(VLOOKUP(A342,Promo_Pivot!A:C,3,FALSE),"No")</f>
        <v>Yes</v>
      </c>
    </row>
    <row r="334" spans="1:13" x14ac:dyDescent="0.35">
      <c r="A334" t="s">
        <v>2084</v>
      </c>
      <c r="B334" s="2">
        <v>45504</v>
      </c>
      <c r="C334">
        <v>1256</v>
      </c>
      <c r="D334">
        <v>2</v>
      </c>
      <c r="E334">
        <v>88</v>
      </c>
      <c r="F334">
        <v>3</v>
      </c>
      <c r="G334">
        <v>3</v>
      </c>
      <c r="H334">
        <v>2</v>
      </c>
      <c r="I334" t="str">
        <f t="shared" si="10"/>
        <v>332</v>
      </c>
      <c r="J334" t="s">
        <v>2302</v>
      </c>
      <c r="K334" t="s">
        <v>2299</v>
      </c>
      <c r="L334" t="str">
        <f t="shared" si="11"/>
        <v>High Risk</v>
      </c>
      <c r="M334" t="str">
        <f>IFERROR(VLOOKUP(A343,Promo_Pivot!A:C,3,FALSE),"No")</f>
        <v>Yes</v>
      </c>
    </row>
    <row r="335" spans="1:13" x14ac:dyDescent="0.35">
      <c r="A335" t="s">
        <v>1689</v>
      </c>
      <c r="B335" s="2">
        <v>45555</v>
      </c>
      <c r="C335">
        <v>1272</v>
      </c>
      <c r="D335">
        <v>1</v>
      </c>
      <c r="E335">
        <v>37</v>
      </c>
      <c r="F335">
        <v>4</v>
      </c>
      <c r="G335">
        <v>2</v>
      </c>
      <c r="H335">
        <v>2</v>
      </c>
      <c r="I335" t="str">
        <f t="shared" si="10"/>
        <v>422</v>
      </c>
      <c r="J335" t="s">
        <v>2298</v>
      </c>
      <c r="K335" t="s">
        <v>2299</v>
      </c>
      <c r="L335" t="str">
        <f t="shared" si="11"/>
        <v>Low Risk</v>
      </c>
      <c r="M335" t="str">
        <f>IFERROR(VLOOKUP(A344,Promo_Pivot!A:C,3,FALSE),"No")</f>
        <v>Yes</v>
      </c>
    </row>
    <row r="336" spans="1:13" x14ac:dyDescent="0.35">
      <c r="A336" t="s">
        <v>1725</v>
      </c>
      <c r="B336" s="2">
        <v>45443</v>
      </c>
      <c r="C336">
        <v>915</v>
      </c>
      <c r="D336">
        <v>1</v>
      </c>
      <c r="E336">
        <v>149</v>
      </c>
      <c r="F336">
        <v>2</v>
      </c>
      <c r="G336">
        <v>2</v>
      </c>
      <c r="H336">
        <v>2</v>
      </c>
      <c r="I336" t="str">
        <f t="shared" si="10"/>
        <v>222</v>
      </c>
      <c r="J336" t="s">
        <v>2300</v>
      </c>
      <c r="K336" t="s">
        <v>2301</v>
      </c>
      <c r="L336" t="str">
        <f t="shared" si="11"/>
        <v>Low Risk</v>
      </c>
      <c r="M336" t="str">
        <f>IFERROR(VLOOKUP(A345,Promo_Pivot!A:C,3,FALSE),"No")</f>
        <v>Yes</v>
      </c>
    </row>
    <row r="337" spans="1:13" x14ac:dyDescent="0.35">
      <c r="A337" t="s">
        <v>2085</v>
      </c>
      <c r="B337" s="2">
        <v>45577</v>
      </c>
      <c r="C337">
        <v>2296</v>
      </c>
      <c r="D337">
        <v>5</v>
      </c>
      <c r="E337">
        <v>15</v>
      </c>
      <c r="F337">
        <v>5</v>
      </c>
      <c r="G337">
        <v>5</v>
      </c>
      <c r="H337">
        <v>3</v>
      </c>
      <c r="I337" t="str">
        <f t="shared" si="10"/>
        <v>553</v>
      </c>
      <c r="J337" t="s">
        <v>2303</v>
      </c>
      <c r="K337" t="s">
        <v>2299</v>
      </c>
      <c r="L337" t="str">
        <f t="shared" si="11"/>
        <v>Low Risk</v>
      </c>
      <c r="M337" t="str">
        <f>IFERROR(VLOOKUP(A346,Promo_Pivot!A:C,3,FALSE),"No")</f>
        <v>Yes</v>
      </c>
    </row>
    <row r="338" spans="1:13" x14ac:dyDescent="0.35">
      <c r="A338" t="s">
        <v>2086</v>
      </c>
      <c r="B338" s="2">
        <v>45569</v>
      </c>
      <c r="C338">
        <v>4105</v>
      </c>
      <c r="D338">
        <v>5</v>
      </c>
      <c r="E338">
        <v>23</v>
      </c>
      <c r="F338">
        <v>5</v>
      </c>
      <c r="G338">
        <v>5</v>
      </c>
      <c r="H338">
        <v>5</v>
      </c>
      <c r="I338" t="str">
        <f t="shared" si="10"/>
        <v>555</v>
      </c>
      <c r="J338" t="s">
        <v>2304</v>
      </c>
      <c r="K338" t="s">
        <v>2299</v>
      </c>
      <c r="L338" t="str">
        <f t="shared" si="11"/>
        <v>Low Risk</v>
      </c>
      <c r="M338" t="str">
        <f>IFERROR(VLOOKUP(A347,Promo_Pivot!A:C,3,FALSE),"No")</f>
        <v>Yes</v>
      </c>
    </row>
    <row r="339" spans="1:13" x14ac:dyDescent="0.35">
      <c r="A339" t="s">
        <v>2087</v>
      </c>
      <c r="B339" s="2">
        <v>45568</v>
      </c>
      <c r="C339">
        <v>2935</v>
      </c>
      <c r="D339">
        <v>5</v>
      </c>
      <c r="E339">
        <v>24</v>
      </c>
      <c r="F339">
        <v>5</v>
      </c>
      <c r="G339">
        <v>5</v>
      </c>
      <c r="H339">
        <v>4</v>
      </c>
      <c r="I339" t="str">
        <f t="shared" si="10"/>
        <v>554</v>
      </c>
      <c r="J339" t="s">
        <v>2304</v>
      </c>
      <c r="K339" t="s">
        <v>2299</v>
      </c>
      <c r="L339" t="str">
        <f t="shared" si="11"/>
        <v>Moderate Risk</v>
      </c>
      <c r="M339" t="str">
        <f>IFERROR(VLOOKUP(A348,Promo_Pivot!A:C,3,FALSE),"No")</f>
        <v>Yes</v>
      </c>
    </row>
    <row r="340" spans="1:13" x14ac:dyDescent="0.35">
      <c r="A340" t="s">
        <v>2088</v>
      </c>
      <c r="B340" s="2">
        <v>45576</v>
      </c>
      <c r="C340">
        <v>3284</v>
      </c>
      <c r="D340">
        <v>5</v>
      </c>
      <c r="E340">
        <v>16</v>
      </c>
      <c r="F340">
        <v>5</v>
      </c>
      <c r="G340">
        <v>5</v>
      </c>
      <c r="H340">
        <v>4</v>
      </c>
      <c r="I340" t="str">
        <f t="shared" si="10"/>
        <v>554</v>
      </c>
      <c r="J340" t="s">
        <v>2304</v>
      </c>
      <c r="K340" t="s">
        <v>2299</v>
      </c>
      <c r="L340" t="str">
        <f t="shared" si="11"/>
        <v>Moderate Risk</v>
      </c>
      <c r="M340" t="str">
        <f>IFERROR(VLOOKUP(A349,Promo_Pivot!A:C,3,FALSE),"No")</f>
        <v>Yes</v>
      </c>
    </row>
    <row r="341" spans="1:13" x14ac:dyDescent="0.35">
      <c r="A341" t="s">
        <v>2089</v>
      </c>
      <c r="B341" s="2">
        <v>45398</v>
      </c>
      <c r="C341">
        <v>3128</v>
      </c>
      <c r="D341">
        <v>2</v>
      </c>
      <c r="E341">
        <v>194</v>
      </c>
      <c r="F341">
        <v>1</v>
      </c>
      <c r="G341">
        <v>3</v>
      </c>
      <c r="H341">
        <v>4</v>
      </c>
      <c r="I341" t="str">
        <f t="shared" si="10"/>
        <v>134</v>
      </c>
      <c r="J341" t="s">
        <v>2300</v>
      </c>
      <c r="K341" t="s">
        <v>2301</v>
      </c>
      <c r="L341" t="str">
        <f t="shared" si="11"/>
        <v>Critical Risk</v>
      </c>
      <c r="M341" t="str">
        <f>IFERROR(VLOOKUP(A350,Promo_Pivot!A:C,3,FALSE),"No")</f>
        <v>Yes</v>
      </c>
    </row>
    <row r="342" spans="1:13" x14ac:dyDescent="0.35">
      <c r="A342" t="s">
        <v>2090</v>
      </c>
      <c r="B342" s="2">
        <v>45495</v>
      </c>
      <c r="C342">
        <v>4839</v>
      </c>
      <c r="D342">
        <v>5</v>
      </c>
      <c r="E342">
        <v>97</v>
      </c>
      <c r="F342">
        <v>2</v>
      </c>
      <c r="G342">
        <v>5</v>
      </c>
      <c r="H342">
        <v>5</v>
      </c>
      <c r="I342" t="str">
        <f t="shared" si="10"/>
        <v>255</v>
      </c>
      <c r="J342" t="s">
        <v>2300</v>
      </c>
      <c r="K342" t="s">
        <v>2301</v>
      </c>
      <c r="L342" t="str">
        <f t="shared" si="11"/>
        <v>Very High Risk</v>
      </c>
      <c r="M342" t="str">
        <f>IFERROR(VLOOKUP(A351,Promo_Pivot!A:C,3,FALSE),"No")</f>
        <v>Yes</v>
      </c>
    </row>
    <row r="343" spans="1:13" x14ac:dyDescent="0.35">
      <c r="A343" t="s">
        <v>2091</v>
      </c>
      <c r="B343" s="2">
        <v>45495</v>
      </c>
      <c r="C343">
        <v>3475</v>
      </c>
      <c r="D343">
        <v>4</v>
      </c>
      <c r="E343">
        <v>97</v>
      </c>
      <c r="F343">
        <v>2</v>
      </c>
      <c r="G343">
        <v>5</v>
      </c>
      <c r="H343">
        <v>4</v>
      </c>
      <c r="I343" t="str">
        <f t="shared" si="10"/>
        <v>254</v>
      </c>
      <c r="J343" t="s">
        <v>2300</v>
      </c>
      <c r="K343" t="s">
        <v>2301</v>
      </c>
      <c r="L343" t="str">
        <f t="shared" si="11"/>
        <v>Very High Risk</v>
      </c>
      <c r="M343" t="str">
        <f>IFERROR(VLOOKUP(A352,Promo_Pivot!A:C,3,FALSE),"No")</f>
        <v>Yes</v>
      </c>
    </row>
    <row r="344" spans="1:13" x14ac:dyDescent="0.35">
      <c r="A344" t="s">
        <v>2092</v>
      </c>
      <c r="B344" s="2">
        <v>45417</v>
      </c>
      <c r="C344">
        <v>3625</v>
      </c>
      <c r="D344">
        <v>3</v>
      </c>
      <c r="E344">
        <v>175</v>
      </c>
      <c r="F344">
        <v>1</v>
      </c>
      <c r="G344">
        <v>4</v>
      </c>
      <c r="H344">
        <v>4</v>
      </c>
      <c r="I344" t="str">
        <f t="shared" si="10"/>
        <v>144</v>
      </c>
      <c r="J344" t="s">
        <v>2300</v>
      </c>
      <c r="K344" t="s">
        <v>2301</v>
      </c>
      <c r="L344" t="str">
        <f t="shared" si="11"/>
        <v>Very High Risk</v>
      </c>
      <c r="M344" t="str">
        <f>IFERROR(VLOOKUP(A353,Promo_Pivot!A:C,3,FALSE),"No")</f>
        <v>Yes</v>
      </c>
    </row>
    <row r="345" spans="1:13" x14ac:dyDescent="0.35">
      <c r="A345" t="s">
        <v>2093</v>
      </c>
      <c r="B345" s="2">
        <v>45466</v>
      </c>
      <c r="C345">
        <v>1819</v>
      </c>
      <c r="D345">
        <v>2</v>
      </c>
      <c r="E345">
        <v>126</v>
      </c>
      <c r="F345">
        <v>2</v>
      </c>
      <c r="G345">
        <v>3</v>
      </c>
      <c r="H345">
        <v>3</v>
      </c>
      <c r="I345" t="str">
        <f t="shared" si="10"/>
        <v>233</v>
      </c>
      <c r="J345" t="s">
        <v>2300</v>
      </c>
      <c r="K345" t="s">
        <v>2301</v>
      </c>
      <c r="L345" t="str">
        <f t="shared" si="11"/>
        <v>Very High Risk</v>
      </c>
      <c r="M345" t="str">
        <f>IFERROR(VLOOKUP(A354,Promo_Pivot!A:C,3,FALSE),"No")</f>
        <v>Yes</v>
      </c>
    </row>
    <row r="346" spans="1:13" x14ac:dyDescent="0.35">
      <c r="A346" t="s">
        <v>2094</v>
      </c>
      <c r="B346" s="2">
        <v>45558</v>
      </c>
      <c r="C346">
        <v>2749</v>
      </c>
      <c r="D346">
        <v>5</v>
      </c>
      <c r="E346">
        <v>34</v>
      </c>
      <c r="F346">
        <v>4</v>
      </c>
      <c r="G346">
        <v>5</v>
      </c>
      <c r="H346">
        <v>4</v>
      </c>
      <c r="I346" t="str">
        <f t="shared" si="10"/>
        <v>454</v>
      </c>
      <c r="J346" t="s">
        <v>2304</v>
      </c>
      <c r="K346" t="s">
        <v>2299</v>
      </c>
      <c r="L346" t="str">
        <f t="shared" si="11"/>
        <v>Moderate Risk</v>
      </c>
      <c r="M346" t="str">
        <f>IFERROR(VLOOKUP(A355,Promo_Pivot!A:C,3,FALSE),"No")</f>
        <v>Yes</v>
      </c>
    </row>
    <row r="347" spans="1:13" x14ac:dyDescent="0.35">
      <c r="A347" t="s">
        <v>1726</v>
      </c>
      <c r="B347" s="2">
        <v>45485</v>
      </c>
      <c r="C347">
        <v>1135</v>
      </c>
      <c r="D347">
        <v>1</v>
      </c>
      <c r="E347">
        <v>107</v>
      </c>
      <c r="F347">
        <v>2</v>
      </c>
      <c r="G347">
        <v>2</v>
      </c>
      <c r="H347">
        <v>2</v>
      </c>
      <c r="I347" t="str">
        <f t="shared" si="10"/>
        <v>222</v>
      </c>
      <c r="J347" t="s">
        <v>2300</v>
      </c>
      <c r="K347" t="s">
        <v>2301</v>
      </c>
      <c r="L347" t="str">
        <f t="shared" si="11"/>
        <v>Very High Risk</v>
      </c>
      <c r="M347" t="str">
        <f>IFERROR(VLOOKUP(A356,Promo_Pivot!A:C,3,FALSE),"No")</f>
        <v>Yes</v>
      </c>
    </row>
    <row r="348" spans="1:13" x14ac:dyDescent="0.35">
      <c r="A348" t="s">
        <v>2095</v>
      </c>
      <c r="B348" s="2">
        <v>45517</v>
      </c>
      <c r="C348">
        <v>3482</v>
      </c>
      <c r="D348">
        <v>4</v>
      </c>
      <c r="E348">
        <v>75</v>
      </c>
      <c r="F348">
        <v>3</v>
      </c>
      <c r="G348">
        <v>5</v>
      </c>
      <c r="H348">
        <v>4</v>
      </c>
      <c r="I348" t="str">
        <f t="shared" si="10"/>
        <v>354</v>
      </c>
      <c r="J348" t="s">
        <v>2303</v>
      </c>
      <c r="K348" t="s">
        <v>2299</v>
      </c>
      <c r="L348" t="str">
        <f t="shared" si="11"/>
        <v>High Risk</v>
      </c>
      <c r="M348" t="str">
        <f>IFERROR(VLOOKUP(A357,Promo_Pivot!A:C,3,FALSE),"No")</f>
        <v>Yes</v>
      </c>
    </row>
    <row r="349" spans="1:13" x14ac:dyDescent="0.35">
      <c r="A349" t="s">
        <v>2096</v>
      </c>
      <c r="B349" s="2">
        <v>45539</v>
      </c>
      <c r="C349">
        <v>6367</v>
      </c>
      <c r="D349">
        <v>5</v>
      </c>
      <c r="E349">
        <v>53</v>
      </c>
      <c r="F349">
        <v>4</v>
      </c>
      <c r="G349">
        <v>5</v>
      </c>
      <c r="H349">
        <v>5</v>
      </c>
      <c r="I349" t="str">
        <f t="shared" si="10"/>
        <v>455</v>
      </c>
      <c r="J349" t="s">
        <v>2304</v>
      </c>
      <c r="K349" t="s">
        <v>2299</v>
      </c>
      <c r="L349" t="str">
        <f t="shared" si="11"/>
        <v>Moderate Risk</v>
      </c>
      <c r="M349" t="str">
        <f>IFERROR(VLOOKUP(A358,Promo_Pivot!A:C,3,FALSE),"No")</f>
        <v>Yes</v>
      </c>
    </row>
    <row r="350" spans="1:13" x14ac:dyDescent="0.35">
      <c r="A350" t="s">
        <v>2097</v>
      </c>
      <c r="B350" s="2">
        <v>45467</v>
      </c>
      <c r="C350">
        <v>1712</v>
      </c>
      <c r="D350">
        <v>2</v>
      </c>
      <c r="E350">
        <v>125</v>
      </c>
      <c r="F350">
        <v>2</v>
      </c>
      <c r="G350">
        <v>3</v>
      </c>
      <c r="H350">
        <v>3</v>
      </c>
      <c r="I350" t="str">
        <f t="shared" si="10"/>
        <v>233</v>
      </c>
      <c r="J350" t="s">
        <v>2300</v>
      </c>
      <c r="K350" t="s">
        <v>2301</v>
      </c>
      <c r="L350" t="str">
        <f t="shared" si="11"/>
        <v>Low Risk</v>
      </c>
      <c r="M350" t="str">
        <f>IFERROR(VLOOKUP(A359,Promo_Pivot!A:C,3,FALSE),"No")</f>
        <v>Yes</v>
      </c>
    </row>
    <row r="351" spans="1:13" x14ac:dyDescent="0.35">
      <c r="A351" t="s">
        <v>2098</v>
      </c>
      <c r="B351" s="2">
        <v>45538</v>
      </c>
      <c r="C351">
        <v>3130</v>
      </c>
      <c r="D351">
        <v>3</v>
      </c>
      <c r="E351">
        <v>54</v>
      </c>
      <c r="F351">
        <v>3</v>
      </c>
      <c r="G351">
        <v>4</v>
      </c>
      <c r="H351">
        <v>4</v>
      </c>
      <c r="I351" t="str">
        <f t="shared" si="10"/>
        <v>344</v>
      </c>
      <c r="J351" t="s">
        <v>2303</v>
      </c>
      <c r="K351" t="s">
        <v>2299</v>
      </c>
      <c r="L351" t="str">
        <f t="shared" si="11"/>
        <v>Moderate Risk</v>
      </c>
      <c r="M351" t="str">
        <f>IFERROR(VLOOKUP(A360,Promo_Pivot!A:C,3,FALSE),"No")</f>
        <v>Yes</v>
      </c>
    </row>
    <row r="352" spans="1:13" x14ac:dyDescent="0.35">
      <c r="A352" t="s">
        <v>2099</v>
      </c>
      <c r="B352" s="2">
        <v>45567</v>
      </c>
      <c r="C352">
        <v>952</v>
      </c>
      <c r="D352">
        <v>3</v>
      </c>
      <c r="E352">
        <v>25</v>
      </c>
      <c r="F352">
        <v>5</v>
      </c>
      <c r="G352">
        <v>4</v>
      </c>
      <c r="H352">
        <v>2</v>
      </c>
      <c r="I352" t="str">
        <f t="shared" si="10"/>
        <v>542</v>
      </c>
      <c r="J352" t="s">
        <v>2298</v>
      </c>
      <c r="K352" t="s">
        <v>2299</v>
      </c>
      <c r="L352" t="str">
        <f t="shared" si="11"/>
        <v>Moderate Risk</v>
      </c>
      <c r="M352" t="str">
        <f>IFERROR(VLOOKUP(A361,Promo_Pivot!A:C,3,FALSE),"No")</f>
        <v>Yes</v>
      </c>
    </row>
    <row r="353" spans="1:13" x14ac:dyDescent="0.35">
      <c r="A353" t="s">
        <v>2100</v>
      </c>
      <c r="B353" s="2">
        <v>45547</v>
      </c>
      <c r="C353">
        <v>2594</v>
      </c>
      <c r="D353">
        <v>4</v>
      </c>
      <c r="E353">
        <v>45</v>
      </c>
      <c r="F353">
        <v>4</v>
      </c>
      <c r="G353">
        <v>5</v>
      </c>
      <c r="H353">
        <v>4</v>
      </c>
      <c r="I353" t="str">
        <f t="shared" si="10"/>
        <v>454</v>
      </c>
      <c r="J353" t="s">
        <v>2304</v>
      </c>
      <c r="K353" t="s">
        <v>2299</v>
      </c>
      <c r="L353" t="str">
        <f t="shared" si="11"/>
        <v>Moderate Risk</v>
      </c>
      <c r="M353" t="str">
        <f>IFERROR(VLOOKUP(A362,Promo_Pivot!A:C,3,FALSE),"No")</f>
        <v>Yes</v>
      </c>
    </row>
    <row r="354" spans="1:13" x14ac:dyDescent="0.35">
      <c r="A354" t="s">
        <v>2101</v>
      </c>
      <c r="B354" s="2">
        <v>45509</v>
      </c>
      <c r="C354">
        <v>4243</v>
      </c>
      <c r="D354">
        <v>5</v>
      </c>
      <c r="E354">
        <v>83</v>
      </c>
      <c r="F354">
        <v>3</v>
      </c>
      <c r="G354">
        <v>5</v>
      </c>
      <c r="H354">
        <v>5</v>
      </c>
      <c r="I354" t="str">
        <f t="shared" si="10"/>
        <v>355</v>
      </c>
      <c r="J354" t="s">
        <v>2303</v>
      </c>
      <c r="K354" t="s">
        <v>2299</v>
      </c>
      <c r="L354" t="str">
        <f t="shared" si="11"/>
        <v>High Risk</v>
      </c>
      <c r="M354" t="str">
        <f>IFERROR(VLOOKUP(A363,Promo_Pivot!A:C,3,FALSE),"No")</f>
        <v>Yes</v>
      </c>
    </row>
    <row r="355" spans="1:13" x14ac:dyDescent="0.35">
      <c r="A355" t="s">
        <v>2102</v>
      </c>
      <c r="B355" s="2">
        <v>45520</v>
      </c>
      <c r="C355">
        <v>2976</v>
      </c>
      <c r="D355">
        <v>4</v>
      </c>
      <c r="E355">
        <v>72</v>
      </c>
      <c r="F355">
        <v>3</v>
      </c>
      <c r="G355">
        <v>5</v>
      </c>
      <c r="H355">
        <v>4</v>
      </c>
      <c r="I355" t="str">
        <f t="shared" si="10"/>
        <v>354</v>
      </c>
      <c r="J355" t="s">
        <v>2303</v>
      </c>
      <c r="K355" t="s">
        <v>2299</v>
      </c>
      <c r="L355" t="str">
        <f t="shared" si="11"/>
        <v>Low Risk</v>
      </c>
      <c r="M355" t="str">
        <f>IFERROR(VLOOKUP(A364,Promo_Pivot!A:C,3,FALSE),"No")</f>
        <v>Yes</v>
      </c>
    </row>
    <row r="356" spans="1:13" x14ac:dyDescent="0.35">
      <c r="A356" t="s">
        <v>2103</v>
      </c>
      <c r="B356" s="2">
        <v>45523</v>
      </c>
      <c r="C356">
        <v>4390</v>
      </c>
      <c r="D356">
        <v>4</v>
      </c>
      <c r="E356">
        <v>69</v>
      </c>
      <c r="F356">
        <v>3</v>
      </c>
      <c r="G356">
        <v>5</v>
      </c>
      <c r="H356">
        <v>5</v>
      </c>
      <c r="I356" t="str">
        <f t="shared" si="10"/>
        <v>355</v>
      </c>
      <c r="J356" t="s">
        <v>2303</v>
      </c>
      <c r="K356" t="s">
        <v>2299</v>
      </c>
      <c r="L356" t="str">
        <f t="shared" si="11"/>
        <v>High Risk</v>
      </c>
      <c r="M356" t="str">
        <f>IFERROR(VLOOKUP(A365,Promo_Pivot!A:C,3,FALSE),"No")</f>
        <v>Yes</v>
      </c>
    </row>
    <row r="357" spans="1:13" x14ac:dyDescent="0.35">
      <c r="A357" t="s">
        <v>2104</v>
      </c>
      <c r="B357" s="2">
        <v>45582</v>
      </c>
      <c r="C357">
        <v>5110</v>
      </c>
      <c r="D357">
        <v>5</v>
      </c>
      <c r="E357">
        <v>10</v>
      </c>
      <c r="F357">
        <v>5</v>
      </c>
      <c r="G357">
        <v>5</v>
      </c>
      <c r="H357">
        <v>5</v>
      </c>
      <c r="I357" t="str">
        <f t="shared" si="10"/>
        <v>555</v>
      </c>
      <c r="J357" t="s">
        <v>2304</v>
      </c>
      <c r="K357" t="s">
        <v>2299</v>
      </c>
      <c r="L357" t="str">
        <f t="shared" si="11"/>
        <v>Low Risk</v>
      </c>
      <c r="M357" t="str">
        <f>IFERROR(VLOOKUP(A366,Promo_Pivot!A:C,3,FALSE),"No")</f>
        <v>Yes</v>
      </c>
    </row>
    <row r="358" spans="1:13" x14ac:dyDescent="0.35">
      <c r="A358" t="s">
        <v>1727</v>
      </c>
      <c r="B358" s="2">
        <v>45302</v>
      </c>
      <c r="C358">
        <v>524</v>
      </c>
      <c r="D358">
        <v>1</v>
      </c>
      <c r="E358">
        <v>290</v>
      </c>
      <c r="F358">
        <v>1</v>
      </c>
      <c r="G358">
        <v>2</v>
      </c>
      <c r="H358">
        <v>1</v>
      </c>
      <c r="I358" t="str">
        <f t="shared" si="10"/>
        <v>121</v>
      </c>
      <c r="J358" t="s">
        <v>2300</v>
      </c>
      <c r="K358" t="s">
        <v>2301</v>
      </c>
      <c r="L358" t="str">
        <f t="shared" si="11"/>
        <v>Critical Risk</v>
      </c>
      <c r="M358" t="str">
        <f>IFERROR(VLOOKUP(A367,Promo_Pivot!A:C,3,FALSE),"No")</f>
        <v>Yes</v>
      </c>
    </row>
    <row r="359" spans="1:13" x14ac:dyDescent="0.35">
      <c r="A359" t="s">
        <v>2105</v>
      </c>
      <c r="B359" s="2">
        <v>45588</v>
      </c>
      <c r="C359">
        <v>3859</v>
      </c>
      <c r="D359">
        <v>5</v>
      </c>
      <c r="E359">
        <v>4</v>
      </c>
      <c r="F359">
        <v>5</v>
      </c>
      <c r="G359">
        <v>5</v>
      </c>
      <c r="H359">
        <v>5</v>
      </c>
      <c r="I359" t="str">
        <f t="shared" si="10"/>
        <v>555</v>
      </c>
      <c r="J359" t="s">
        <v>2304</v>
      </c>
      <c r="K359" t="s">
        <v>2299</v>
      </c>
      <c r="L359" t="str">
        <f t="shared" si="11"/>
        <v>Low Risk</v>
      </c>
      <c r="M359" t="str">
        <f>IFERROR(VLOOKUP(A368,Promo_Pivot!A:C,3,FALSE),"No")</f>
        <v>Yes</v>
      </c>
    </row>
    <row r="360" spans="1:13" x14ac:dyDescent="0.35">
      <c r="A360" t="s">
        <v>2106</v>
      </c>
      <c r="B360" s="2">
        <v>45547</v>
      </c>
      <c r="C360">
        <v>1908</v>
      </c>
      <c r="D360">
        <v>2</v>
      </c>
      <c r="E360">
        <v>45</v>
      </c>
      <c r="F360">
        <v>4</v>
      </c>
      <c r="G360">
        <v>3</v>
      </c>
      <c r="H360">
        <v>3</v>
      </c>
      <c r="I360" t="str">
        <f t="shared" si="10"/>
        <v>433</v>
      </c>
      <c r="J360" t="s">
        <v>2303</v>
      </c>
      <c r="K360" t="s">
        <v>2299</v>
      </c>
      <c r="L360" t="str">
        <f t="shared" si="11"/>
        <v>Moderate Risk</v>
      </c>
      <c r="M360" t="str">
        <f>IFERROR(VLOOKUP(A369,Promo_Pivot!A:C,3,FALSE),"No")</f>
        <v>Yes</v>
      </c>
    </row>
    <row r="361" spans="1:13" x14ac:dyDescent="0.35">
      <c r="A361" t="s">
        <v>2107</v>
      </c>
      <c r="B361" s="2">
        <v>45591</v>
      </c>
      <c r="C361">
        <v>3091</v>
      </c>
      <c r="D361">
        <v>2</v>
      </c>
      <c r="E361">
        <v>1</v>
      </c>
      <c r="F361">
        <v>5</v>
      </c>
      <c r="G361">
        <v>3</v>
      </c>
      <c r="H361">
        <v>4</v>
      </c>
      <c r="I361" t="str">
        <f t="shared" si="10"/>
        <v>534</v>
      </c>
      <c r="J361" t="s">
        <v>2303</v>
      </c>
      <c r="K361" t="s">
        <v>2299</v>
      </c>
      <c r="L361" t="str">
        <f t="shared" si="11"/>
        <v>Moderate Risk</v>
      </c>
      <c r="M361" t="str">
        <f>IFERROR(VLOOKUP(A370,Promo_Pivot!A:C,3,FALSE),"No")</f>
        <v>Yes</v>
      </c>
    </row>
    <row r="362" spans="1:13" x14ac:dyDescent="0.35">
      <c r="A362" t="s">
        <v>2108</v>
      </c>
      <c r="B362" s="2">
        <v>45554</v>
      </c>
      <c r="C362">
        <v>1600</v>
      </c>
      <c r="D362">
        <v>3</v>
      </c>
      <c r="E362">
        <v>38</v>
      </c>
      <c r="F362">
        <v>4</v>
      </c>
      <c r="G362">
        <v>4</v>
      </c>
      <c r="H362">
        <v>2</v>
      </c>
      <c r="I362" t="str">
        <f t="shared" si="10"/>
        <v>442</v>
      </c>
      <c r="J362" t="s">
        <v>2298</v>
      </c>
      <c r="K362" t="s">
        <v>2299</v>
      </c>
      <c r="L362" t="str">
        <f t="shared" si="11"/>
        <v>Moderate Risk</v>
      </c>
      <c r="M362" t="str">
        <f>IFERROR(VLOOKUP(A371,Promo_Pivot!A:C,3,FALSE),"No")</f>
        <v>Yes</v>
      </c>
    </row>
    <row r="363" spans="1:13" x14ac:dyDescent="0.35">
      <c r="A363" t="s">
        <v>2109</v>
      </c>
      <c r="B363" s="2">
        <v>45533</v>
      </c>
      <c r="C363">
        <v>5397</v>
      </c>
      <c r="D363">
        <v>5</v>
      </c>
      <c r="E363">
        <v>59</v>
      </c>
      <c r="F363">
        <v>3</v>
      </c>
      <c r="G363">
        <v>5</v>
      </c>
      <c r="H363">
        <v>5</v>
      </c>
      <c r="I363" t="str">
        <f t="shared" si="10"/>
        <v>355</v>
      </c>
      <c r="J363" t="s">
        <v>2303</v>
      </c>
      <c r="K363" t="s">
        <v>2299</v>
      </c>
      <c r="L363" t="str">
        <f t="shared" si="11"/>
        <v>Moderate Risk</v>
      </c>
      <c r="M363" t="str">
        <f>IFERROR(VLOOKUP(A372,Promo_Pivot!A:C,3,FALSE),"No")</f>
        <v>Yes</v>
      </c>
    </row>
    <row r="364" spans="1:13" x14ac:dyDescent="0.35">
      <c r="A364" t="s">
        <v>2110</v>
      </c>
      <c r="B364" s="2">
        <v>45557</v>
      </c>
      <c r="C364">
        <v>1480</v>
      </c>
      <c r="D364">
        <v>2</v>
      </c>
      <c r="E364">
        <v>35</v>
      </c>
      <c r="F364">
        <v>4</v>
      </c>
      <c r="G364">
        <v>3</v>
      </c>
      <c r="H364">
        <v>2</v>
      </c>
      <c r="I364" t="str">
        <f t="shared" si="10"/>
        <v>432</v>
      </c>
      <c r="J364" t="s">
        <v>2298</v>
      </c>
      <c r="K364" t="s">
        <v>2299</v>
      </c>
      <c r="L364" t="str">
        <f t="shared" si="11"/>
        <v>Low Risk</v>
      </c>
      <c r="M364" t="str">
        <f>IFERROR(VLOOKUP(A373,Promo_Pivot!A:C,3,FALSE),"No")</f>
        <v>Yes</v>
      </c>
    </row>
    <row r="365" spans="1:13" x14ac:dyDescent="0.35">
      <c r="A365" t="s">
        <v>2111</v>
      </c>
      <c r="B365" s="2">
        <v>45504</v>
      </c>
      <c r="C365">
        <v>1963</v>
      </c>
      <c r="D365">
        <v>3</v>
      </c>
      <c r="E365">
        <v>88</v>
      </c>
      <c r="F365">
        <v>3</v>
      </c>
      <c r="G365">
        <v>4</v>
      </c>
      <c r="H365">
        <v>3</v>
      </c>
      <c r="I365" t="str">
        <f t="shared" si="10"/>
        <v>343</v>
      </c>
      <c r="J365" t="s">
        <v>2303</v>
      </c>
      <c r="K365" t="s">
        <v>2299</v>
      </c>
      <c r="L365" t="str">
        <f t="shared" si="11"/>
        <v>Low Risk</v>
      </c>
      <c r="M365" t="str">
        <f>IFERROR(VLOOKUP(A374,Promo_Pivot!A:C,3,FALSE),"No")</f>
        <v>Yes</v>
      </c>
    </row>
    <row r="366" spans="1:13" x14ac:dyDescent="0.35">
      <c r="A366" t="s">
        <v>2112</v>
      </c>
      <c r="B366" s="2">
        <v>45577</v>
      </c>
      <c r="C366">
        <v>3719</v>
      </c>
      <c r="D366">
        <v>4</v>
      </c>
      <c r="E366">
        <v>15</v>
      </c>
      <c r="F366">
        <v>5</v>
      </c>
      <c r="G366">
        <v>5</v>
      </c>
      <c r="H366">
        <v>5</v>
      </c>
      <c r="I366" t="str">
        <f t="shared" si="10"/>
        <v>555</v>
      </c>
      <c r="J366" t="s">
        <v>2304</v>
      </c>
      <c r="K366" t="s">
        <v>2299</v>
      </c>
      <c r="L366" t="str">
        <f t="shared" si="11"/>
        <v>Moderate Risk</v>
      </c>
      <c r="M366" t="str">
        <f>IFERROR(VLOOKUP(A375,Promo_Pivot!A:C,3,FALSE),"No")</f>
        <v>Yes</v>
      </c>
    </row>
    <row r="367" spans="1:13" x14ac:dyDescent="0.35">
      <c r="A367" t="s">
        <v>2113</v>
      </c>
      <c r="B367" s="2">
        <v>45569</v>
      </c>
      <c r="C367">
        <v>1506</v>
      </c>
      <c r="D367">
        <v>3</v>
      </c>
      <c r="E367">
        <v>23</v>
      </c>
      <c r="F367">
        <v>5</v>
      </c>
      <c r="G367">
        <v>4</v>
      </c>
      <c r="H367">
        <v>2</v>
      </c>
      <c r="I367" t="str">
        <f t="shared" si="10"/>
        <v>542</v>
      </c>
      <c r="J367" t="s">
        <v>2298</v>
      </c>
      <c r="K367" t="s">
        <v>2299</v>
      </c>
      <c r="L367" t="str">
        <f t="shared" si="11"/>
        <v>Moderate Risk</v>
      </c>
      <c r="M367" t="str">
        <f>IFERROR(VLOOKUP(A376,Promo_Pivot!A:C,3,FALSE),"No")</f>
        <v>Yes</v>
      </c>
    </row>
    <row r="368" spans="1:13" x14ac:dyDescent="0.35">
      <c r="A368" t="s">
        <v>2114</v>
      </c>
      <c r="B368" s="2">
        <v>45357</v>
      </c>
      <c r="C368">
        <v>1170</v>
      </c>
      <c r="D368">
        <v>2</v>
      </c>
      <c r="E368">
        <v>235</v>
      </c>
      <c r="F368">
        <v>1</v>
      </c>
      <c r="G368">
        <v>3</v>
      </c>
      <c r="H368">
        <v>2</v>
      </c>
      <c r="I368" t="str">
        <f t="shared" si="10"/>
        <v>132</v>
      </c>
      <c r="J368" t="s">
        <v>2300</v>
      </c>
      <c r="K368" t="s">
        <v>2301</v>
      </c>
      <c r="L368" t="str">
        <f t="shared" si="11"/>
        <v>Critical Risk</v>
      </c>
      <c r="M368" t="str">
        <f>IFERROR(VLOOKUP(A377,Promo_Pivot!A:C,3,FALSE),"No")</f>
        <v>Yes</v>
      </c>
    </row>
    <row r="369" spans="1:13" x14ac:dyDescent="0.35">
      <c r="A369" t="s">
        <v>1728</v>
      </c>
      <c r="B369" s="2">
        <v>45386</v>
      </c>
      <c r="C369">
        <v>816</v>
      </c>
      <c r="D369">
        <v>1</v>
      </c>
      <c r="E369">
        <v>206</v>
      </c>
      <c r="F369">
        <v>1</v>
      </c>
      <c r="G369">
        <v>2</v>
      </c>
      <c r="H369">
        <v>1</v>
      </c>
      <c r="I369" t="str">
        <f t="shared" si="10"/>
        <v>121</v>
      </c>
      <c r="J369" t="s">
        <v>2300</v>
      </c>
      <c r="K369" t="s">
        <v>2301</v>
      </c>
      <c r="L369" t="str">
        <f t="shared" si="11"/>
        <v>Low Risk</v>
      </c>
      <c r="M369" t="str">
        <f>IFERROR(VLOOKUP(A378,Promo_Pivot!A:C,3,FALSE),"No")</f>
        <v>Yes</v>
      </c>
    </row>
    <row r="370" spans="1:13" x14ac:dyDescent="0.35">
      <c r="A370" t="s">
        <v>2115</v>
      </c>
      <c r="B370" s="2">
        <v>45426</v>
      </c>
      <c r="C370">
        <v>1220</v>
      </c>
      <c r="D370">
        <v>2</v>
      </c>
      <c r="E370">
        <v>166</v>
      </c>
      <c r="F370">
        <v>1</v>
      </c>
      <c r="G370">
        <v>3</v>
      </c>
      <c r="H370">
        <v>2</v>
      </c>
      <c r="I370" t="str">
        <f t="shared" si="10"/>
        <v>132</v>
      </c>
      <c r="J370" t="s">
        <v>2300</v>
      </c>
      <c r="K370" t="s">
        <v>2301</v>
      </c>
      <c r="L370" t="str">
        <f t="shared" si="11"/>
        <v>Low Risk</v>
      </c>
      <c r="M370" t="str">
        <f>IFERROR(VLOOKUP(A379,Promo_Pivot!A:C,3,FALSE),"No")</f>
        <v>Yes</v>
      </c>
    </row>
    <row r="371" spans="1:13" x14ac:dyDescent="0.35">
      <c r="A371" t="s">
        <v>2116</v>
      </c>
      <c r="B371" s="2">
        <v>45568</v>
      </c>
      <c r="C371">
        <v>5498</v>
      </c>
      <c r="D371">
        <v>4</v>
      </c>
      <c r="E371">
        <v>24</v>
      </c>
      <c r="F371">
        <v>5</v>
      </c>
      <c r="G371">
        <v>5</v>
      </c>
      <c r="H371">
        <v>5</v>
      </c>
      <c r="I371" t="str">
        <f t="shared" si="10"/>
        <v>555</v>
      </c>
      <c r="J371" t="s">
        <v>2304</v>
      </c>
      <c r="K371" t="s">
        <v>2299</v>
      </c>
      <c r="L371" t="str">
        <f t="shared" si="11"/>
        <v>Moderate Risk</v>
      </c>
      <c r="M371" t="str">
        <f>IFERROR(VLOOKUP(A380,Promo_Pivot!A:C,3,FALSE),"No")</f>
        <v>Yes</v>
      </c>
    </row>
    <row r="372" spans="1:13" x14ac:dyDescent="0.35">
      <c r="A372" t="s">
        <v>2117</v>
      </c>
      <c r="B372" s="2">
        <v>45576</v>
      </c>
      <c r="C372">
        <v>2512</v>
      </c>
      <c r="D372">
        <v>5</v>
      </c>
      <c r="E372">
        <v>16</v>
      </c>
      <c r="F372">
        <v>5</v>
      </c>
      <c r="G372">
        <v>5</v>
      </c>
      <c r="H372">
        <v>3</v>
      </c>
      <c r="I372" t="str">
        <f t="shared" si="10"/>
        <v>553</v>
      </c>
      <c r="J372" t="s">
        <v>2303</v>
      </c>
      <c r="K372" t="s">
        <v>2299</v>
      </c>
      <c r="L372" t="str">
        <f t="shared" si="11"/>
        <v>Moderate Risk</v>
      </c>
      <c r="M372" t="str">
        <f>IFERROR(VLOOKUP(A381,Promo_Pivot!A:C,3,FALSE),"No")</f>
        <v>Yes</v>
      </c>
    </row>
    <row r="373" spans="1:13" x14ac:dyDescent="0.35">
      <c r="A373" t="s">
        <v>2118</v>
      </c>
      <c r="B373" s="2">
        <v>45398</v>
      </c>
      <c r="C373">
        <v>3139</v>
      </c>
      <c r="D373">
        <v>4</v>
      </c>
      <c r="E373">
        <v>194</v>
      </c>
      <c r="F373">
        <v>1</v>
      </c>
      <c r="G373">
        <v>5</v>
      </c>
      <c r="H373">
        <v>4</v>
      </c>
      <c r="I373" t="str">
        <f t="shared" si="10"/>
        <v>154</v>
      </c>
      <c r="J373" t="s">
        <v>2300</v>
      </c>
      <c r="K373" t="s">
        <v>2301</v>
      </c>
      <c r="L373" t="str">
        <f t="shared" si="11"/>
        <v>Critical Risk</v>
      </c>
      <c r="M373" t="str">
        <f>IFERROR(VLOOKUP(A382,Promo_Pivot!A:C,3,FALSE),"No")</f>
        <v>Yes</v>
      </c>
    </row>
    <row r="374" spans="1:13" x14ac:dyDescent="0.35">
      <c r="A374" t="s">
        <v>2119</v>
      </c>
      <c r="B374" s="2">
        <v>45495</v>
      </c>
      <c r="C374">
        <v>3303</v>
      </c>
      <c r="D374">
        <v>4</v>
      </c>
      <c r="E374">
        <v>97</v>
      </c>
      <c r="F374">
        <v>2</v>
      </c>
      <c r="G374">
        <v>5</v>
      </c>
      <c r="H374">
        <v>4</v>
      </c>
      <c r="I374" t="str">
        <f t="shared" si="10"/>
        <v>254</v>
      </c>
      <c r="J374" t="s">
        <v>2300</v>
      </c>
      <c r="K374" t="s">
        <v>2301</v>
      </c>
      <c r="L374" t="str">
        <f t="shared" si="11"/>
        <v>Very High Risk</v>
      </c>
      <c r="M374" t="str">
        <f>IFERROR(VLOOKUP(A383,Promo_Pivot!A:C,3,FALSE),"No")</f>
        <v>Yes</v>
      </c>
    </row>
    <row r="375" spans="1:13" x14ac:dyDescent="0.35">
      <c r="A375" t="s">
        <v>2120</v>
      </c>
      <c r="B375" s="2">
        <v>45495</v>
      </c>
      <c r="C375">
        <v>1782</v>
      </c>
      <c r="D375">
        <v>3</v>
      </c>
      <c r="E375">
        <v>97</v>
      </c>
      <c r="F375">
        <v>2</v>
      </c>
      <c r="G375">
        <v>4</v>
      </c>
      <c r="H375">
        <v>3</v>
      </c>
      <c r="I375" t="str">
        <f t="shared" si="10"/>
        <v>243</v>
      </c>
      <c r="J375" t="s">
        <v>2300</v>
      </c>
      <c r="K375" t="s">
        <v>2301</v>
      </c>
      <c r="L375" t="str">
        <f t="shared" si="11"/>
        <v>Very High Risk</v>
      </c>
      <c r="M375" t="str">
        <f>IFERROR(VLOOKUP(A384,Promo_Pivot!A:C,3,FALSE),"No")</f>
        <v>Yes</v>
      </c>
    </row>
    <row r="376" spans="1:13" x14ac:dyDescent="0.35">
      <c r="A376" t="s">
        <v>2121</v>
      </c>
      <c r="B376" s="2">
        <v>45466</v>
      </c>
      <c r="C376">
        <v>3496</v>
      </c>
      <c r="D376">
        <v>5</v>
      </c>
      <c r="E376">
        <v>126</v>
      </c>
      <c r="F376">
        <v>2</v>
      </c>
      <c r="G376">
        <v>5</v>
      </c>
      <c r="H376">
        <v>4</v>
      </c>
      <c r="I376" t="str">
        <f t="shared" si="10"/>
        <v>254</v>
      </c>
      <c r="J376" t="s">
        <v>2300</v>
      </c>
      <c r="K376" t="s">
        <v>2301</v>
      </c>
      <c r="L376" t="str">
        <f t="shared" si="11"/>
        <v>Low Risk</v>
      </c>
      <c r="M376" t="str">
        <f>IFERROR(VLOOKUP(A385,Promo_Pivot!A:C,3,FALSE),"No")</f>
        <v>Yes</v>
      </c>
    </row>
    <row r="377" spans="1:13" x14ac:dyDescent="0.35">
      <c r="A377" t="s">
        <v>2122</v>
      </c>
      <c r="B377" s="2">
        <v>45558</v>
      </c>
      <c r="C377">
        <v>3599</v>
      </c>
      <c r="D377">
        <v>4</v>
      </c>
      <c r="E377">
        <v>34</v>
      </c>
      <c r="F377">
        <v>4</v>
      </c>
      <c r="G377">
        <v>5</v>
      </c>
      <c r="H377">
        <v>4</v>
      </c>
      <c r="I377" t="str">
        <f t="shared" si="10"/>
        <v>454</v>
      </c>
      <c r="J377" t="s">
        <v>2304</v>
      </c>
      <c r="K377" t="s">
        <v>2299</v>
      </c>
      <c r="L377" t="str">
        <f t="shared" si="11"/>
        <v>Moderate Risk</v>
      </c>
      <c r="M377" t="str">
        <f>IFERROR(VLOOKUP(A386,Promo_Pivot!A:C,3,FALSE),"No")</f>
        <v>Yes</v>
      </c>
    </row>
    <row r="378" spans="1:13" x14ac:dyDescent="0.35">
      <c r="A378" t="s">
        <v>2123</v>
      </c>
      <c r="B378" s="2">
        <v>45579</v>
      </c>
      <c r="C378">
        <v>3897</v>
      </c>
      <c r="D378">
        <v>5</v>
      </c>
      <c r="E378">
        <v>13</v>
      </c>
      <c r="F378">
        <v>5</v>
      </c>
      <c r="G378">
        <v>5</v>
      </c>
      <c r="H378">
        <v>5</v>
      </c>
      <c r="I378" t="str">
        <f t="shared" si="10"/>
        <v>555</v>
      </c>
      <c r="J378" t="s">
        <v>2304</v>
      </c>
      <c r="K378" t="s">
        <v>2299</v>
      </c>
      <c r="L378" t="str">
        <f t="shared" si="11"/>
        <v>Moderate Risk</v>
      </c>
      <c r="M378" t="str">
        <f>IFERROR(VLOOKUP(A387,Promo_Pivot!A:C,3,FALSE),"No")</f>
        <v>Yes</v>
      </c>
    </row>
    <row r="379" spans="1:13" x14ac:dyDescent="0.35">
      <c r="A379" t="s">
        <v>2124</v>
      </c>
      <c r="B379" s="2">
        <v>45555</v>
      </c>
      <c r="C379">
        <v>2664</v>
      </c>
      <c r="D379">
        <v>3</v>
      </c>
      <c r="E379">
        <v>37</v>
      </c>
      <c r="F379">
        <v>4</v>
      </c>
      <c r="G379">
        <v>4</v>
      </c>
      <c r="H379">
        <v>4</v>
      </c>
      <c r="I379" t="str">
        <f t="shared" si="10"/>
        <v>444</v>
      </c>
      <c r="J379" t="s">
        <v>2304</v>
      </c>
      <c r="K379" t="s">
        <v>2299</v>
      </c>
      <c r="L379" t="str">
        <f t="shared" si="11"/>
        <v>Moderate Risk</v>
      </c>
      <c r="M379" t="str">
        <f>IFERROR(VLOOKUP(A388,Promo_Pivot!A:C,3,FALSE),"No")</f>
        <v>Yes</v>
      </c>
    </row>
    <row r="380" spans="1:13" x14ac:dyDescent="0.35">
      <c r="A380" t="s">
        <v>1729</v>
      </c>
      <c r="B380" s="2">
        <v>45494</v>
      </c>
      <c r="C380">
        <v>1092</v>
      </c>
      <c r="D380">
        <v>1</v>
      </c>
      <c r="E380">
        <v>98</v>
      </c>
      <c r="F380">
        <v>2</v>
      </c>
      <c r="G380">
        <v>2</v>
      </c>
      <c r="H380">
        <v>2</v>
      </c>
      <c r="I380" t="str">
        <f t="shared" si="10"/>
        <v>222</v>
      </c>
      <c r="J380" t="s">
        <v>2300</v>
      </c>
      <c r="K380" t="s">
        <v>2301</v>
      </c>
      <c r="L380" t="str">
        <f t="shared" si="11"/>
        <v>Low Risk</v>
      </c>
      <c r="M380" t="str">
        <f>IFERROR(VLOOKUP(A389,Promo_Pivot!A:C,3,FALSE),"No")</f>
        <v>Yes</v>
      </c>
    </row>
    <row r="381" spans="1:13" x14ac:dyDescent="0.35">
      <c r="A381" t="s">
        <v>2125</v>
      </c>
      <c r="B381" s="2">
        <v>45538</v>
      </c>
      <c r="C381">
        <v>3319</v>
      </c>
      <c r="D381">
        <v>5</v>
      </c>
      <c r="E381">
        <v>54</v>
      </c>
      <c r="F381">
        <v>3</v>
      </c>
      <c r="G381">
        <v>5</v>
      </c>
      <c r="H381">
        <v>4</v>
      </c>
      <c r="I381" t="str">
        <f t="shared" si="10"/>
        <v>354</v>
      </c>
      <c r="J381" t="s">
        <v>2303</v>
      </c>
      <c r="K381" t="s">
        <v>2299</v>
      </c>
      <c r="L381" t="str">
        <f t="shared" si="11"/>
        <v>Moderate Risk</v>
      </c>
      <c r="M381" t="str">
        <f>IFERROR(VLOOKUP(A390,Promo_Pivot!A:C,3,FALSE),"No")</f>
        <v>Yes</v>
      </c>
    </row>
    <row r="382" spans="1:13" x14ac:dyDescent="0.35">
      <c r="A382" t="s">
        <v>2126</v>
      </c>
      <c r="B382" s="2">
        <v>45580</v>
      </c>
      <c r="C382">
        <v>2557</v>
      </c>
      <c r="D382">
        <v>2</v>
      </c>
      <c r="E382">
        <v>12</v>
      </c>
      <c r="F382">
        <v>5</v>
      </c>
      <c r="G382">
        <v>3</v>
      </c>
      <c r="H382">
        <v>3</v>
      </c>
      <c r="I382" t="str">
        <f t="shared" si="10"/>
        <v>533</v>
      </c>
      <c r="J382" t="s">
        <v>2303</v>
      </c>
      <c r="K382" t="s">
        <v>2299</v>
      </c>
      <c r="L382" t="str">
        <f t="shared" si="11"/>
        <v>Moderate Risk</v>
      </c>
      <c r="M382" t="str">
        <f>IFERROR(VLOOKUP(A391,Promo_Pivot!A:C,3,FALSE),"No")</f>
        <v>Yes</v>
      </c>
    </row>
    <row r="383" spans="1:13" x14ac:dyDescent="0.35">
      <c r="A383" t="s">
        <v>2127</v>
      </c>
      <c r="B383" s="2">
        <v>45462</v>
      </c>
      <c r="C383">
        <v>5137</v>
      </c>
      <c r="D383">
        <v>4</v>
      </c>
      <c r="E383">
        <v>130</v>
      </c>
      <c r="F383">
        <v>2</v>
      </c>
      <c r="G383">
        <v>5</v>
      </c>
      <c r="H383">
        <v>5</v>
      </c>
      <c r="I383" t="str">
        <f t="shared" si="10"/>
        <v>255</v>
      </c>
      <c r="J383" t="s">
        <v>2300</v>
      </c>
      <c r="K383" t="s">
        <v>2301</v>
      </c>
      <c r="L383" t="str">
        <f t="shared" si="11"/>
        <v>Low Risk</v>
      </c>
      <c r="M383" t="str">
        <f>IFERROR(VLOOKUP(A392,Promo_Pivot!A:C,3,FALSE),"No")</f>
        <v>Yes</v>
      </c>
    </row>
    <row r="384" spans="1:13" x14ac:dyDescent="0.35">
      <c r="A384" t="s">
        <v>2128</v>
      </c>
      <c r="B384" s="2">
        <v>45533</v>
      </c>
      <c r="C384">
        <v>2461</v>
      </c>
      <c r="D384">
        <v>3</v>
      </c>
      <c r="E384">
        <v>59</v>
      </c>
      <c r="F384">
        <v>3</v>
      </c>
      <c r="G384">
        <v>4</v>
      </c>
      <c r="H384">
        <v>3</v>
      </c>
      <c r="I384" t="str">
        <f t="shared" si="10"/>
        <v>343</v>
      </c>
      <c r="J384" t="s">
        <v>2303</v>
      </c>
      <c r="K384" t="s">
        <v>2299</v>
      </c>
      <c r="L384" t="str">
        <f t="shared" si="11"/>
        <v>Moderate Risk</v>
      </c>
      <c r="M384" t="str">
        <f>IFERROR(VLOOKUP(A393,Promo_Pivot!A:C,3,FALSE),"No")</f>
        <v>Yes</v>
      </c>
    </row>
    <row r="385" spans="1:13" x14ac:dyDescent="0.35">
      <c r="A385" t="s">
        <v>2129</v>
      </c>
      <c r="B385" s="2">
        <v>45565</v>
      </c>
      <c r="C385">
        <v>4431</v>
      </c>
      <c r="D385">
        <v>4</v>
      </c>
      <c r="E385">
        <v>27</v>
      </c>
      <c r="F385">
        <v>5</v>
      </c>
      <c r="G385">
        <v>5</v>
      </c>
      <c r="H385">
        <v>5</v>
      </c>
      <c r="I385" t="str">
        <f t="shared" si="10"/>
        <v>555</v>
      </c>
      <c r="J385" t="s">
        <v>2304</v>
      </c>
      <c r="K385" t="s">
        <v>2299</v>
      </c>
      <c r="L385" t="str">
        <f t="shared" si="11"/>
        <v>Moderate Risk</v>
      </c>
      <c r="M385" t="str">
        <f>IFERROR(VLOOKUP(A394,Promo_Pivot!A:C,3,FALSE),"No")</f>
        <v>Yes</v>
      </c>
    </row>
    <row r="386" spans="1:13" x14ac:dyDescent="0.35">
      <c r="A386" t="s">
        <v>2130</v>
      </c>
      <c r="B386" s="2">
        <v>45464</v>
      </c>
      <c r="C386">
        <v>3934</v>
      </c>
      <c r="D386">
        <v>3</v>
      </c>
      <c r="E386">
        <v>128</v>
      </c>
      <c r="F386">
        <v>2</v>
      </c>
      <c r="G386">
        <v>4</v>
      </c>
      <c r="H386">
        <v>5</v>
      </c>
      <c r="I386" t="str">
        <f t="shared" si="10"/>
        <v>245</v>
      </c>
      <c r="J386" t="s">
        <v>2300</v>
      </c>
      <c r="K386" t="s">
        <v>2301</v>
      </c>
      <c r="L386" t="str">
        <f t="shared" si="11"/>
        <v>Very High Risk</v>
      </c>
      <c r="M386" t="str">
        <f>IFERROR(VLOOKUP(A395,Promo_Pivot!A:C,3,FALSE),"No")</f>
        <v>Yes</v>
      </c>
    </row>
    <row r="387" spans="1:13" x14ac:dyDescent="0.35">
      <c r="A387" t="s">
        <v>2131</v>
      </c>
      <c r="B387" s="2">
        <v>45553</v>
      </c>
      <c r="C387">
        <v>1594</v>
      </c>
      <c r="D387">
        <v>2</v>
      </c>
      <c r="E387">
        <v>39</v>
      </c>
      <c r="F387">
        <v>4</v>
      </c>
      <c r="G387">
        <v>3</v>
      </c>
      <c r="H387">
        <v>2</v>
      </c>
      <c r="I387" t="str">
        <f t="shared" ref="I387:I450" si="12">F387&amp;G387&amp;H387</f>
        <v>432</v>
      </c>
      <c r="J387" t="s">
        <v>2298</v>
      </c>
      <c r="K387" t="s">
        <v>2299</v>
      </c>
      <c r="L387" t="str">
        <f t="shared" ref="L387:L450" si="13">IF(E389&lt;=30,"Low Risk",
IF(E387&lt;=60,"Moderate Risk",
IF(E387&lt;=90,"High Risk",
IF(E387&lt;=180,"Very High Risk","Critical Risk"))))</f>
        <v>Low Risk</v>
      </c>
      <c r="M387" t="str">
        <f>IFERROR(VLOOKUP(A396,Promo_Pivot!A:C,3,FALSE),"No")</f>
        <v>Yes</v>
      </c>
    </row>
    <row r="388" spans="1:13" x14ac:dyDescent="0.35">
      <c r="A388" t="s">
        <v>2132</v>
      </c>
      <c r="B388" s="2">
        <v>45558</v>
      </c>
      <c r="C388">
        <v>4251</v>
      </c>
      <c r="D388">
        <v>4</v>
      </c>
      <c r="E388">
        <v>34</v>
      </c>
      <c r="F388">
        <v>4</v>
      </c>
      <c r="G388">
        <v>5</v>
      </c>
      <c r="H388">
        <v>5</v>
      </c>
      <c r="I388" t="str">
        <f t="shared" si="12"/>
        <v>455</v>
      </c>
      <c r="J388" t="s">
        <v>2304</v>
      </c>
      <c r="K388" t="s">
        <v>2299</v>
      </c>
      <c r="L388" t="str">
        <f t="shared" si="13"/>
        <v>Low Risk</v>
      </c>
      <c r="M388" t="str">
        <f>IFERROR(VLOOKUP(A397,Promo_Pivot!A:C,3,FALSE),"No")</f>
        <v>Yes</v>
      </c>
    </row>
    <row r="389" spans="1:13" x14ac:dyDescent="0.35">
      <c r="A389" t="s">
        <v>2133</v>
      </c>
      <c r="B389" s="2">
        <v>45577</v>
      </c>
      <c r="C389">
        <v>2021</v>
      </c>
      <c r="D389">
        <v>3</v>
      </c>
      <c r="E389">
        <v>15</v>
      </c>
      <c r="F389">
        <v>5</v>
      </c>
      <c r="G389">
        <v>4</v>
      </c>
      <c r="H389">
        <v>3</v>
      </c>
      <c r="I389" t="str">
        <f t="shared" si="12"/>
        <v>543</v>
      </c>
      <c r="J389" t="s">
        <v>2303</v>
      </c>
      <c r="K389" t="s">
        <v>2299</v>
      </c>
      <c r="L389" t="str">
        <f t="shared" si="13"/>
        <v>Low Risk</v>
      </c>
      <c r="M389" t="str">
        <f>IFERROR(VLOOKUP(A398,Promo_Pivot!A:C,3,FALSE),"No")</f>
        <v>Yes</v>
      </c>
    </row>
    <row r="390" spans="1:13" x14ac:dyDescent="0.35">
      <c r="A390" t="s">
        <v>2134</v>
      </c>
      <c r="B390" s="2">
        <v>45566</v>
      </c>
      <c r="C390">
        <v>2537</v>
      </c>
      <c r="D390">
        <v>5</v>
      </c>
      <c r="E390">
        <v>26</v>
      </c>
      <c r="F390">
        <v>5</v>
      </c>
      <c r="G390">
        <v>5</v>
      </c>
      <c r="H390">
        <v>3</v>
      </c>
      <c r="I390" t="str">
        <f t="shared" si="12"/>
        <v>553</v>
      </c>
      <c r="J390" t="s">
        <v>2303</v>
      </c>
      <c r="K390" t="s">
        <v>2299</v>
      </c>
      <c r="L390" t="str">
        <f t="shared" si="13"/>
        <v>Moderate Risk</v>
      </c>
      <c r="M390" t="str">
        <f>IFERROR(VLOOKUP(A399,Promo_Pivot!A:C,3,FALSE),"No")</f>
        <v>Yes</v>
      </c>
    </row>
    <row r="391" spans="1:13" x14ac:dyDescent="0.35">
      <c r="A391" t="s">
        <v>1730</v>
      </c>
      <c r="B391" s="2">
        <v>45581</v>
      </c>
      <c r="C391">
        <v>866</v>
      </c>
      <c r="D391">
        <v>1</v>
      </c>
      <c r="E391">
        <v>11</v>
      </c>
      <c r="F391">
        <v>5</v>
      </c>
      <c r="G391">
        <v>2</v>
      </c>
      <c r="H391">
        <v>2</v>
      </c>
      <c r="I391" t="str">
        <f t="shared" si="12"/>
        <v>522</v>
      </c>
      <c r="J391" t="s">
        <v>2298</v>
      </c>
      <c r="K391" t="s">
        <v>2299</v>
      </c>
      <c r="L391" t="str">
        <f t="shared" si="13"/>
        <v>Low Risk</v>
      </c>
      <c r="M391" t="str">
        <f>IFERROR(VLOOKUP(A400,Promo_Pivot!A:C,3,FALSE),"No")</f>
        <v>Yes</v>
      </c>
    </row>
    <row r="392" spans="1:13" x14ac:dyDescent="0.35">
      <c r="A392" t="s">
        <v>2135</v>
      </c>
      <c r="B392" s="2">
        <v>45485</v>
      </c>
      <c r="C392">
        <v>1584</v>
      </c>
      <c r="D392">
        <v>2</v>
      </c>
      <c r="E392">
        <v>107</v>
      </c>
      <c r="F392">
        <v>2</v>
      </c>
      <c r="G392">
        <v>3</v>
      </c>
      <c r="H392">
        <v>2</v>
      </c>
      <c r="I392" t="str">
        <f t="shared" si="12"/>
        <v>232</v>
      </c>
      <c r="J392" t="s">
        <v>2300</v>
      </c>
      <c r="K392" t="s">
        <v>2301</v>
      </c>
      <c r="L392" t="str">
        <f t="shared" si="13"/>
        <v>Very High Risk</v>
      </c>
      <c r="M392" t="str">
        <f>IFERROR(VLOOKUP(A401,Promo_Pivot!A:C,3,FALSE),"No")</f>
        <v>Yes</v>
      </c>
    </row>
    <row r="393" spans="1:13" x14ac:dyDescent="0.35">
      <c r="A393" t="s">
        <v>2136</v>
      </c>
      <c r="B393" s="2">
        <v>45581</v>
      </c>
      <c r="C393">
        <v>4127</v>
      </c>
      <c r="D393">
        <v>4</v>
      </c>
      <c r="E393">
        <v>11</v>
      </c>
      <c r="F393">
        <v>5</v>
      </c>
      <c r="G393">
        <v>5</v>
      </c>
      <c r="H393">
        <v>5</v>
      </c>
      <c r="I393" t="str">
        <f t="shared" si="12"/>
        <v>555</v>
      </c>
      <c r="J393" t="s">
        <v>2304</v>
      </c>
      <c r="K393" t="s">
        <v>2299</v>
      </c>
      <c r="L393" t="str">
        <f t="shared" si="13"/>
        <v>Low Risk</v>
      </c>
      <c r="M393" t="str">
        <f>IFERROR(VLOOKUP(A402,Promo_Pivot!A:C,3,FALSE),"No")</f>
        <v>Yes</v>
      </c>
    </row>
    <row r="394" spans="1:13" x14ac:dyDescent="0.35">
      <c r="A394" t="s">
        <v>2137</v>
      </c>
      <c r="B394" s="2">
        <v>45482</v>
      </c>
      <c r="C394">
        <v>1525</v>
      </c>
      <c r="D394">
        <v>3</v>
      </c>
      <c r="E394">
        <v>110</v>
      </c>
      <c r="F394">
        <v>2</v>
      </c>
      <c r="G394">
        <v>4</v>
      </c>
      <c r="H394">
        <v>2</v>
      </c>
      <c r="I394" t="str">
        <f t="shared" si="12"/>
        <v>242</v>
      </c>
      <c r="J394" t="s">
        <v>2300</v>
      </c>
      <c r="K394" t="s">
        <v>2301</v>
      </c>
      <c r="L394" t="str">
        <f t="shared" si="13"/>
        <v>Very High Risk</v>
      </c>
      <c r="M394" t="str">
        <f>IFERROR(VLOOKUP(A403,Promo_Pivot!A:C,3,FALSE),"No")</f>
        <v>Yes</v>
      </c>
    </row>
    <row r="395" spans="1:13" x14ac:dyDescent="0.35">
      <c r="A395" t="s">
        <v>2138</v>
      </c>
      <c r="B395" s="2">
        <v>45581</v>
      </c>
      <c r="C395">
        <v>2410</v>
      </c>
      <c r="D395">
        <v>5</v>
      </c>
      <c r="E395">
        <v>11</v>
      </c>
      <c r="F395">
        <v>5</v>
      </c>
      <c r="G395">
        <v>5</v>
      </c>
      <c r="H395">
        <v>3</v>
      </c>
      <c r="I395" t="str">
        <f t="shared" si="12"/>
        <v>553</v>
      </c>
      <c r="J395" t="s">
        <v>2303</v>
      </c>
      <c r="K395" t="s">
        <v>2299</v>
      </c>
      <c r="L395" t="str">
        <f t="shared" si="13"/>
        <v>Low Risk</v>
      </c>
      <c r="M395" t="str">
        <f>IFERROR(VLOOKUP(A404,Promo_Pivot!A:C,3,FALSE),"No")</f>
        <v>Yes</v>
      </c>
    </row>
    <row r="396" spans="1:13" x14ac:dyDescent="0.35">
      <c r="A396" t="s">
        <v>2139</v>
      </c>
      <c r="B396" s="2">
        <v>45545</v>
      </c>
      <c r="C396">
        <v>2023</v>
      </c>
      <c r="D396">
        <v>2</v>
      </c>
      <c r="E396">
        <v>47</v>
      </c>
      <c r="F396">
        <v>4</v>
      </c>
      <c r="G396">
        <v>3</v>
      </c>
      <c r="H396">
        <v>3</v>
      </c>
      <c r="I396" t="str">
        <f t="shared" si="12"/>
        <v>433</v>
      </c>
      <c r="J396" t="s">
        <v>2303</v>
      </c>
      <c r="K396" t="s">
        <v>2299</v>
      </c>
      <c r="L396" t="str">
        <f t="shared" si="13"/>
        <v>Low Risk</v>
      </c>
      <c r="M396" t="str">
        <f>IFERROR(VLOOKUP(A405,Promo_Pivot!A:C,3,FALSE),"No")</f>
        <v>Yes</v>
      </c>
    </row>
    <row r="397" spans="1:13" x14ac:dyDescent="0.35">
      <c r="A397" t="s">
        <v>2140</v>
      </c>
      <c r="B397" s="2">
        <v>45587</v>
      </c>
      <c r="C397">
        <v>2010</v>
      </c>
      <c r="D397">
        <v>3</v>
      </c>
      <c r="E397">
        <v>5</v>
      </c>
      <c r="F397">
        <v>5</v>
      </c>
      <c r="G397">
        <v>4</v>
      </c>
      <c r="H397">
        <v>3</v>
      </c>
      <c r="I397" t="str">
        <f t="shared" si="12"/>
        <v>543</v>
      </c>
      <c r="J397" t="s">
        <v>2303</v>
      </c>
      <c r="K397" t="s">
        <v>2299</v>
      </c>
      <c r="L397" t="str">
        <f t="shared" si="13"/>
        <v>Moderate Risk</v>
      </c>
      <c r="M397" t="str">
        <f>IFERROR(VLOOKUP(A406,Promo_Pivot!A:C,3,FALSE),"No")</f>
        <v>Yes</v>
      </c>
    </row>
    <row r="398" spans="1:13" x14ac:dyDescent="0.35">
      <c r="A398" t="s">
        <v>2141</v>
      </c>
      <c r="B398" s="2">
        <v>45567</v>
      </c>
      <c r="C398">
        <v>3571</v>
      </c>
      <c r="D398">
        <v>4</v>
      </c>
      <c r="E398">
        <v>25</v>
      </c>
      <c r="F398">
        <v>5</v>
      </c>
      <c r="G398">
        <v>5</v>
      </c>
      <c r="H398">
        <v>4</v>
      </c>
      <c r="I398" t="str">
        <f t="shared" si="12"/>
        <v>554</v>
      </c>
      <c r="J398" t="s">
        <v>2304</v>
      </c>
      <c r="K398" t="s">
        <v>2299</v>
      </c>
      <c r="L398" t="str">
        <f t="shared" si="13"/>
        <v>Moderate Risk</v>
      </c>
      <c r="M398" t="str">
        <f>IFERROR(VLOOKUP(A407,Promo_Pivot!A:C,3,FALSE),"No")</f>
        <v>Yes</v>
      </c>
    </row>
    <row r="399" spans="1:13" x14ac:dyDescent="0.35">
      <c r="A399" t="s">
        <v>2142</v>
      </c>
      <c r="B399" s="2">
        <v>45558</v>
      </c>
      <c r="C399">
        <v>2737</v>
      </c>
      <c r="D399">
        <v>3</v>
      </c>
      <c r="E399">
        <v>34</v>
      </c>
      <c r="F399">
        <v>4</v>
      </c>
      <c r="G399">
        <v>4</v>
      </c>
      <c r="H399">
        <v>4</v>
      </c>
      <c r="I399" t="str">
        <f t="shared" si="12"/>
        <v>444</v>
      </c>
      <c r="J399" t="s">
        <v>2304</v>
      </c>
      <c r="K399" t="s">
        <v>2299</v>
      </c>
      <c r="L399" t="str">
        <f t="shared" si="13"/>
        <v>Moderate Risk</v>
      </c>
      <c r="M399" t="str">
        <f>IFERROR(VLOOKUP(A408,Promo_Pivot!A:C,3,FALSE),"No")</f>
        <v>Yes</v>
      </c>
    </row>
    <row r="400" spans="1:13" x14ac:dyDescent="0.35">
      <c r="A400" t="s">
        <v>2143</v>
      </c>
      <c r="B400" s="2">
        <v>45469</v>
      </c>
      <c r="C400">
        <v>3651</v>
      </c>
      <c r="D400">
        <v>3</v>
      </c>
      <c r="E400">
        <v>123</v>
      </c>
      <c r="F400">
        <v>2</v>
      </c>
      <c r="G400">
        <v>4</v>
      </c>
      <c r="H400">
        <v>4</v>
      </c>
      <c r="I400" t="str">
        <f t="shared" si="12"/>
        <v>244</v>
      </c>
      <c r="J400" t="s">
        <v>2300</v>
      </c>
      <c r="K400" t="s">
        <v>2301</v>
      </c>
      <c r="L400" t="str">
        <f t="shared" si="13"/>
        <v>Very High Risk</v>
      </c>
      <c r="M400" t="str">
        <f>IFERROR(VLOOKUP(A409,Promo_Pivot!A:C,3,FALSE),"No")</f>
        <v>Yes</v>
      </c>
    </row>
    <row r="401" spans="1:13" x14ac:dyDescent="0.35">
      <c r="A401" t="s">
        <v>2144</v>
      </c>
      <c r="B401" s="2">
        <v>45514</v>
      </c>
      <c r="C401">
        <v>1234</v>
      </c>
      <c r="D401">
        <v>2</v>
      </c>
      <c r="E401">
        <v>78</v>
      </c>
      <c r="F401">
        <v>3</v>
      </c>
      <c r="G401">
        <v>3</v>
      </c>
      <c r="H401">
        <v>2</v>
      </c>
      <c r="I401" t="str">
        <f t="shared" si="12"/>
        <v>332</v>
      </c>
      <c r="J401" t="s">
        <v>2302</v>
      </c>
      <c r="K401" t="s">
        <v>2299</v>
      </c>
      <c r="L401" t="str">
        <f t="shared" si="13"/>
        <v>High Risk</v>
      </c>
      <c r="M401" t="str">
        <f>IFERROR(VLOOKUP(A410,Promo_Pivot!A:C,3,FALSE),"No")</f>
        <v>Yes</v>
      </c>
    </row>
    <row r="402" spans="1:13" x14ac:dyDescent="0.35">
      <c r="A402" t="s">
        <v>1731</v>
      </c>
      <c r="B402" s="2">
        <v>45546</v>
      </c>
      <c r="C402">
        <v>2225</v>
      </c>
      <c r="D402">
        <v>1</v>
      </c>
      <c r="E402">
        <v>46</v>
      </c>
      <c r="F402">
        <v>4</v>
      </c>
      <c r="G402">
        <v>2</v>
      </c>
      <c r="H402">
        <v>3</v>
      </c>
      <c r="I402" t="str">
        <f t="shared" si="12"/>
        <v>423</v>
      </c>
      <c r="J402" t="s">
        <v>2298</v>
      </c>
      <c r="K402" t="s">
        <v>2299</v>
      </c>
      <c r="L402" t="str">
        <f t="shared" si="13"/>
        <v>Moderate Risk</v>
      </c>
      <c r="M402" t="str">
        <f>IFERROR(VLOOKUP(A411,Promo_Pivot!A:C,3,FALSE),"No")</f>
        <v>Yes</v>
      </c>
    </row>
    <row r="403" spans="1:13" x14ac:dyDescent="0.35">
      <c r="A403" t="s">
        <v>2145</v>
      </c>
      <c r="B403" s="2">
        <v>45556</v>
      </c>
      <c r="C403">
        <v>4065</v>
      </c>
      <c r="D403">
        <v>4</v>
      </c>
      <c r="E403">
        <v>36</v>
      </c>
      <c r="F403">
        <v>4</v>
      </c>
      <c r="G403">
        <v>5</v>
      </c>
      <c r="H403">
        <v>5</v>
      </c>
      <c r="I403" t="str">
        <f t="shared" si="12"/>
        <v>455</v>
      </c>
      <c r="J403" t="s">
        <v>2304</v>
      </c>
      <c r="K403" t="s">
        <v>2299</v>
      </c>
      <c r="L403" t="str">
        <f t="shared" si="13"/>
        <v>Moderate Risk</v>
      </c>
      <c r="M403" t="str">
        <f>IFERROR(VLOOKUP(A412,Promo_Pivot!A:C,3,FALSE),"No")</f>
        <v>Yes</v>
      </c>
    </row>
    <row r="404" spans="1:13" x14ac:dyDescent="0.35">
      <c r="A404" t="s">
        <v>2146</v>
      </c>
      <c r="B404" s="2">
        <v>45401</v>
      </c>
      <c r="C404">
        <v>3016</v>
      </c>
      <c r="D404">
        <v>4</v>
      </c>
      <c r="E404">
        <v>191</v>
      </c>
      <c r="F404">
        <v>1</v>
      </c>
      <c r="G404">
        <v>5</v>
      </c>
      <c r="H404">
        <v>4</v>
      </c>
      <c r="I404" t="str">
        <f t="shared" si="12"/>
        <v>154</v>
      </c>
      <c r="J404" t="s">
        <v>2300</v>
      </c>
      <c r="K404" t="s">
        <v>2301</v>
      </c>
      <c r="L404" t="str">
        <f t="shared" si="13"/>
        <v>Critical Risk</v>
      </c>
      <c r="M404" t="str">
        <f>IFERROR(VLOOKUP(A413,Promo_Pivot!A:C,3,FALSE),"No")</f>
        <v>Yes</v>
      </c>
    </row>
    <row r="405" spans="1:13" x14ac:dyDescent="0.35">
      <c r="A405" t="s">
        <v>2147</v>
      </c>
      <c r="B405" s="2">
        <v>45512</v>
      </c>
      <c r="C405">
        <v>3470</v>
      </c>
      <c r="D405">
        <v>3</v>
      </c>
      <c r="E405">
        <v>80</v>
      </c>
      <c r="F405">
        <v>3</v>
      </c>
      <c r="G405">
        <v>4</v>
      </c>
      <c r="H405">
        <v>4</v>
      </c>
      <c r="I405" t="str">
        <f t="shared" si="12"/>
        <v>344</v>
      </c>
      <c r="J405" t="s">
        <v>2303</v>
      </c>
      <c r="K405" t="s">
        <v>2299</v>
      </c>
      <c r="L405" t="str">
        <f t="shared" si="13"/>
        <v>High Risk</v>
      </c>
      <c r="M405" t="str">
        <f>IFERROR(VLOOKUP(A414,Promo_Pivot!A:C,3,FALSE),"No")</f>
        <v>Yes</v>
      </c>
    </row>
    <row r="406" spans="1:13" x14ac:dyDescent="0.35">
      <c r="A406" t="s">
        <v>2148</v>
      </c>
      <c r="B406" s="2">
        <v>45523</v>
      </c>
      <c r="C406">
        <v>4258</v>
      </c>
      <c r="D406">
        <v>3</v>
      </c>
      <c r="E406">
        <v>69</v>
      </c>
      <c r="F406">
        <v>3</v>
      </c>
      <c r="G406">
        <v>4</v>
      </c>
      <c r="H406">
        <v>5</v>
      </c>
      <c r="I406" t="str">
        <f t="shared" si="12"/>
        <v>345</v>
      </c>
      <c r="J406" t="s">
        <v>2303</v>
      </c>
      <c r="K406" t="s">
        <v>2299</v>
      </c>
      <c r="L406" t="str">
        <f t="shared" si="13"/>
        <v>High Risk</v>
      </c>
      <c r="M406" t="str">
        <f>IFERROR(VLOOKUP(A415,Promo_Pivot!A:C,3,FALSE),"No")</f>
        <v>Yes</v>
      </c>
    </row>
    <row r="407" spans="1:13" x14ac:dyDescent="0.35">
      <c r="A407" t="s">
        <v>2149</v>
      </c>
      <c r="B407" s="2">
        <v>45523</v>
      </c>
      <c r="C407">
        <v>2814</v>
      </c>
      <c r="D407">
        <v>3</v>
      </c>
      <c r="E407">
        <v>69</v>
      </c>
      <c r="F407">
        <v>3</v>
      </c>
      <c r="G407">
        <v>4</v>
      </c>
      <c r="H407">
        <v>4</v>
      </c>
      <c r="I407" t="str">
        <f t="shared" si="12"/>
        <v>344</v>
      </c>
      <c r="J407" t="s">
        <v>2303</v>
      </c>
      <c r="K407" t="s">
        <v>2299</v>
      </c>
      <c r="L407" t="str">
        <f t="shared" si="13"/>
        <v>Low Risk</v>
      </c>
      <c r="M407" t="str">
        <f>IFERROR(VLOOKUP(A416,Promo_Pivot!A:C,3,FALSE),"No")</f>
        <v>Yes</v>
      </c>
    </row>
    <row r="408" spans="1:13" x14ac:dyDescent="0.35">
      <c r="A408" t="s">
        <v>2150</v>
      </c>
      <c r="B408" s="2">
        <v>45463</v>
      </c>
      <c r="C408">
        <v>2294</v>
      </c>
      <c r="D408">
        <v>2</v>
      </c>
      <c r="E408">
        <v>129</v>
      </c>
      <c r="F408">
        <v>2</v>
      </c>
      <c r="G408">
        <v>3</v>
      </c>
      <c r="H408">
        <v>3</v>
      </c>
      <c r="I408" t="str">
        <f t="shared" si="12"/>
        <v>233</v>
      </c>
      <c r="J408" t="s">
        <v>2300</v>
      </c>
      <c r="K408" t="s">
        <v>2301</v>
      </c>
      <c r="L408" t="str">
        <f t="shared" si="13"/>
        <v>Very High Risk</v>
      </c>
      <c r="M408" t="str">
        <f>IFERROR(VLOOKUP(A417,Promo_Pivot!A:C,3,FALSE),"No")</f>
        <v>Yes</v>
      </c>
    </row>
    <row r="409" spans="1:13" x14ac:dyDescent="0.35">
      <c r="A409" t="s">
        <v>2151</v>
      </c>
      <c r="B409" s="2">
        <v>45588</v>
      </c>
      <c r="C409">
        <v>1807</v>
      </c>
      <c r="D409">
        <v>4</v>
      </c>
      <c r="E409">
        <v>4</v>
      </c>
      <c r="F409">
        <v>5</v>
      </c>
      <c r="G409">
        <v>5</v>
      </c>
      <c r="H409">
        <v>3</v>
      </c>
      <c r="I409" t="str">
        <f t="shared" si="12"/>
        <v>553</v>
      </c>
      <c r="J409" t="s">
        <v>2303</v>
      </c>
      <c r="K409" t="s">
        <v>2299</v>
      </c>
      <c r="L409" t="str">
        <f t="shared" si="13"/>
        <v>Low Risk</v>
      </c>
      <c r="M409" t="str">
        <f>IFERROR(VLOOKUP(A418,Promo_Pivot!A:C,3,FALSE),"No")</f>
        <v>Yes</v>
      </c>
    </row>
    <row r="410" spans="1:13" x14ac:dyDescent="0.35">
      <c r="A410" t="s">
        <v>2152</v>
      </c>
      <c r="B410" s="2">
        <v>45561</v>
      </c>
      <c r="C410">
        <v>2636</v>
      </c>
      <c r="D410">
        <v>5</v>
      </c>
      <c r="E410">
        <v>31</v>
      </c>
      <c r="F410">
        <v>4</v>
      </c>
      <c r="G410">
        <v>5</v>
      </c>
      <c r="H410">
        <v>4</v>
      </c>
      <c r="I410" t="str">
        <f t="shared" si="12"/>
        <v>454</v>
      </c>
      <c r="J410" t="s">
        <v>2304</v>
      </c>
      <c r="K410" t="s">
        <v>2299</v>
      </c>
      <c r="L410" t="str">
        <f t="shared" si="13"/>
        <v>Moderate Risk</v>
      </c>
      <c r="M410" t="str">
        <f>IFERROR(VLOOKUP(A419,Promo_Pivot!A:C,3,FALSE),"No")</f>
        <v>Yes</v>
      </c>
    </row>
    <row r="411" spans="1:13" x14ac:dyDescent="0.35">
      <c r="A411" t="s">
        <v>2153</v>
      </c>
      <c r="B411" s="2">
        <v>45574</v>
      </c>
      <c r="C411">
        <v>824</v>
      </c>
      <c r="D411">
        <v>2</v>
      </c>
      <c r="E411">
        <v>18</v>
      </c>
      <c r="F411">
        <v>5</v>
      </c>
      <c r="G411">
        <v>3</v>
      </c>
      <c r="H411">
        <v>1</v>
      </c>
      <c r="I411" t="str">
        <f t="shared" si="12"/>
        <v>531</v>
      </c>
      <c r="J411" t="s">
        <v>2298</v>
      </c>
      <c r="K411" t="s">
        <v>2299</v>
      </c>
      <c r="L411" t="str">
        <f t="shared" si="13"/>
        <v>Moderate Risk</v>
      </c>
      <c r="M411" t="str">
        <f>IFERROR(VLOOKUP(A420,Promo_Pivot!A:C,3,FALSE),"No")</f>
        <v>Yes</v>
      </c>
    </row>
    <row r="412" spans="1:13" x14ac:dyDescent="0.35">
      <c r="A412" t="s">
        <v>2154</v>
      </c>
      <c r="B412" s="2">
        <v>45484</v>
      </c>
      <c r="C412">
        <v>2052</v>
      </c>
      <c r="D412">
        <v>2</v>
      </c>
      <c r="E412">
        <v>108</v>
      </c>
      <c r="F412">
        <v>2</v>
      </c>
      <c r="G412">
        <v>3</v>
      </c>
      <c r="H412">
        <v>3</v>
      </c>
      <c r="I412" t="str">
        <f t="shared" si="12"/>
        <v>233</v>
      </c>
      <c r="J412" t="s">
        <v>2300</v>
      </c>
      <c r="K412" t="s">
        <v>2301</v>
      </c>
      <c r="L412" t="str">
        <f t="shared" si="13"/>
        <v>Low Risk</v>
      </c>
      <c r="M412" t="str">
        <f>IFERROR(VLOOKUP(A421,Promo_Pivot!A:C,3,FALSE),"No")</f>
        <v>Yes</v>
      </c>
    </row>
    <row r="413" spans="1:13" x14ac:dyDescent="0.35">
      <c r="A413" t="s">
        <v>1732</v>
      </c>
      <c r="B413" s="2">
        <v>45389</v>
      </c>
      <c r="C413">
        <v>836</v>
      </c>
      <c r="D413">
        <v>1</v>
      </c>
      <c r="E413">
        <v>203</v>
      </c>
      <c r="F413">
        <v>1</v>
      </c>
      <c r="G413">
        <v>2</v>
      </c>
      <c r="H413">
        <v>1</v>
      </c>
      <c r="I413" t="str">
        <f t="shared" si="12"/>
        <v>121</v>
      </c>
      <c r="J413" t="s">
        <v>2300</v>
      </c>
      <c r="K413" t="s">
        <v>2301</v>
      </c>
      <c r="L413" t="str">
        <f t="shared" si="13"/>
        <v>Low Risk</v>
      </c>
      <c r="M413" t="str">
        <f>IFERROR(VLOOKUP(A422,Promo_Pivot!A:C,3,FALSE),"No")</f>
        <v>Yes</v>
      </c>
    </row>
    <row r="414" spans="1:13" x14ac:dyDescent="0.35">
      <c r="A414" t="s">
        <v>2155</v>
      </c>
      <c r="B414" s="2">
        <v>45586</v>
      </c>
      <c r="C414">
        <v>5138</v>
      </c>
      <c r="D414">
        <v>5</v>
      </c>
      <c r="E414">
        <v>6</v>
      </c>
      <c r="F414">
        <v>5</v>
      </c>
      <c r="G414">
        <v>5</v>
      </c>
      <c r="H414">
        <v>5</v>
      </c>
      <c r="I414" t="str">
        <f t="shared" si="12"/>
        <v>555</v>
      </c>
      <c r="J414" t="s">
        <v>2304</v>
      </c>
      <c r="K414" t="s">
        <v>2299</v>
      </c>
      <c r="L414" t="str">
        <f t="shared" si="13"/>
        <v>Low Risk</v>
      </c>
      <c r="M414" t="str">
        <f>IFERROR(VLOOKUP(A423,Promo_Pivot!A:C,3,FALSE),"No")</f>
        <v>Yes</v>
      </c>
    </row>
    <row r="415" spans="1:13" x14ac:dyDescent="0.35">
      <c r="A415" t="s">
        <v>2156</v>
      </c>
      <c r="B415" s="2">
        <v>45565</v>
      </c>
      <c r="C415">
        <v>3231</v>
      </c>
      <c r="D415">
        <v>3</v>
      </c>
      <c r="E415">
        <v>27</v>
      </c>
      <c r="F415">
        <v>5</v>
      </c>
      <c r="G415">
        <v>4</v>
      </c>
      <c r="H415">
        <v>4</v>
      </c>
      <c r="I415" t="str">
        <f t="shared" si="12"/>
        <v>544</v>
      </c>
      <c r="J415" t="s">
        <v>2304</v>
      </c>
      <c r="K415" t="s">
        <v>2299</v>
      </c>
      <c r="L415" t="str">
        <f t="shared" si="13"/>
        <v>Moderate Risk</v>
      </c>
      <c r="M415" t="str">
        <f>IFERROR(VLOOKUP(A424,Promo_Pivot!A:C,3,FALSE),"No")</f>
        <v>Yes</v>
      </c>
    </row>
    <row r="416" spans="1:13" x14ac:dyDescent="0.35">
      <c r="A416" t="s">
        <v>2157</v>
      </c>
      <c r="B416" s="2">
        <v>45587</v>
      </c>
      <c r="C416">
        <v>2683</v>
      </c>
      <c r="D416">
        <v>4</v>
      </c>
      <c r="E416">
        <v>5</v>
      </c>
      <c r="F416">
        <v>5</v>
      </c>
      <c r="G416">
        <v>5</v>
      </c>
      <c r="H416">
        <v>4</v>
      </c>
      <c r="I416" t="str">
        <f t="shared" si="12"/>
        <v>554</v>
      </c>
      <c r="J416" t="s">
        <v>2304</v>
      </c>
      <c r="K416" t="s">
        <v>2299</v>
      </c>
      <c r="L416" t="str">
        <f t="shared" si="13"/>
        <v>Moderate Risk</v>
      </c>
      <c r="M416" t="str">
        <f>IFERROR(VLOOKUP(A425,Promo_Pivot!A:C,3,FALSE),"No")</f>
        <v>Yes</v>
      </c>
    </row>
    <row r="417" spans="1:13" x14ac:dyDescent="0.35">
      <c r="A417" t="s">
        <v>2158</v>
      </c>
      <c r="B417" s="2">
        <v>45554</v>
      </c>
      <c r="C417">
        <v>7022</v>
      </c>
      <c r="D417">
        <v>5</v>
      </c>
      <c r="E417">
        <v>38</v>
      </c>
      <c r="F417">
        <v>4</v>
      </c>
      <c r="G417">
        <v>5</v>
      </c>
      <c r="H417">
        <v>5</v>
      </c>
      <c r="I417" t="str">
        <f t="shared" si="12"/>
        <v>455</v>
      </c>
      <c r="J417" t="s">
        <v>2304</v>
      </c>
      <c r="K417" t="s">
        <v>2299</v>
      </c>
      <c r="L417" t="str">
        <f t="shared" si="13"/>
        <v>Moderate Risk</v>
      </c>
      <c r="M417" t="str">
        <f>IFERROR(VLOOKUP(A426,Promo_Pivot!A:C,3,FALSE),"No")</f>
        <v>Yes</v>
      </c>
    </row>
    <row r="418" spans="1:13" x14ac:dyDescent="0.35">
      <c r="A418" t="s">
        <v>2159</v>
      </c>
      <c r="B418" s="2">
        <v>45460</v>
      </c>
      <c r="C418">
        <v>3375</v>
      </c>
      <c r="D418">
        <v>4</v>
      </c>
      <c r="E418">
        <v>132</v>
      </c>
      <c r="F418">
        <v>2</v>
      </c>
      <c r="G418">
        <v>5</v>
      </c>
      <c r="H418">
        <v>4</v>
      </c>
      <c r="I418" t="str">
        <f t="shared" si="12"/>
        <v>254</v>
      </c>
      <c r="J418" t="s">
        <v>2300</v>
      </c>
      <c r="K418" t="s">
        <v>2301</v>
      </c>
      <c r="L418" t="str">
        <f t="shared" si="13"/>
        <v>Low Risk</v>
      </c>
      <c r="M418" t="str">
        <f>IFERROR(VLOOKUP(A427,Promo_Pivot!A:C,3,FALSE),"No")</f>
        <v>Yes</v>
      </c>
    </row>
    <row r="419" spans="1:13" x14ac:dyDescent="0.35">
      <c r="A419" t="s">
        <v>2160</v>
      </c>
      <c r="B419" s="2">
        <v>45386</v>
      </c>
      <c r="C419">
        <v>1832</v>
      </c>
      <c r="D419">
        <v>2</v>
      </c>
      <c r="E419">
        <v>206</v>
      </c>
      <c r="F419">
        <v>1</v>
      </c>
      <c r="G419">
        <v>3</v>
      </c>
      <c r="H419">
        <v>3</v>
      </c>
      <c r="I419" t="str">
        <f t="shared" si="12"/>
        <v>133</v>
      </c>
      <c r="J419" t="s">
        <v>2300</v>
      </c>
      <c r="K419" t="s">
        <v>2301</v>
      </c>
      <c r="L419" t="str">
        <f t="shared" si="13"/>
        <v>Critical Risk</v>
      </c>
      <c r="M419" t="str">
        <f>IFERROR(VLOOKUP(A428,Promo_Pivot!A:C,3,FALSE),"No")</f>
        <v>Yes</v>
      </c>
    </row>
    <row r="420" spans="1:13" x14ac:dyDescent="0.35">
      <c r="A420" t="s">
        <v>2161</v>
      </c>
      <c r="B420" s="2">
        <v>45564</v>
      </c>
      <c r="C420">
        <v>2978</v>
      </c>
      <c r="D420">
        <v>2</v>
      </c>
      <c r="E420">
        <v>28</v>
      </c>
      <c r="F420">
        <v>4</v>
      </c>
      <c r="G420">
        <v>3</v>
      </c>
      <c r="H420">
        <v>4</v>
      </c>
      <c r="I420" t="str">
        <f t="shared" si="12"/>
        <v>434</v>
      </c>
      <c r="J420" t="s">
        <v>2303</v>
      </c>
      <c r="K420" t="s">
        <v>2299</v>
      </c>
      <c r="L420" t="str">
        <f t="shared" si="13"/>
        <v>Moderate Risk</v>
      </c>
      <c r="M420" t="str">
        <f>IFERROR(VLOOKUP(A429,Promo_Pivot!A:C,3,FALSE),"No")</f>
        <v>Yes</v>
      </c>
    </row>
    <row r="421" spans="1:13" x14ac:dyDescent="0.35">
      <c r="A421" t="s">
        <v>2162</v>
      </c>
      <c r="B421" s="2">
        <v>45492</v>
      </c>
      <c r="C421">
        <v>1817</v>
      </c>
      <c r="D421">
        <v>3</v>
      </c>
      <c r="E421">
        <v>100</v>
      </c>
      <c r="F421">
        <v>2</v>
      </c>
      <c r="G421">
        <v>4</v>
      </c>
      <c r="H421">
        <v>3</v>
      </c>
      <c r="I421" t="str">
        <f t="shared" si="12"/>
        <v>243</v>
      </c>
      <c r="J421" t="s">
        <v>2300</v>
      </c>
      <c r="K421" t="s">
        <v>2301</v>
      </c>
      <c r="L421" t="str">
        <f t="shared" si="13"/>
        <v>Low Risk</v>
      </c>
      <c r="M421" t="str">
        <f>IFERROR(VLOOKUP(A430,Promo_Pivot!A:C,3,FALSE),"No")</f>
        <v>Yes</v>
      </c>
    </row>
    <row r="422" spans="1:13" x14ac:dyDescent="0.35">
      <c r="A422" t="s">
        <v>2163</v>
      </c>
      <c r="B422" s="2">
        <v>45426</v>
      </c>
      <c r="C422">
        <v>1268</v>
      </c>
      <c r="D422">
        <v>2</v>
      </c>
      <c r="E422">
        <v>166</v>
      </c>
      <c r="F422">
        <v>1</v>
      </c>
      <c r="G422">
        <v>3</v>
      </c>
      <c r="H422">
        <v>2</v>
      </c>
      <c r="I422" t="str">
        <f t="shared" si="12"/>
        <v>132</v>
      </c>
      <c r="J422" t="s">
        <v>2300</v>
      </c>
      <c r="K422" t="s">
        <v>2301</v>
      </c>
      <c r="L422" t="str">
        <f t="shared" si="13"/>
        <v>Very High Risk</v>
      </c>
      <c r="M422" t="str">
        <f>IFERROR(VLOOKUP(A431,Promo_Pivot!A:C,3,FALSE),"No")</f>
        <v>Yes</v>
      </c>
    </row>
    <row r="423" spans="1:13" x14ac:dyDescent="0.35">
      <c r="A423" t="s">
        <v>2164</v>
      </c>
      <c r="B423" s="2">
        <v>45590</v>
      </c>
      <c r="C423">
        <v>2858</v>
      </c>
      <c r="D423">
        <v>3</v>
      </c>
      <c r="E423">
        <v>2</v>
      </c>
      <c r="F423">
        <v>5</v>
      </c>
      <c r="G423">
        <v>4</v>
      </c>
      <c r="H423">
        <v>4</v>
      </c>
      <c r="I423" t="str">
        <f t="shared" si="12"/>
        <v>544</v>
      </c>
      <c r="J423" t="s">
        <v>2304</v>
      </c>
      <c r="K423" t="s">
        <v>2299</v>
      </c>
      <c r="L423" t="str">
        <f t="shared" si="13"/>
        <v>Moderate Risk</v>
      </c>
      <c r="M423" t="str">
        <f>IFERROR(VLOOKUP(A432,Promo_Pivot!A:C,3,FALSE),"No")</f>
        <v>Yes</v>
      </c>
    </row>
    <row r="424" spans="1:13" x14ac:dyDescent="0.35">
      <c r="A424" t="s">
        <v>1733</v>
      </c>
      <c r="B424" s="2">
        <v>45482</v>
      </c>
      <c r="C424">
        <v>428</v>
      </c>
      <c r="D424">
        <v>1</v>
      </c>
      <c r="E424">
        <v>110</v>
      </c>
      <c r="F424">
        <v>2</v>
      </c>
      <c r="G424">
        <v>2</v>
      </c>
      <c r="H424">
        <v>1</v>
      </c>
      <c r="I424" t="str">
        <f t="shared" si="12"/>
        <v>221</v>
      </c>
      <c r="J424" t="s">
        <v>2300</v>
      </c>
      <c r="K424" t="s">
        <v>2301</v>
      </c>
      <c r="L424" t="str">
        <f t="shared" si="13"/>
        <v>Very High Risk</v>
      </c>
      <c r="M424" t="str">
        <f>IFERROR(VLOOKUP(A433,Promo_Pivot!A:C,3,FALSE),"No")</f>
        <v>Yes</v>
      </c>
    </row>
    <row r="425" spans="1:13" x14ac:dyDescent="0.35">
      <c r="A425" t="s">
        <v>2165</v>
      </c>
      <c r="B425" s="2">
        <v>45556</v>
      </c>
      <c r="C425">
        <v>3166</v>
      </c>
      <c r="D425">
        <v>5</v>
      </c>
      <c r="E425">
        <v>36</v>
      </c>
      <c r="F425">
        <v>4</v>
      </c>
      <c r="G425">
        <v>5</v>
      </c>
      <c r="H425">
        <v>4</v>
      </c>
      <c r="I425" t="str">
        <f t="shared" si="12"/>
        <v>454</v>
      </c>
      <c r="J425" t="s">
        <v>2304</v>
      </c>
      <c r="K425" t="s">
        <v>2299</v>
      </c>
      <c r="L425" t="str">
        <f t="shared" si="13"/>
        <v>Moderate Risk</v>
      </c>
      <c r="M425" t="str">
        <f>IFERROR(VLOOKUP(A434,Promo_Pivot!A:C,3,FALSE),"No")</f>
        <v>Yes</v>
      </c>
    </row>
    <row r="426" spans="1:13" x14ac:dyDescent="0.35">
      <c r="A426" t="s">
        <v>2166</v>
      </c>
      <c r="B426" s="2">
        <v>45553</v>
      </c>
      <c r="C426">
        <v>3704</v>
      </c>
      <c r="D426">
        <v>3</v>
      </c>
      <c r="E426">
        <v>39</v>
      </c>
      <c r="F426">
        <v>4</v>
      </c>
      <c r="G426">
        <v>4</v>
      </c>
      <c r="H426">
        <v>5</v>
      </c>
      <c r="I426" t="str">
        <f t="shared" si="12"/>
        <v>445</v>
      </c>
      <c r="J426" t="s">
        <v>2304</v>
      </c>
      <c r="K426" t="s">
        <v>2299</v>
      </c>
      <c r="L426" t="str">
        <f t="shared" si="13"/>
        <v>Moderate Risk</v>
      </c>
      <c r="M426" t="str">
        <f>IFERROR(VLOOKUP(A435,Promo_Pivot!A:C,3,FALSE),"No")</f>
        <v>Yes</v>
      </c>
    </row>
    <row r="427" spans="1:13" x14ac:dyDescent="0.35">
      <c r="A427" t="s">
        <v>2167</v>
      </c>
      <c r="B427" s="2">
        <v>45537</v>
      </c>
      <c r="C427">
        <v>1664</v>
      </c>
      <c r="D427">
        <v>2</v>
      </c>
      <c r="E427">
        <v>55</v>
      </c>
      <c r="F427">
        <v>3</v>
      </c>
      <c r="G427">
        <v>3</v>
      </c>
      <c r="H427">
        <v>3</v>
      </c>
      <c r="I427" t="str">
        <f t="shared" si="12"/>
        <v>333</v>
      </c>
      <c r="J427" t="s">
        <v>2303</v>
      </c>
      <c r="K427" t="s">
        <v>2299</v>
      </c>
      <c r="L427" t="str">
        <f t="shared" si="13"/>
        <v>Moderate Risk</v>
      </c>
      <c r="M427" t="str">
        <f>IFERROR(VLOOKUP(A436,Promo_Pivot!A:C,3,FALSE),"No")</f>
        <v>Yes</v>
      </c>
    </row>
    <row r="428" spans="1:13" x14ac:dyDescent="0.35">
      <c r="A428" t="s">
        <v>2168</v>
      </c>
      <c r="B428" s="2">
        <v>45536</v>
      </c>
      <c r="C428">
        <v>3192</v>
      </c>
      <c r="D428">
        <v>4</v>
      </c>
      <c r="E428">
        <v>56</v>
      </c>
      <c r="F428">
        <v>3</v>
      </c>
      <c r="G428">
        <v>5</v>
      </c>
      <c r="H428">
        <v>4</v>
      </c>
      <c r="I428" t="str">
        <f t="shared" si="12"/>
        <v>354</v>
      </c>
      <c r="J428" t="s">
        <v>2303</v>
      </c>
      <c r="K428" t="s">
        <v>2299</v>
      </c>
      <c r="L428" t="str">
        <f t="shared" si="13"/>
        <v>Moderate Risk</v>
      </c>
      <c r="M428" t="str">
        <f>IFERROR(VLOOKUP(A437,Promo_Pivot!A:C,3,FALSE),"No")</f>
        <v>Yes</v>
      </c>
    </row>
    <row r="429" spans="1:13" x14ac:dyDescent="0.35">
      <c r="A429" t="s">
        <v>2169</v>
      </c>
      <c r="B429" s="2">
        <v>45549</v>
      </c>
      <c r="C429">
        <v>2577</v>
      </c>
      <c r="D429">
        <v>5</v>
      </c>
      <c r="E429">
        <v>43</v>
      </c>
      <c r="F429">
        <v>4</v>
      </c>
      <c r="G429">
        <v>5</v>
      </c>
      <c r="H429">
        <v>3</v>
      </c>
      <c r="I429" t="str">
        <f t="shared" si="12"/>
        <v>453</v>
      </c>
      <c r="J429" t="s">
        <v>2303</v>
      </c>
      <c r="K429" t="s">
        <v>2299</v>
      </c>
      <c r="L429" t="str">
        <f t="shared" si="13"/>
        <v>Moderate Risk</v>
      </c>
      <c r="M429" t="str">
        <f>IFERROR(VLOOKUP(A438,Promo_Pivot!A:C,3,FALSE),"No")</f>
        <v>Yes</v>
      </c>
    </row>
    <row r="430" spans="1:13" x14ac:dyDescent="0.35">
      <c r="A430" t="s">
        <v>2170</v>
      </c>
      <c r="B430" s="2">
        <v>45551</v>
      </c>
      <c r="C430">
        <v>6291</v>
      </c>
      <c r="D430">
        <v>4</v>
      </c>
      <c r="E430">
        <v>41</v>
      </c>
      <c r="F430">
        <v>4</v>
      </c>
      <c r="G430">
        <v>5</v>
      </c>
      <c r="H430">
        <v>5</v>
      </c>
      <c r="I430" t="str">
        <f t="shared" si="12"/>
        <v>455</v>
      </c>
      <c r="J430" t="s">
        <v>2304</v>
      </c>
      <c r="K430" t="s">
        <v>2299</v>
      </c>
      <c r="L430" t="str">
        <f t="shared" si="13"/>
        <v>Moderate Risk</v>
      </c>
      <c r="M430" t="str">
        <f>IFERROR(VLOOKUP(A439,Promo_Pivot!A:C,3,FALSE),"No")</f>
        <v>Yes</v>
      </c>
    </row>
    <row r="431" spans="1:13" x14ac:dyDescent="0.35">
      <c r="A431" t="s">
        <v>2171</v>
      </c>
      <c r="B431" s="2">
        <v>45394</v>
      </c>
      <c r="C431">
        <v>1406</v>
      </c>
      <c r="D431">
        <v>2</v>
      </c>
      <c r="E431">
        <v>198</v>
      </c>
      <c r="F431">
        <v>1</v>
      </c>
      <c r="G431">
        <v>3</v>
      </c>
      <c r="H431">
        <v>2</v>
      </c>
      <c r="I431" t="str">
        <f t="shared" si="12"/>
        <v>132</v>
      </c>
      <c r="J431" t="s">
        <v>2300</v>
      </c>
      <c r="K431" t="s">
        <v>2301</v>
      </c>
      <c r="L431" t="str">
        <f t="shared" si="13"/>
        <v>Low Risk</v>
      </c>
      <c r="M431" t="str">
        <f>IFERROR(VLOOKUP(A440,Promo_Pivot!A:C,3,FALSE),"No")</f>
        <v>Yes</v>
      </c>
    </row>
    <row r="432" spans="1:13" x14ac:dyDescent="0.35">
      <c r="A432" t="s">
        <v>2172</v>
      </c>
      <c r="B432" s="2">
        <v>45404</v>
      </c>
      <c r="C432">
        <v>897</v>
      </c>
      <c r="D432">
        <v>2</v>
      </c>
      <c r="E432">
        <v>188</v>
      </c>
      <c r="F432">
        <v>1</v>
      </c>
      <c r="G432">
        <v>3</v>
      </c>
      <c r="H432">
        <v>2</v>
      </c>
      <c r="I432" t="str">
        <f t="shared" si="12"/>
        <v>132</v>
      </c>
      <c r="J432" t="s">
        <v>2300</v>
      </c>
      <c r="K432" t="s">
        <v>2301</v>
      </c>
      <c r="L432" t="str">
        <f t="shared" si="13"/>
        <v>Critical Risk</v>
      </c>
      <c r="M432" t="str">
        <f>IFERROR(VLOOKUP(A441,Promo_Pivot!A:C,3,FALSE),"No")</f>
        <v>Yes</v>
      </c>
    </row>
    <row r="433" spans="1:13" x14ac:dyDescent="0.35">
      <c r="A433" t="s">
        <v>2173</v>
      </c>
      <c r="B433" s="2">
        <v>45587</v>
      </c>
      <c r="C433">
        <v>5054</v>
      </c>
      <c r="D433">
        <v>5</v>
      </c>
      <c r="E433">
        <v>5</v>
      </c>
      <c r="F433">
        <v>5</v>
      </c>
      <c r="G433">
        <v>5</v>
      </c>
      <c r="H433">
        <v>5</v>
      </c>
      <c r="I433" t="str">
        <f t="shared" si="12"/>
        <v>555</v>
      </c>
      <c r="J433" t="s">
        <v>2304</v>
      </c>
      <c r="K433" t="s">
        <v>2299</v>
      </c>
      <c r="L433" t="str">
        <f t="shared" si="13"/>
        <v>Moderate Risk</v>
      </c>
      <c r="M433" t="str">
        <f>IFERROR(VLOOKUP(A442,Promo_Pivot!A:C,3,FALSE),"No")</f>
        <v>Yes</v>
      </c>
    </row>
    <row r="434" spans="1:13" x14ac:dyDescent="0.35">
      <c r="A434" t="s">
        <v>2174</v>
      </c>
      <c r="B434" s="2">
        <v>45551</v>
      </c>
      <c r="C434">
        <v>2921</v>
      </c>
      <c r="D434">
        <v>2</v>
      </c>
      <c r="E434">
        <v>41</v>
      </c>
      <c r="F434">
        <v>4</v>
      </c>
      <c r="G434">
        <v>3</v>
      </c>
      <c r="H434">
        <v>4</v>
      </c>
      <c r="I434" t="str">
        <f t="shared" si="12"/>
        <v>434</v>
      </c>
      <c r="J434" t="s">
        <v>2303</v>
      </c>
      <c r="K434" t="s">
        <v>2299</v>
      </c>
      <c r="L434" t="str">
        <f t="shared" si="13"/>
        <v>Moderate Risk</v>
      </c>
      <c r="M434" t="str">
        <f>IFERROR(VLOOKUP(A443,Promo_Pivot!A:C,3,FALSE),"No")</f>
        <v>Yes</v>
      </c>
    </row>
    <row r="435" spans="1:13" x14ac:dyDescent="0.35">
      <c r="A435" t="s">
        <v>1734</v>
      </c>
      <c r="B435" s="2">
        <v>45411</v>
      </c>
      <c r="C435">
        <v>336</v>
      </c>
      <c r="D435">
        <v>1</v>
      </c>
      <c r="E435">
        <v>181</v>
      </c>
      <c r="F435">
        <v>1</v>
      </c>
      <c r="G435">
        <v>2</v>
      </c>
      <c r="H435">
        <v>1</v>
      </c>
      <c r="I435" t="str">
        <f t="shared" si="12"/>
        <v>121</v>
      </c>
      <c r="J435" t="s">
        <v>2300</v>
      </c>
      <c r="K435" t="s">
        <v>2301</v>
      </c>
      <c r="L435" t="str">
        <f t="shared" si="13"/>
        <v>Low Risk</v>
      </c>
      <c r="M435" t="str">
        <f>IFERROR(VLOOKUP(A444,Promo_Pivot!A:C,3,FALSE),"No")</f>
        <v>Yes</v>
      </c>
    </row>
    <row r="436" spans="1:13" x14ac:dyDescent="0.35">
      <c r="A436" t="s">
        <v>2175</v>
      </c>
      <c r="B436" s="2">
        <v>45549</v>
      </c>
      <c r="C436">
        <v>1484</v>
      </c>
      <c r="D436">
        <v>3</v>
      </c>
      <c r="E436">
        <v>43</v>
      </c>
      <c r="F436">
        <v>4</v>
      </c>
      <c r="G436">
        <v>4</v>
      </c>
      <c r="H436">
        <v>2</v>
      </c>
      <c r="I436" t="str">
        <f t="shared" si="12"/>
        <v>442</v>
      </c>
      <c r="J436" t="s">
        <v>2298</v>
      </c>
      <c r="K436" t="s">
        <v>2299</v>
      </c>
      <c r="L436" t="str">
        <f t="shared" si="13"/>
        <v>Moderate Risk</v>
      </c>
      <c r="M436" t="str">
        <f>IFERROR(VLOOKUP(A445,Promo_Pivot!A:C,3,FALSE),"No")</f>
        <v>Yes</v>
      </c>
    </row>
    <row r="437" spans="1:13" x14ac:dyDescent="0.35">
      <c r="A437" t="s">
        <v>2176</v>
      </c>
      <c r="B437" s="2">
        <v>45586</v>
      </c>
      <c r="C437">
        <v>4664</v>
      </c>
      <c r="D437">
        <v>4</v>
      </c>
      <c r="E437">
        <v>6</v>
      </c>
      <c r="F437">
        <v>5</v>
      </c>
      <c r="G437">
        <v>5</v>
      </c>
      <c r="H437">
        <v>5</v>
      </c>
      <c r="I437" t="str">
        <f t="shared" si="12"/>
        <v>555</v>
      </c>
      <c r="J437" t="s">
        <v>2304</v>
      </c>
      <c r="K437" t="s">
        <v>2299</v>
      </c>
      <c r="L437" t="str">
        <f t="shared" si="13"/>
        <v>Moderate Risk</v>
      </c>
      <c r="M437" t="str">
        <f>IFERROR(VLOOKUP(A446,Promo_Pivot!A:C,3,FALSE),"No")</f>
        <v>Yes</v>
      </c>
    </row>
    <row r="438" spans="1:13" x14ac:dyDescent="0.35">
      <c r="A438" t="s">
        <v>2177</v>
      </c>
      <c r="B438" s="2">
        <v>45546</v>
      </c>
      <c r="C438">
        <v>2801</v>
      </c>
      <c r="D438">
        <v>3</v>
      </c>
      <c r="E438">
        <v>46</v>
      </c>
      <c r="F438">
        <v>4</v>
      </c>
      <c r="G438">
        <v>4</v>
      </c>
      <c r="H438">
        <v>4</v>
      </c>
      <c r="I438" t="str">
        <f t="shared" si="12"/>
        <v>444</v>
      </c>
      <c r="J438" t="s">
        <v>2304</v>
      </c>
      <c r="K438" t="s">
        <v>2299</v>
      </c>
      <c r="L438" t="str">
        <f t="shared" si="13"/>
        <v>Low Risk</v>
      </c>
      <c r="M438" t="str">
        <f>IFERROR(VLOOKUP(A447,Promo_Pivot!A:C,3,FALSE),"No")</f>
        <v>Yes</v>
      </c>
    </row>
    <row r="439" spans="1:13" x14ac:dyDescent="0.35">
      <c r="A439" t="s">
        <v>2178</v>
      </c>
      <c r="B439" s="2">
        <v>45470</v>
      </c>
      <c r="C439">
        <v>2215</v>
      </c>
      <c r="D439">
        <v>2</v>
      </c>
      <c r="E439">
        <v>122</v>
      </c>
      <c r="F439">
        <v>2</v>
      </c>
      <c r="G439">
        <v>3</v>
      </c>
      <c r="H439">
        <v>3</v>
      </c>
      <c r="I439" t="str">
        <f t="shared" si="12"/>
        <v>233</v>
      </c>
      <c r="J439" t="s">
        <v>2300</v>
      </c>
      <c r="K439" t="s">
        <v>2301</v>
      </c>
      <c r="L439" t="str">
        <f t="shared" si="13"/>
        <v>Very High Risk</v>
      </c>
      <c r="M439" t="str">
        <f>IFERROR(VLOOKUP(A448,Promo_Pivot!A:C,3,FALSE),"No")</f>
        <v>Yes</v>
      </c>
    </row>
    <row r="440" spans="1:13" x14ac:dyDescent="0.35">
      <c r="A440" t="s">
        <v>2179</v>
      </c>
      <c r="B440" s="2">
        <v>45570</v>
      </c>
      <c r="C440">
        <v>2071</v>
      </c>
      <c r="D440">
        <v>3</v>
      </c>
      <c r="E440">
        <v>22</v>
      </c>
      <c r="F440">
        <v>5</v>
      </c>
      <c r="G440">
        <v>4</v>
      </c>
      <c r="H440">
        <v>3</v>
      </c>
      <c r="I440" t="str">
        <f t="shared" si="12"/>
        <v>543</v>
      </c>
      <c r="J440" t="s">
        <v>2303</v>
      </c>
      <c r="K440" t="s">
        <v>2299</v>
      </c>
      <c r="L440" t="str">
        <f t="shared" si="13"/>
        <v>Moderate Risk</v>
      </c>
      <c r="M440" t="str">
        <f>IFERROR(VLOOKUP(A449,Promo_Pivot!A:C,3,FALSE),"No")</f>
        <v>Yes</v>
      </c>
    </row>
    <row r="441" spans="1:13" x14ac:dyDescent="0.35">
      <c r="A441" t="s">
        <v>2180</v>
      </c>
      <c r="B441" s="2">
        <v>45543</v>
      </c>
      <c r="C441">
        <v>1841</v>
      </c>
      <c r="D441">
        <v>2</v>
      </c>
      <c r="E441">
        <v>49</v>
      </c>
      <c r="F441">
        <v>4</v>
      </c>
      <c r="G441">
        <v>3</v>
      </c>
      <c r="H441">
        <v>3</v>
      </c>
      <c r="I441" t="str">
        <f t="shared" si="12"/>
        <v>433</v>
      </c>
      <c r="J441" t="s">
        <v>2303</v>
      </c>
      <c r="K441" t="s">
        <v>2299</v>
      </c>
      <c r="L441" t="str">
        <f t="shared" si="13"/>
        <v>Low Risk</v>
      </c>
      <c r="M441" t="str">
        <f>IFERROR(VLOOKUP(A450,Promo_Pivot!A:C,3,FALSE),"No")</f>
        <v>Yes</v>
      </c>
    </row>
    <row r="442" spans="1:13" x14ac:dyDescent="0.35">
      <c r="A442" t="s">
        <v>2181</v>
      </c>
      <c r="B442" s="2">
        <v>45539</v>
      </c>
      <c r="C442">
        <v>1946</v>
      </c>
      <c r="D442">
        <v>5</v>
      </c>
      <c r="E442">
        <v>53</v>
      </c>
      <c r="F442">
        <v>4</v>
      </c>
      <c r="G442">
        <v>5</v>
      </c>
      <c r="H442">
        <v>3</v>
      </c>
      <c r="I442" t="str">
        <f t="shared" si="12"/>
        <v>453</v>
      </c>
      <c r="J442" t="s">
        <v>2303</v>
      </c>
      <c r="K442" t="s">
        <v>2299</v>
      </c>
      <c r="L442" t="str">
        <f t="shared" si="13"/>
        <v>Low Risk</v>
      </c>
      <c r="M442" t="str">
        <f>IFERROR(VLOOKUP(A451,Promo_Pivot!A:C,3,FALSE),"No")</f>
        <v>Yes</v>
      </c>
    </row>
    <row r="443" spans="1:13" x14ac:dyDescent="0.35">
      <c r="A443" t="s">
        <v>2182</v>
      </c>
      <c r="B443" s="2">
        <v>45582</v>
      </c>
      <c r="C443">
        <v>1509</v>
      </c>
      <c r="D443">
        <v>3</v>
      </c>
      <c r="E443">
        <v>10</v>
      </c>
      <c r="F443">
        <v>5</v>
      </c>
      <c r="G443">
        <v>4</v>
      </c>
      <c r="H443">
        <v>2</v>
      </c>
      <c r="I443" t="str">
        <f t="shared" si="12"/>
        <v>542</v>
      </c>
      <c r="J443" t="s">
        <v>2298</v>
      </c>
      <c r="K443" t="s">
        <v>2299</v>
      </c>
      <c r="L443" t="str">
        <f t="shared" si="13"/>
        <v>Moderate Risk</v>
      </c>
      <c r="M443" t="str">
        <f>IFERROR(VLOOKUP(A452,Promo_Pivot!A:C,3,FALSE),"No")</f>
        <v>Yes</v>
      </c>
    </row>
    <row r="444" spans="1:13" x14ac:dyDescent="0.35">
      <c r="A444" t="s">
        <v>2183</v>
      </c>
      <c r="B444" s="2">
        <v>45592</v>
      </c>
      <c r="C444">
        <v>1528</v>
      </c>
      <c r="D444">
        <v>3</v>
      </c>
      <c r="E444">
        <v>0</v>
      </c>
      <c r="F444">
        <v>5</v>
      </c>
      <c r="G444">
        <v>4</v>
      </c>
      <c r="H444">
        <v>2</v>
      </c>
      <c r="I444" t="str">
        <f t="shared" si="12"/>
        <v>542</v>
      </c>
      <c r="J444" t="s">
        <v>2298</v>
      </c>
      <c r="K444" t="s">
        <v>2299</v>
      </c>
      <c r="L444" t="str">
        <f t="shared" si="13"/>
        <v>Moderate Risk</v>
      </c>
      <c r="M444" t="str">
        <f>IFERROR(VLOOKUP(A453,Promo_Pivot!A:C,3,FALSE),"No")</f>
        <v>Yes</v>
      </c>
    </row>
    <row r="445" spans="1:13" x14ac:dyDescent="0.35">
      <c r="A445" t="s">
        <v>2184</v>
      </c>
      <c r="B445" s="2">
        <v>45455</v>
      </c>
      <c r="C445">
        <v>1558</v>
      </c>
      <c r="D445">
        <v>2</v>
      </c>
      <c r="E445">
        <v>137</v>
      </c>
      <c r="F445">
        <v>2</v>
      </c>
      <c r="G445">
        <v>3</v>
      </c>
      <c r="H445">
        <v>2</v>
      </c>
      <c r="I445" t="str">
        <f t="shared" si="12"/>
        <v>232</v>
      </c>
      <c r="J445" t="s">
        <v>2300</v>
      </c>
      <c r="K445" t="s">
        <v>2301</v>
      </c>
      <c r="L445" t="str">
        <f t="shared" si="13"/>
        <v>Very High Risk</v>
      </c>
      <c r="M445" t="str">
        <f>IFERROR(VLOOKUP(A454,Promo_Pivot!A:C,3,FALSE),"No")</f>
        <v>Yes</v>
      </c>
    </row>
    <row r="446" spans="1:13" x14ac:dyDescent="0.35">
      <c r="A446" t="s">
        <v>1690</v>
      </c>
      <c r="B446" s="2">
        <v>45359</v>
      </c>
      <c r="C446">
        <v>1565</v>
      </c>
      <c r="D446">
        <v>1</v>
      </c>
      <c r="E446">
        <v>233</v>
      </c>
      <c r="F446">
        <v>1</v>
      </c>
      <c r="G446">
        <v>2</v>
      </c>
      <c r="H446">
        <v>2</v>
      </c>
      <c r="I446" t="str">
        <f t="shared" si="12"/>
        <v>122</v>
      </c>
      <c r="J446" t="s">
        <v>2300</v>
      </c>
      <c r="K446" t="s">
        <v>2301</v>
      </c>
      <c r="L446" t="str">
        <f t="shared" si="13"/>
        <v>Critical Risk</v>
      </c>
      <c r="M446" t="str">
        <f>IFERROR(VLOOKUP(A455,Promo_Pivot!A:C,3,FALSE),"No")</f>
        <v>Yes</v>
      </c>
    </row>
    <row r="447" spans="1:13" x14ac:dyDescent="0.35">
      <c r="A447" t="s">
        <v>1735</v>
      </c>
      <c r="B447" s="2">
        <v>45467</v>
      </c>
      <c r="C447">
        <v>1392</v>
      </c>
      <c r="D447">
        <v>1</v>
      </c>
      <c r="E447">
        <v>125</v>
      </c>
      <c r="F447">
        <v>2</v>
      </c>
      <c r="G447">
        <v>2</v>
      </c>
      <c r="H447">
        <v>2</v>
      </c>
      <c r="I447" t="str">
        <f t="shared" si="12"/>
        <v>222</v>
      </c>
      <c r="J447" t="s">
        <v>2300</v>
      </c>
      <c r="K447" t="s">
        <v>2301</v>
      </c>
      <c r="L447" t="str">
        <f t="shared" si="13"/>
        <v>Very High Risk</v>
      </c>
      <c r="M447" t="str">
        <f>IFERROR(VLOOKUP(A456,Promo_Pivot!A:C,3,FALSE),"No")</f>
        <v>Yes</v>
      </c>
    </row>
    <row r="448" spans="1:13" x14ac:dyDescent="0.35">
      <c r="A448" t="s">
        <v>2185</v>
      </c>
      <c r="B448" s="2">
        <v>45550</v>
      </c>
      <c r="C448">
        <v>5003</v>
      </c>
      <c r="D448">
        <v>5</v>
      </c>
      <c r="E448">
        <v>42</v>
      </c>
      <c r="F448">
        <v>4</v>
      </c>
      <c r="G448">
        <v>5</v>
      </c>
      <c r="H448">
        <v>5</v>
      </c>
      <c r="I448" t="str">
        <f t="shared" si="12"/>
        <v>455</v>
      </c>
      <c r="J448" t="s">
        <v>2304</v>
      </c>
      <c r="K448" t="s">
        <v>2299</v>
      </c>
      <c r="L448" t="str">
        <f t="shared" si="13"/>
        <v>Moderate Risk</v>
      </c>
      <c r="M448" t="str">
        <f>IFERROR(VLOOKUP(A457,Promo_Pivot!A:C,3,FALSE),"No")</f>
        <v>Yes</v>
      </c>
    </row>
    <row r="449" spans="1:13" x14ac:dyDescent="0.35">
      <c r="A449" t="s">
        <v>2186</v>
      </c>
      <c r="B449" s="2">
        <v>45529</v>
      </c>
      <c r="C449">
        <v>3851</v>
      </c>
      <c r="D449">
        <v>4</v>
      </c>
      <c r="E449">
        <v>63</v>
      </c>
      <c r="F449">
        <v>3</v>
      </c>
      <c r="G449">
        <v>5</v>
      </c>
      <c r="H449">
        <v>5</v>
      </c>
      <c r="I449" t="str">
        <f t="shared" si="12"/>
        <v>355</v>
      </c>
      <c r="J449" t="s">
        <v>2303</v>
      </c>
      <c r="K449" t="s">
        <v>2299</v>
      </c>
      <c r="L449" t="str">
        <f t="shared" si="13"/>
        <v>High Risk</v>
      </c>
      <c r="M449" t="str">
        <f>IFERROR(VLOOKUP(A458,Promo_Pivot!A:C,3,FALSE),"No")</f>
        <v>Yes</v>
      </c>
    </row>
    <row r="450" spans="1:13" x14ac:dyDescent="0.35">
      <c r="A450" t="s">
        <v>2187</v>
      </c>
      <c r="B450" s="2">
        <v>45547</v>
      </c>
      <c r="C450">
        <v>5016</v>
      </c>
      <c r="D450">
        <v>5</v>
      </c>
      <c r="E450">
        <v>45</v>
      </c>
      <c r="F450">
        <v>4</v>
      </c>
      <c r="G450">
        <v>5</v>
      </c>
      <c r="H450">
        <v>5</v>
      </c>
      <c r="I450" t="str">
        <f t="shared" si="12"/>
        <v>455</v>
      </c>
      <c r="J450" t="s">
        <v>2304</v>
      </c>
      <c r="K450" t="s">
        <v>2299</v>
      </c>
      <c r="L450" t="str">
        <f t="shared" si="13"/>
        <v>Moderate Risk</v>
      </c>
      <c r="M450" t="str">
        <f>IFERROR(VLOOKUP(A459,Promo_Pivot!A:C,3,FALSE),"No")</f>
        <v>Yes</v>
      </c>
    </row>
    <row r="451" spans="1:13" x14ac:dyDescent="0.35">
      <c r="A451" t="s">
        <v>2188</v>
      </c>
      <c r="B451" s="2">
        <v>45544</v>
      </c>
      <c r="C451">
        <v>1384</v>
      </c>
      <c r="D451">
        <v>2</v>
      </c>
      <c r="E451">
        <v>48</v>
      </c>
      <c r="F451">
        <v>4</v>
      </c>
      <c r="G451">
        <v>3</v>
      </c>
      <c r="H451">
        <v>2</v>
      </c>
      <c r="I451" t="str">
        <f t="shared" ref="I451:I514" si="14">F451&amp;G451&amp;H451</f>
        <v>432</v>
      </c>
      <c r="J451" t="s">
        <v>2298</v>
      </c>
      <c r="K451" t="s">
        <v>2299</v>
      </c>
      <c r="L451" t="str">
        <f t="shared" ref="L451:L514" si="15">IF(E453&lt;=30,"Low Risk",
IF(E451&lt;=60,"Moderate Risk",
IF(E451&lt;=90,"High Risk",
IF(E451&lt;=180,"Very High Risk","Critical Risk"))))</f>
        <v>Moderate Risk</v>
      </c>
      <c r="M451" t="str">
        <f>IFERROR(VLOOKUP(A460,Promo_Pivot!A:C,3,FALSE),"No")</f>
        <v>Yes</v>
      </c>
    </row>
    <row r="452" spans="1:13" x14ac:dyDescent="0.35">
      <c r="A452" t="s">
        <v>2189</v>
      </c>
      <c r="B452" s="2">
        <v>45507</v>
      </c>
      <c r="C452">
        <v>5393</v>
      </c>
      <c r="D452">
        <v>5</v>
      </c>
      <c r="E452">
        <v>85</v>
      </c>
      <c r="F452">
        <v>3</v>
      </c>
      <c r="G452">
        <v>5</v>
      </c>
      <c r="H452">
        <v>5</v>
      </c>
      <c r="I452" t="str">
        <f t="shared" si="14"/>
        <v>355</v>
      </c>
      <c r="J452" t="s">
        <v>2303</v>
      </c>
      <c r="K452" t="s">
        <v>2299</v>
      </c>
      <c r="L452" t="str">
        <f t="shared" si="15"/>
        <v>High Risk</v>
      </c>
      <c r="M452" t="str">
        <f>IFERROR(VLOOKUP(A461,Promo_Pivot!A:C,3,FALSE),"No")</f>
        <v>Yes</v>
      </c>
    </row>
    <row r="453" spans="1:13" x14ac:dyDescent="0.35">
      <c r="A453" t="s">
        <v>2190</v>
      </c>
      <c r="B453" s="2">
        <v>45373</v>
      </c>
      <c r="C453">
        <v>1732</v>
      </c>
      <c r="D453">
        <v>2</v>
      </c>
      <c r="E453">
        <v>219</v>
      </c>
      <c r="F453">
        <v>1</v>
      </c>
      <c r="G453">
        <v>3</v>
      </c>
      <c r="H453">
        <v>3</v>
      </c>
      <c r="I453" t="str">
        <f t="shared" si="14"/>
        <v>133</v>
      </c>
      <c r="J453" t="s">
        <v>2300</v>
      </c>
      <c r="K453" t="s">
        <v>2301</v>
      </c>
      <c r="L453" t="str">
        <f t="shared" si="15"/>
        <v>Critical Risk</v>
      </c>
      <c r="M453" t="str">
        <f>IFERROR(VLOOKUP(A462,Promo_Pivot!A:C,3,FALSE),"No")</f>
        <v>Yes</v>
      </c>
    </row>
    <row r="454" spans="1:13" x14ac:dyDescent="0.35">
      <c r="A454" t="s">
        <v>2191</v>
      </c>
      <c r="B454" s="2">
        <v>45548</v>
      </c>
      <c r="C454">
        <v>4921</v>
      </c>
      <c r="D454">
        <v>5</v>
      </c>
      <c r="E454">
        <v>44</v>
      </c>
      <c r="F454">
        <v>4</v>
      </c>
      <c r="G454">
        <v>5</v>
      </c>
      <c r="H454">
        <v>5</v>
      </c>
      <c r="I454" t="str">
        <f t="shared" si="14"/>
        <v>455</v>
      </c>
      <c r="J454" t="s">
        <v>2304</v>
      </c>
      <c r="K454" t="s">
        <v>2299</v>
      </c>
      <c r="L454" t="str">
        <f t="shared" si="15"/>
        <v>Moderate Risk</v>
      </c>
      <c r="M454" t="str">
        <f>IFERROR(VLOOKUP(A463,Promo_Pivot!A:C,3,FALSE),"No")</f>
        <v>Yes</v>
      </c>
    </row>
    <row r="455" spans="1:13" x14ac:dyDescent="0.35">
      <c r="A455" t="s">
        <v>2192</v>
      </c>
      <c r="B455" s="2">
        <v>45405</v>
      </c>
      <c r="C455">
        <v>2707</v>
      </c>
      <c r="D455">
        <v>3</v>
      </c>
      <c r="E455">
        <v>187</v>
      </c>
      <c r="F455">
        <v>1</v>
      </c>
      <c r="G455">
        <v>4</v>
      </c>
      <c r="H455">
        <v>4</v>
      </c>
      <c r="I455" t="str">
        <f t="shared" si="14"/>
        <v>144</v>
      </c>
      <c r="J455" t="s">
        <v>2300</v>
      </c>
      <c r="K455" t="s">
        <v>2301</v>
      </c>
      <c r="L455" t="str">
        <f t="shared" si="15"/>
        <v>Critical Risk</v>
      </c>
      <c r="M455" t="str">
        <f>IFERROR(VLOOKUP(A464,Promo_Pivot!A:C,3,FALSE),"No")</f>
        <v>Yes</v>
      </c>
    </row>
    <row r="456" spans="1:13" x14ac:dyDescent="0.35">
      <c r="A456" t="s">
        <v>2193</v>
      </c>
      <c r="B456" s="2">
        <v>45468</v>
      </c>
      <c r="C456">
        <v>943</v>
      </c>
      <c r="D456">
        <v>2</v>
      </c>
      <c r="E456">
        <v>124</v>
      </c>
      <c r="F456">
        <v>2</v>
      </c>
      <c r="G456">
        <v>3</v>
      </c>
      <c r="H456">
        <v>2</v>
      </c>
      <c r="I456" t="str">
        <f t="shared" si="14"/>
        <v>232</v>
      </c>
      <c r="J456" t="s">
        <v>2300</v>
      </c>
      <c r="K456" t="s">
        <v>2301</v>
      </c>
      <c r="L456" t="str">
        <f t="shared" si="15"/>
        <v>Very High Risk</v>
      </c>
      <c r="M456" t="str">
        <f>IFERROR(VLOOKUP(A465,Promo_Pivot!A:C,3,FALSE),"No")</f>
        <v>Yes</v>
      </c>
    </row>
    <row r="457" spans="1:13" x14ac:dyDescent="0.35">
      <c r="A457" t="s">
        <v>2194</v>
      </c>
      <c r="B457" s="2">
        <v>45490</v>
      </c>
      <c r="C457">
        <v>1984</v>
      </c>
      <c r="D457">
        <v>2</v>
      </c>
      <c r="E457">
        <v>102</v>
      </c>
      <c r="F457">
        <v>2</v>
      </c>
      <c r="G457">
        <v>3</v>
      </c>
      <c r="H457">
        <v>3</v>
      </c>
      <c r="I457" t="str">
        <f t="shared" si="14"/>
        <v>233</v>
      </c>
      <c r="J457" t="s">
        <v>2300</v>
      </c>
      <c r="K457" t="s">
        <v>2301</v>
      </c>
      <c r="L457" t="str">
        <f t="shared" si="15"/>
        <v>Very High Risk</v>
      </c>
      <c r="M457" t="str">
        <f>IFERROR(VLOOKUP(A466,Promo_Pivot!A:C,3,FALSE),"No")</f>
        <v>Yes</v>
      </c>
    </row>
    <row r="458" spans="1:13" x14ac:dyDescent="0.35">
      <c r="A458" t="s">
        <v>1736</v>
      </c>
      <c r="B458" s="2">
        <v>45489</v>
      </c>
      <c r="C458">
        <v>395</v>
      </c>
      <c r="D458">
        <v>1</v>
      </c>
      <c r="E458">
        <v>103</v>
      </c>
      <c r="F458">
        <v>2</v>
      </c>
      <c r="G458">
        <v>2</v>
      </c>
      <c r="H458">
        <v>1</v>
      </c>
      <c r="I458" t="str">
        <f t="shared" si="14"/>
        <v>221</v>
      </c>
      <c r="J458" t="s">
        <v>2300</v>
      </c>
      <c r="K458" t="s">
        <v>2301</v>
      </c>
      <c r="L458" t="str">
        <f t="shared" si="15"/>
        <v>Low Risk</v>
      </c>
      <c r="M458" t="str">
        <f>IFERROR(VLOOKUP(A467,Promo_Pivot!A:C,3,FALSE),"No")</f>
        <v>Yes</v>
      </c>
    </row>
    <row r="459" spans="1:13" x14ac:dyDescent="0.35">
      <c r="A459" t="s">
        <v>2195</v>
      </c>
      <c r="B459" s="2">
        <v>45530</v>
      </c>
      <c r="C459">
        <v>3783</v>
      </c>
      <c r="D459">
        <v>4</v>
      </c>
      <c r="E459">
        <v>62</v>
      </c>
      <c r="F459">
        <v>3</v>
      </c>
      <c r="G459">
        <v>5</v>
      </c>
      <c r="H459">
        <v>5</v>
      </c>
      <c r="I459" t="str">
        <f t="shared" si="14"/>
        <v>355</v>
      </c>
      <c r="J459" t="s">
        <v>2303</v>
      </c>
      <c r="K459" t="s">
        <v>2299</v>
      </c>
      <c r="L459" t="str">
        <f t="shared" si="15"/>
        <v>High Risk</v>
      </c>
      <c r="M459" t="str">
        <f>IFERROR(VLOOKUP(A468,Promo_Pivot!A:C,3,FALSE),"No")</f>
        <v>Yes</v>
      </c>
    </row>
    <row r="460" spans="1:13" x14ac:dyDescent="0.35">
      <c r="A460" t="s">
        <v>2196</v>
      </c>
      <c r="B460" s="2">
        <v>45565</v>
      </c>
      <c r="C460">
        <v>2123</v>
      </c>
      <c r="D460">
        <v>4</v>
      </c>
      <c r="E460">
        <v>27</v>
      </c>
      <c r="F460">
        <v>5</v>
      </c>
      <c r="G460">
        <v>5</v>
      </c>
      <c r="H460">
        <v>3</v>
      </c>
      <c r="I460" t="str">
        <f t="shared" si="14"/>
        <v>553</v>
      </c>
      <c r="J460" t="s">
        <v>2303</v>
      </c>
      <c r="K460" t="s">
        <v>2299</v>
      </c>
      <c r="L460" t="str">
        <f t="shared" si="15"/>
        <v>Moderate Risk</v>
      </c>
      <c r="M460" t="str">
        <f>IFERROR(VLOOKUP(A469,Promo_Pivot!A:C,3,FALSE),"No")</f>
        <v>Yes</v>
      </c>
    </row>
    <row r="461" spans="1:13" x14ac:dyDescent="0.35">
      <c r="A461" t="s">
        <v>2197</v>
      </c>
      <c r="B461" s="2">
        <v>45506</v>
      </c>
      <c r="C461">
        <v>1815</v>
      </c>
      <c r="D461">
        <v>2</v>
      </c>
      <c r="E461">
        <v>86</v>
      </c>
      <c r="F461">
        <v>3</v>
      </c>
      <c r="G461">
        <v>3</v>
      </c>
      <c r="H461">
        <v>3</v>
      </c>
      <c r="I461" t="str">
        <f t="shared" si="14"/>
        <v>333</v>
      </c>
      <c r="J461" t="s">
        <v>2303</v>
      </c>
      <c r="K461" t="s">
        <v>2299</v>
      </c>
      <c r="L461" t="str">
        <f t="shared" si="15"/>
        <v>Low Risk</v>
      </c>
      <c r="M461" t="str">
        <f>IFERROR(VLOOKUP(A470,Promo_Pivot!A:C,3,FALSE),"No")</f>
        <v>Yes</v>
      </c>
    </row>
    <row r="462" spans="1:13" x14ac:dyDescent="0.35">
      <c r="A462" t="s">
        <v>2198</v>
      </c>
      <c r="B462" s="2">
        <v>45400</v>
      </c>
      <c r="C462">
        <v>3752</v>
      </c>
      <c r="D462">
        <v>4</v>
      </c>
      <c r="E462">
        <v>192</v>
      </c>
      <c r="F462">
        <v>1</v>
      </c>
      <c r="G462">
        <v>5</v>
      </c>
      <c r="H462">
        <v>5</v>
      </c>
      <c r="I462" t="str">
        <f t="shared" si="14"/>
        <v>155</v>
      </c>
      <c r="J462" t="s">
        <v>2300</v>
      </c>
      <c r="K462" t="s">
        <v>2301</v>
      </c>
      <c r="L462" t="str">
        <f t="shared" si="15"/>
        <v>Critical Risk</v>
      </c>
      <c r="M462" t="str">
        <f>IFERROR(VLOOKUP(A471,Promo_Pivot!A:C,3,FALSE),"No")</f>
        <v>Yes</v>
      </c>
    </row>
    <row r="463" spans="1:13" x14ac:dyDescent="0.35">
      <c r="A463" t="s">
        <v>2199</v>
      </c>
      <c r="B463" s="2">
        <v>45562</v>
      </c>
      <c r="C463">
        <v>954</v>
      </c>
      <c r="D463">
        <v>2</v>
      </c>
      <c r="E463">
        <v>30</v>
      </c>
      <c r="F463">
        <v>4</v>
      </c>
      <c r="G463">
        <v>3</v>
      </c>
      <c r="H463">
        <v>2</v>
      </c>
      <c r="I463" t="str">
        <f t="shared" si="14"/>
        <v>432</v>
      </c>
      <c r="J463" t="s">
        <v>2298</v>
      </c>
      <c r="K463" t="s">
        <v>2299</v>
      </c>
      <c r="L463" t="str">
        <f t="shared" si="15"/>
        <v>Moderate Risk</v>
      </c>
      <c r="M463" t="str">
        <f>IFERROR(VLOOKUP(A472,Promo_Pivot!A:C,3,FALSE),"No")</f>
        <v>Yes</v>
      </c>
    </row>
    <row r="464" spans="1:13" x14ac:dyDescent="0.35">
      <c r="A464" t="s">
        <v>2200</v>
      </c>
      <c r="B464" s="2">
        <v>45484</v>
      </c>
      <c r="C464">
        <v>2138</v>
      </c>
      <c r="D464">
        <v>4</v>
      </c>
      <c r="E464">
        <v>108</v>
      </c>
      <c r="F464">
        <v>2</v>
      </c>
      <c r="G464">
        <v>5</v>
      </c>
      <c r="H464">
        <v>3</v>
      </c>
      <c r="I464" t="str">
        <f t="shared" si="14"/>
        <v>253</v>
      </c>
      <c r="J464" t="s">
        <v>2300</v>
      </c>
      <c r="K464" t="s">
        <v>2301</v>
      </c>
      <c r="L464" t="str">
        <f t="shared" si="15"/>
        <v>Very High Risk</v>
      </c>
      <c r="M464" t="str">
        <f>IFERROR(VLOOKUP(A473,Promo_Pivot!A:C,3,FALSE),"No")</f>
        <v>Yes</v>
      </c>
    </row>
    <row r="465" spans="1:13" x14ac:dyDescent="0.35">
      <c r="A465" t="s">
        <v>2201</v>
      </c>
      <c r="B465" s="2">
        <v>45544</v>
      </c>
      <c r="C465">
        <v>1620</v>
      </c>
      <c r="D465">
        <v>2</v>
      </c>
      <c r="E465">
        <v>48</v>
      </c>
      <c r="F465">
        <v>4</v>
      </c>
      <c r="G465">
        <v>3</v>
      </c>
      <c r="H465">
        <v>3</v>
      </c>
      <c r="I465" t="str">
        <f t="shared" si="14"/>
        <v>433</v>
      </c>
      <c r="J465" t="s">
        <v>2303</v>
      </c>
      <c r="K465" t="s">
        <v>2299</v>
      </c>
      <c r="L465" t="str">
        <f t="shared" si="15"/>
        <v>Low Risk</v>
      </c>
      <c r="M465" t="str">
        <f>IFERROR(VLOOKUP(A474,Promo_Pivot!A:C,3,FALSE),"No")</f>
        <v>Yes</v>
      </c>
    </row>
    <row r="466" spans="1:13" x14ac:dyDescent="0.35">
      <c r="A466" t="s">
        <v>2202</v>
      </c>
      <c r="B466" s="2">
        <v>45478</v>
      </c>
      <c r="C466">
        <v>2110</v>
      </c>
      <c r="D466">
        <v>3</v>
      </c>
      <c r="E466">
        <v>114</v>
      </c>
      <c r="F466">
        <v>2</v>
      </c>
      <c r="G466">
        <v>4</v>
      </c>
      <c r="H466">
        <v>3</v>
      </c>
      <c r="I466" t="str">
        <f t="shared" si="14"/>
        <v>243</v>
      </c>
      <c r="J466" t="s">
        <v>2300</v>
      </c>
      <c r="K466" t="s">
        <v>2301</v>
      </c>
      <c r="L466" t="str">
        <f t="shared" si="15"/>
        <v>Very High Risk</v>
      </c>
      <c r="M466" t="str">
        <f>IFERROR(VLOOKUP(A475,Promo_Pivot!A:C,3,FALSE),"No")</f>
        <v>Yes</v>
      </c>
    </row>
    <row r="467" spans="1:13" x14ac:dyDescent="0.35">
      <c r="A467" t="s">
        <v>2203</v>
      </c>
      <c r="B467" s="2">
        <v>45579</v>
      </c>
      <c r="C467">
        <v>4264</v>
      </c>
      <c r="D467">
        <v>5</v>
      </c>
      <c r="E467">
        <v>13</v>
      </c>
      <c r="F467">
        <v>5</v>
      </c>
      <c r="G467">
        <v>5</v>
      </c>
      <c r="H467">
        <v>5</v>
      </c>
      <c r="I467" t="str">
        <f t="shared" si="14"/>
        <v>555</v>
      </c>
      <c r="J467" t="s">
        <v>2304</v>
      </c>
      <c r="K467" t="s">
        <v>2299</v>
      </c>
      <c r="L467" t="str">
        <f t="shared" si="15"/>
        <v>Moderate Risk</v>
      </c>
      <c r="M467" t="str">
        <f>IFERROR(VLOOKUP(A476,Promo_Pivot!A:C,3,FALSE),"No")</f>
        <v>Yes</v>
      </c>
    </row>
    <row r="468" spans="1:13" x14ac:dyDescent="0.35">
      <c r="A468" t="s">
        <v>2204</v>
      </c>
      <c r="B468" s="2">
        <v>45523</v>
      </c>
      <c r="C468">
        <v>1036</v>
      </c>
      <c r="D468">
        <v>2</v>
      </c>
      <c r="E468">
        <v>69</v>
      </c>
      <c r="F468">
        <v>3</v>
      </c>
      <c r="G468">
        <v>3</v>
      </c>
      <c r="H468">
        <v>2</v>
      </c>
      <c r="I468" t="str">
        <f t="shared" si="14"/>
        <v>332</v>
      </c>
      <c r="J468" t="s">
        <v>2302</v>
      </c>
      <c r="K468" t="s">
        <v>2299</v>
      </c>
      <c r="L468" t="str">
        <f t="shared" si="15"/>
        <v>Low Risk</v>
      </c>
      <c r="M468" t="str">
        <f>IFERROR(VLOOKUP(A477,Promo_Pivot!A:C,3,FALSE),"No")</f>
        <v>Yes</v>
      </c>
    </row>
    <row r="469" spans="1:13" x14ac:dyDescent="0.35">
      <c r="A469" t="s">
        <v>1737</v>
      </c>
      <c r="B469" s="2">
        <v>45404</v>
      </c>
      <c r="C469">
        <v>2160</v>
      </c>
      <c r="D469">
        <v>1</v>
      </c>
      <c r="E469">
        <v>188</v>
      </c>
      <c r="F469">
        <v>1</v>
      </c>
      <c r="G469">
        <v>2</v>
      </c>
      <c r="H469">
        <v>3</v>
      </c>
      <c r="I469" t="str">
        <f t="shared" si="14"/>
        <v>123</v>
      </c>
      <c r="J469" t="s">
        <v>2300</v>
      </c>
      <c r="K469" t="s">
        <v>2301</v>
      </c>
      <c r="L469" t="str">
        <f t="shared" si="15"/>
        <v>Low Risk</v>
      </c>
      <c r="M469" t="str">
        <f>IFERROR(VLOOKUP(A478,Promo_Pivot!A:C,3,FALSE),"No")</f>
        <v>Yes</v>
      </c>
    </row>
    <row r="470" spans="1:13" x14ac:dyDescent="0.35">
      <c r="A470" t="s">
        <v>2205</v>
      </c>
      <c r="B470" s="2">
        <v>45583</v>
      </c>
      <c r="C470">
        <v>4193</v>
      </c>
      <c r="D470">
        <v>5</v>
      </c>
      <c r="E470">
        <v>9</v>
      </c>
      <c r="F470">
        <v>5</v>
      </c>
      <c r="G470">
        <v>5</v>
      </c>
      <c r="H470">
        <v>5</v>
      </c>
      <c r="I470" t="str">
        <f t="shared" si="14"/>
        <v>555</v>
      </c>
      <c r="J470" t="s">
        <v>2304</v>
      </c>
      <c r="K470" t="s">
        <v>2299</v>
      </c>
      <c r="L470" t="str">
        <f t="shared" si="15"/>
        <v>Moderate Risk</v>
      </c>
      <c r="M470" t="str">
        <f>IFERROR(VLOOKUP(A479,Promo_Pivot!A:C,3,FALSE),"No")</f>
        <v>Yes</v>
      </c>
    </row>
    <row r="471" spans="1:13" x14ac:dyDescent="0.35">
      <c r="A471" t="s">
        <v>2206</v>
      </c>
      <c r="B471" s="2">
        <v>45568</v>
      </c>
      <c r="C471">
        <v>4364</v>
      </c>
      <c r="D471">
        <v>4</v>
      </c>
      <c r="E471">
        <v>24</v>
      </c>
      <c r="F471">
        <v>5</v>
      </c>
      <c r="G471">
        <v>5</v>
      </c>
      <c r="H471">
        <v>5</v>
      </c>
      <c r="I471" t="str">
        <f t="shared" si="14"/>
        <v>555</v>
      </c>
      <c r="J471" t="s">
        <v>2304</v>
      </c>
      <c r="K471" t="s">
        <v>2299</v>
      </c>
      <c r="L471" t="str">
        <f t="shared" si="15"/>
        <v>Moderate Risk</v>
      </c>
      <c r="M471" t="str">
        <f>IFERROR(VLOOKUP(A480,Promo_Pivot!A:C,3,FALSE),"No")</f>
        <v>Yes</v>
      </c>
    </row>
    <row r="472" spans="1:13" x14ac:dyDescent="0.35">
      <c r="A472" t="s">
        <v>2207</v>
      </c>
      <c r="B472" s="2">
        <v>45535</v>
      </c>
      <c r="C472">
        <v>2115</v>
      </c>
      <c r="D472">
        <v>3</v>
      </c>
      <c r="E472">
        <v>57</v>
      </c>
      <c r="F472">
        <v>3</v>
      </c>
      <c r="G472">
        <v>4</v>
      </c>
      <c r="H472">
        <v>3</v>
      </c>
      <c r="I472" t="str">
        <f t="shared" si="14"/>
        <v>343</v>
      </c>
      <c r="J472" t="s">
        <v>2303</v>
      </c>
      <c r="K472" t="s">
        <v>2299</v>
      </c>
      <c r="L472" t="str">
        <f t="shared" si="15"/>
        <v>Moderate Risk</v>
      </c>
      <c r="M472" t="str">
        <f>IFERROR(VLOOKUP(A481,Promo_Pivot!A:C,3,FALSE),"No")</f>
        <v>Yes</v>
      </c>
    </row>
    <row r="473" spans="1:13" x14ac:dyDescent="0.35">
      <c r="A473" t="s">
        <v>2208</v>
      </c>
      <c r="B473" s="2">
        <v>45497</v>
      </c>
      <c r="C473">
        <v>740</v>
      </c>
      <c r="D473">
        <v>2</v>
      </c>
      <c r="E473">
        <v>95</v>
      </c>
      <c r="F473">
        <v>2</v>
      </c>
      <c r="G473">
        <v>3</v>
      </c>
      <c r="H473">
        <v>1</v>
      </c>
      <c r="I473" t="str">
        <f t="shared" si="14"/>
        <v>231</v>
      </c>
      <c r="J473" t="s">
        <v>2300</v>
      </c>
      <c r="K473" t="s">
        <v>2301</v>
      </c>
      <c r="L473" t="str">
        <f t="shared" si="15"/>
        <v>Very High Risk</v>
      </c>
      <c r="M473" t="str">
        <f>IFERROR(VLOOKUP(A482,Promo_Pivot!A:C,3,FALSE),"No")</f>
        <v>Yes</v>
      </c>
    </row>
    <row r="474" spans="1:13" x14ac:dyDescent="0.35">
      <c r="A474" t="s">
        <v>2209</v>
      </c>
      <c r="B474" s="2">
        <v>45560</v>
      </c>
      <c r="C474">
        <v>4932</v>
      </c>
      <c r="D474">
        <v>4</v>
      </c>
      <c r="E474">
        <v>32</v>
      </c>
      <c r="F474">
        <v>4</v>
      </c>
      <c r="G474">
        <v>5</v>
      </c>
      <c r="H474">
        <v>5</v>
      </c>
      <c r="I474" t="str">
        <f t="shared" si="14"/>
        <v>455</v>
      </c>
      <c r="J474" t="s">
        <v>2304</v>
      </c>
      <c r="K474" t="s">
        <v>2299</v>
      </c>
      <c r="L474" t="str">
        <f t="shared" si="15"/>
        <v>Low Risk</v>
      </c>
      <c r="M474" t="str">
        <f>IFERROR(VLOOKUP(A483,Promo_Pivot!A:C,3,FALSE),"No")</f>
        <v>Yes</v>
      </c>
    </row>
    <row r="475" spans="1:13" x14ac:dyDescent="0.35">
      <c r="A475" t="s">
        <v>2210</v>
      </c>
      <c r="B475" s="2">
        <v>45401</v>
      </c>
      <c r="C475">
        <v>3632</v>
      </c>
      <c r="D475">
        <v>2</v>
      </c>
      <c r="E475">
        <v>191</v>
      </c>
      <c r="F475">
        <v>1</v>
      </c>
      <c r="G475">
        <v>3</v>
      </c>
      <c r="H475">
        <v>4</v>
      </c>
      <c r="I475" t="str">
        <f t="shared" si="14"/>
        <v>134</v>
      </c>
      <c r="J475" t="s">
        <v>2300</v>
      </c>
      <c r="K475" t="s">
        <v>2301</v>
      </c>
      <c r="L475" t="str">
        <f t="shared" si="15"/>
        <v>Critical Risk</v>
      </c>
      <c r="M475" t="str">
        <f>IFERROR(VLOOKUP(A484,Promo_Pivot!A:C,3,FALSE),"No")</f>
        <v>Yes</v>
      </c>
    </row>
    <row r="476" spans="1:13" x14ac:dyDescent="0.35">
      <c r="A476" t="s">
        <v>2211</v>
      </c>
      <c r="B476" s="2">
        <v>45584</v>
      </c>
      <c r="C476">
        <v>2696</v>
      </c>
      <c r="D476">
        <v>4</v>
      </c>
      <c r="E476">
        <v>8</v>
      </c>
      <c r="F476">
        <v>5</v>
      </c>
      <c r="G476">
        <v>5</v>
      </c>
      <c r="H476">
        <v>4</v>
      </c>
      <c r="I476" t="str">
        <f t="shared" si="14"/>
        <v>554</v>
      </c>
      <c r="J476" t="s">
        <v>2304</v>
      </c>
      <c r="K476" t="s">
        <v>2299</v>
      </c>
      <c r="L476" t="str">
        <f t="shared" si="15"/>
        <v>Moderate Risk</v>
      </c>
      <c r="M476" t="str">
        <f>IFERROR(VLOOKUP(A485,Promo_Pivot!A:C,3,FALSE),"No")</f>
        <v>Yes</v>
      </c>
    </row>
    <row r="477" spans="1:13" x14ac:dyDescent="0.35">
      <c r="A477" t="s">
        <v>2212</v>
      </c>
      <c r="B477" s="2">
        <v>45513</v>
      </c>
      <c r="C477">
        <v>3684</v>
      </c>
      <c r="D477">
        <v>2</v>
      </c>
      <c r="E477">
        <v>79</v>
      </c>
      <c r="F477">
        <v>3</v>
      </c>
      <c r="G477">
        <v>3</v>
      </c>
      <c r="H477">
        <v>5</v>
      </c>
      <c r="I477" t="str">
        <f t="shared" si="14"/>
        <v>335</v>
      </c>
      <c r="J477" t="s">
        <v>2303</v>
      </c>
      <c r="K477" t="s">
        <v>2299</v>
      </c>
      <c r="L477" t="str">
        <f t="shared" si="15"/>
        <v>High Risk</v>
      </c>
      <c r="M477" t="str">
        <f>IFERROR(VLOOKUP(A486,Promo_Pivot!A:C,3,FALSE),"No")</f>
        <v>Yes</v>
      </c>
    </row>
    <row r="478" spans="1:13" x14ac:dyDescent="0.35">
      <c r="A478" t="s">
        <v>2213</v>
      </c>
      <c r="B478" s="2">
        <v>45440</v>
      </c>
      <c r="C478">
        <v>4104</v>
      </c>
      <c r="D478">
        <v>4</v>
      </c>
      <c r="E478">
        <v>152</v>
      </c>
      <c r="F478">
        <v>1</v>
      </c>
      <c r="G478">
        <v>5</v>
      </c>
      <c r="H478">
        <v>5</v>
      </c>
      <c r="I478" t="str">
        <f t="shared" si="14"/>
        <v>155</v>
      </c>
      <c r="J478" t="s">
        <v>2300</v>
      </c>
      <c r="K478" t="s">
        <v>2301</v>
      </c>
      <c r="L478" t="str">
        <f t="shared" si="15"/>
        <v>Very High Risk</v>
      </c>
      <c r="M478" t="str">
        <f>IFERROR(VLOOKUP(A487,Promo_Pivot!A:C,3,FALSE),"No")</f>
        <v>Yes</v>
      </c>
    </row>
    <row r="479" spans="1:13" x14ac:dyDescent="0.35">
      <c r="A479" t="s">
        <v>2214</v>
      </c>
      <c r="B479" s="2">
        <v>45443</v>
      </c>
      <c r="C479">
        <v>5250</v>
      </c>
      <c r="D479">
        <v>3</v>
      </c>
      <c r="E479">
        <v>149</v>
      </c>
      <c r="F479">
        <v>2</v>
      </c>
      <c r="G479">
        <v>4</v>
      </c>
      <c r="H479">
        <v>5</v>
      </c>
      <c r="I479" t="str">
        <f t="shared" si="14"/>
        <v>245</v>
      </c>
      <c r="J479" t="s">
        <v>2300</v>
      </c>
      <c r="K479" t="s">
        <v>2301</v>
      </c>
      <c r="L479" t="str">
        <f t="shared" si="15"/>
        <v>Low Risk</v>
      </c>
      <c r="M479" t="str">
        <f>IFERROR(VLOOKUP(A488,Promo_Pivot!A:C,3,FALSE),"No")</f>
        <v>Yes</v>
      </c>
    </row>
    <row r="480" spans="1:13" x14ac:dyDescent="0.35">
      <c r="A480" t="s">
        <v>1738</v>
      </c>
      <c r="B480" s="2">
        <v>45323</v>
      </c>
      <c r="C480">
        <v>394</v>
      </c>
      <c r="D480">
        <v>1</v>
      </c>
      <c r="E480">
        <v>269</v>
      </c>
      <c r="F480">
        <v>1</v>
      </c>
      <c r="G480">
        <v>2</v>
      </c>
      <c r="H480">
        <v>1</v>
      </c>
      <c r="I480" t="str">
        <f t="shared" si="14"/>
        <v>121</v>
      </c>
      <c r="J480" t="s">
        <v>2300</v>
      </c>
      <c r="K480" t="s">
        <v>2301</v>
      </c>
      <c r="L480" t="str">
        <f t="shared" si="15"/>
        <v>Low Risk</v>
      </c>
      <c r="M480" t="str">
        <f>IFERROR(VLOOKUP(A489,Promo_Pivot!A:C,3,FALSE),"No")</f>
        <v>Yes</v>
      </c>
    </row>
    <row r="481" spans="1:13" x14ac:dyDescent="0.35">
      <c r="A481" t="s">
        <v>2215</v>
      </c>
      <c r="B481" s="2">
        <v>45582</v>
      </c>
      <c r="C481">
        <v>2350</v>
      </c>
      <c r="D481">
        <v>5</v>
      </c>
      <c r="E481">
        <v>10</v>
      </c>
      <c r="F481">
        <v>5</v>
      </c>
      <c r="G481">
        <v>5</v>
      </c>
      <c r="H481">
        <v>3</v>
      </c>
      <c r="I481" t="str">
        <f t="shared" si="14"/>
        <v>553</v>
      </c>
      <c r="J481" t="s">
        <v>2303</v>
      </c>
      <c r="K481" t="s">
        <v>2299</v>
      </c>
      <c r="L481" t="str">
        <f t="shared" si="15"/>
        <v>Low Risk</v>
      </c>
      <c r="M481" t="str">
        <f>IFERROR(VLOOKUP(A490,Promo_Pivot!A:C,3,FALSE),"No")</f>
        <v>Yes</v>
      </c>
    </row>
    <row r="482" spans="1:13" x14ac:dyDescent="0.35">
      <c r="A482" t="s">
        <v>2216</v>
      </c>
      <c r="B482" s="2">
        <v>45580</v>
      </c>
      <c r="C482">
        <v>3711</v>
      </c>
      <c r="D482">
        <v>4</v>
      </c>
      <c r="E482">
        <v>12</v>
      </c>
      <c r="F482">
        <v>5</v>
      </c>
      <c r="G482">
        <v>5</v>
      </c>
      <c r="H482">
        <v>5</v>
      </c>
      <c r="I482" t="str">
        <f t="shared" si="14"/>
        <v>555</v>
      </c>
      <c r="J482" t="s">
        <v>2304</v>
      </c>
      <c r="K482" t="s">
        <v>2299</v>
      </c>
      <c r="L482" t="str">
        <f t="shared" si="15"/>
        <v>Moderate Risk</v>
      </c>
      <c r="M482" t="str">
        <f>IFERROR(VLOOKUP(A491,Promo_Pivot!A:C,3,FALSE),"No")</f>
        <v>Yes</v>
      </c>
    </row>
    <row r="483" spans="1:13" x14ac:dyDescent="0.35">
      <c r="A483" t="s">
        <v>2217</v>
      </c>
      <c r="B483" s="2">
        <v>45584</v>
      </c>
      <c r="C483">
        <v>3788</v>
      </c>
      <c r="D483">
        <v>4</v>
      </c>
      <c r="E483">
        <v>8</v>
      </c>
      <c r="F483">
        <v>5</v>
      </c>
      <c r="G483">
        <v>5</v>
      </c>
      <c r="H483">
        <v>5</v>
      </c>
      <c r="I483" t="str">
        <f t="shared" si="14"/>
        <v>555</v>
      </c>
      <c r="J483" t="s">
        <v>2304</v>
      </c>
      <c r="K483" t="s">
        <v>2299</v>
      </c>
      <c r="L483" t="str">
        <f t="shared" si="15"/>
        <v>Moderate Risk</v>
      </c>
      <c r="M483" t="str">
        <f>IFERROR(VLOOKUP(A492,Promo_Pivot!A:C,3,FALSE),"No")</f>
        <v>Yes</v>
      </c>
    </row>
    <row r="484" spans="1:13" x14ac:dyDescent="0.35">
      <c r="A484" t="s">
        <v>2218</v>
      </c>
      <c r="B484" s="2">
        <v>45481</v>
      </c>
      <c r="C484">
        <v>1729</v>
      </c>
      <c r="D484">
        <v>3</v>
      </c>
      <c r="E484">
        <v>111</v>
      </c>
      <c r="F484">
        <v>2</v>
      </c>
      <c r="G484">
        <v>4</v>
      </c>
      <c r="H484">
        <v>3</v>
      </c>
      <c r="I484" t="str">
        <f t="shared" si="14"/>
        <v>243</v>
      </c>
      <c r="J484" t="s">
        <v>2300</v>
      </c>
      <c r="K484" t="s">
        <v>2301</v>
      </c>
      <c r="L484" t="str">
        <f t="shared" si="15"/>
        <v>Very High Risk</v>
      </c>
      <c r="M484" t="str">
        <f>IFERROR(VLOOKUP(A493,Promo_Pivot!A:C,3,FALSE),"No")</f>
        <v>Yes</v>
      </c>
    </row>
    <row r="485" spans="1:13" x14ac:dyDescent="0.35">
      <c r="A485" t="s">
        <v>2219</v>
      </c>
      <c r="B485" s="2">
        <v>45490</v>
      </c>
      <c r="C485">
        <v>1487</v>
      </c>
      <c r="D485">
        <v>3</v>
      </c>
      <c r="E485">
        <v>102</v>
      </c>
      <c r="F485">
        <v>2</v>
      </c>
      <c r="G485">
        <v>4</v>
      </c>
      <c r="H485">
        <v>2</v>
      </c>
      <c r="I485" t="str">
        <f t="shared" si="14"/>
        <v>242</v>
      </c>
      <c r="J485" t="s">
        <v>2300</v>
      </c>
      <c r="K485" t="s">
        <v>2301</v>
      </c>
      <c r="L485" t="str">
        <f t="shared" si="15"/>
        <v>Very High Risk</v>
      </c>
      <c r="M485" t="str">
        <f>IFERROR(VLOOKUP(A494,Promo_Pivot!A:C,3,FALSE),"No")</f>
        <v>Yes</v>
      </c>
    </row>
    <row r="486" spans="1:13" x14ac:dyDescent="0.35">
      <c r="A486" t="s">
        <v>2220</v>
      </c>
      <c r="B486" s="2">
        <v>45349</v>
      </c>
      <c r="C486">
        <v>2445</v>
      </c>
      <c r="D486">
        <v>2</v>
      </c>
      <c r="E486">
        <v>243</v>
      </c>
      <c r="F486">
        <v>1</v>
      </c>
      <c r="G486">
        <v>3</v>
      </c>
      <c r="H486">
        <v>3</v>
      </c>
      <c r="I486" t="str">
        <f t="shared" si="14"/>
        <v>133</v>
      </c>
      <c r="J486" t="s">
        <v>2300</v>
      </c>
      <c r="K486" t="s">
        <v>2301</v>
      </c>
      <c r="L486" t="str">
        <f t="shared" si="15"/>
        <v>Critical Risk</v>
      </c>
      <c r="M486" t="str">
        <f>IFERROR(VLOOKUP(A495,Promo_Pivot!A:C,3,FALSE),"No")</f>
        <v>Yes</v>
      </c>
    </row>
    <row r="487" spans="1:13" x14ac:dyDescent="0.35">
      <c r="A487" t="s">
        <v>2221</v>
      </c>
      <c r="B487" s="2">
        <v>45391</v>
      </c>
      <c r="C487">
        <v>2934</v>
      </c>
      <c r="D487">
        <v>2</v>
      </c>
      <c r="E487">
        <v>201</v>
      </c>
      <c r="F487">
        <v>1</v>
      </c>
      <c r="G487">
        <v>3</v>
      </c>
      <c r="H487">
        <v>4</v>
      </c>
      <c r="I487" t="str">
        <f t="shared" si="14"/>
        <v>134</v>
      </c>
      <c r="J487" t="s">
        <v>2300</v>
      </c>
      <c r="K487" t="s">
        <v>2301</v>
      </c>
      <c r="L487" t="str">
        <f t="shared" si="15"/>
        <v>Critical Risk</v>
      </c>
      <c r="M487" t="str">
        <f>IFERROR(VLOOKUP(A496,Promo_Pivot!A:C,3,FALSE),"No")</f>
        <v>Yes</v>
      </c>
    </row>
    <row r="488" spans="1:13" x14ac:dyDescent="0.35">
      <c r="A488" t="s">
        <v>2222</v>
      </c>
      <c r="B488" s="2">
        <v>45530</v>
      </c>
      <c r="C488">
        <v>2415</v>
      </c>
      <c r="D488">
        <v>2</v>
      </c>
      <c r="E488">
        <v>62</v>
      </c>
      <c r="F488">
        <v>3</v>
      </c>
      <c r="G488">
        <v>3</v>
      </c>
      <c r="H488">
        <v>3</v>
      </c>
      <c r="I488" t="str">
        <f t="shared" si="14"/>
        <v>333</v>
      </c>
      <c r="J488" t="s">
        <v>2303</v>
      </c>
      <c r="K488" t="s">
        <v>2299</v>
      </c>
      <c r="L488" t="str">
        <f t="shared" si="15"/>
        <v>High Risk</v>
      </c>
      <c r="M488" t="str">
        <f>IFERROR(VLOOKUP(A497,Promo_Pivot!A:C,3,FALSE),"No")</f>
        <v>Yes</v>
      </c>
    </row>
    <row r="489" spans="1:13" x14ac:dyDescent="0.35">
      <c r="A489" t="s">
        <v>2223</v>
      </c>
      <c r="B489" s="2">
        <v>45529</v>
      </c>
      <c r="C489">
        <v>3670</v>
      </c>
      <c r="D489">
        <v>5</v>
      </c>
      <c r="E489">
        <v>63</v>
      </c>
      <c r="F489">
        <v>3</v>
      </c>
      <c r="G489">
        <v>5</v>
      </c>
      <c r="H489">
        <v>4</v>
      </c>
      <c r="I489" t="str">
        <f t="shared" si="14"/>
        <v>354</v>
      </c>
      <c r="J489" t="s">
        <v>2303</v>
      </c>
      <c r="K489" t="s">
        <v>2299</v>
      </c>
      <c r="L489" t="str">
        <f t="shared" si="15"/>
        <v>Low Risk</v>
      </c>
      <c r="M489" t="str">
        <f>IFERROR(VLOOKUP(A498,Promo_Pivot!A:C,3,FALSE),"No")</f>
        <v>Yes</v>
      </c>
    </row>
    <row r="490" spans="1:13" x14ac:dyDescent="0.35">
      <c r="A490" t="s">
        <v>2224</v>
      </c>
      <c r="B490" s="2">
        <v>45526</v>
      </c>
      <c r="C490">
        <v>415</v>
      </c>
      <c r="D490">
        <v>2</v>
      </c>
      <c r="E490">
        <v>66</v>
      </c>
      <c r="F490">
        <v>3</v>
      </c>
      <c r="G490">
        <v>3</v>
      </c>
      <c r="H490">
        <v>1</v>
      </c>
      <c r="I490" t="str">
        <f t="shared" si="14"/>
        <v>331</v>
      </c>
      <c r="J490" t="s">
        <v>2302</v>
      </c>
      <c r="K490" t="s">
        <v>2299</v>
      </c>
      <c r="L490" t="str">
        <f t="shared" si="15"/>
        <v>High Risk</v>
      </c>
      <c r="M490" t="str">
        <f>IFERROR(VLOOKUP(A499,Promo_Pivot!A:C,3,FALSE),"No")</f>
        <v>Yes</v>
      </c>
    </row>
    <row r="491" spans="1:13" x14ac:dyDescent="0.35">
      <c r="A491" t="s">
        <v>1739</v>
      </c>
      <c r="B491" s="2">
        <v>45581</v>
      </c>
      <c r="C491">
        <v>1056</v>
      </c>
      <c r="D491">
        <v>1</v>
      </c>
      <c r="E491">
        <v>11</v>
      </c>
      <c r="F491">
        <v>5</v>
      </c>
      <c r="G491">
        <v>2</v>
      </c>
      <c r="H491">
        <v>2</v>
      </c>
      <c r="I491" t="str">
        <f t="shared" si="14"/>
        <v>522</v>
      </c>
      <c r="J491" t="s">
        <v>2298</v>
      </c>
      <c r="K491" t="s">
        <v>2299</v>
      </c>
      <c r="L491" t="str">
        <f t="shared" si="15"/>
        <v>Moderate Risk</v>
      </c>
      <c r="M491" t="str">
        <f>IFERROR(VLOOKUP(A500,Promo_Pivot!A:C,3,FALSE),"No")</f>
        <v>Yes</v>
      </c>
    </row>
    <row r="492" spans="1:13" x14ac:dyDescent="0.35">
      <c r="A492" t="s">
        <v>2225</v>
      </c>
      <c r="B492" s="2">
        <v>45542</v>
      </c>
      <c r="C492">
        <v>2428</v>
      </c>
      <c r="D492">
        <v>5</v>
      </c>
      <c r="E492">
        <v>50</v>
      </c>
      <c r="F492">
        <v>4</v>
      </c>
      <c r="G492">
        <v>5</v>
      </c>
      <c r="H492">
        <v>3</v>
      </c>
      <c r="I492" t="str">
        <f t="shared" si="14"/>
        <v>453</v>
      </c>
      <c r="J492" t="s">
        <v>2303</v>
      </c>
      <c r="K492" t="s">
        <v>2299</v>
      </c>
      <c r="L492" t="str">
        <f t="shared" si="15"/>
        <v>Moderate Risk</v>
      </c>
      <c r="M492" t="str">
        <f>IFERROR(VLOOKUP(A501,Promo_Pivot!A:C,3,FALSE),"No")</f>
        <v>Yes</v>
      </c>
    </row>
    <row r="493" spans="1:13" x14ac:dyDescent="0.35">
      <c r="A493" t="s">
        <v>2226</v>
      </c>
      <c r="B493" s="2">
        <v>45491</v>
      </c>
      <c r="C493">
        <v>1291</v>
      </c>
      <c r="D493">
        <v>2</v>
      </c>
      <c r="E493">
        <v>101</v>
      </c>
      <c r="F493">
        <v>2</v>
      </c>
      <c r="G493">
        <v>3</v>
      </c>
      <c r="H493">
        <v>2</v>
      </c>
      <c r="I493" t="str">
        <f t="shared" si="14"/>
        <v>232</v>
      </c>
      <c r="J493" t="s">
        <v>2300</v>
      </c>
      <c r="K493" t="s">
        <v>2301</v>
      </c>
      <c r="L493" t="str">
        <f t="shared" si="15"/>
        <v>Very High Risk</v>
      </c>
      <c r="M493" t="str">
        <f>IFERROR(VLOOKUP(A502,Promo_Pivot!A:C,3,FALSE),"No")</f>
        <v>Yes</v>
      </c>
    </row>
    <row r="494" spans="1:13" x14ac:dyDescent="0.35">
      <c r="A494" t="s">
        <v>2227</v>
      </c>
      <c r="B494" s="2">
        <v>45497</v>
      </c>
      <c r="C494">
        <v>3613</v>
      </c>
      <c r="D494">
        <v>5</v>
      </c>
      <c r="E494">
        <v>95</v>
      </c>
      <c r="F494">
        <v>2</v>
      </c>
      <c r="G494">
        <v>5</v>
      </c>
      <c r="H494">
        <v>4</v>
      </c>
      <c r="I494" t="str">
        <f t="shared" si="14"/>
        <v>254</v>
      </c>
      <c r="J494" t="s">
        <v>2300</v>
      </c>
      <c r="K494" t="s">
        <v>2301</v>
      </c>
      <c r="L494" t="str">
        <f t="shared" si="15"/>
        <v>Very High Risk</v>
      </c>
      <c r="M494" t="str">
        <f>IFERROR(VLOOKUP(A503,Promo_Pivot!A:C,3,FALSE),"No")</f>
        <v>Yes</v>
      </c>
    </row>
    <row r="495" spans="1:13" x14ac:dyDescent="0.35">
      <c r="A495" t="s">
        <v>2228</v>
      </c>
      <c r="B495" s="2">
        <v>45509</v>
      </c>
      <c r="C495">
        <v>2177</v>
      </c>
      <c r="D495">
        <v>4</v>
      </c>
      <c r="E495">
        <v>83</v>
      </c>
      <c r="F495">
        <v>3</v>
      </c>
      <c r="G495">
        <v>5</v>
      </c>
      <c r="H495">
        <v>3</v>
      </c>
      <c r="I495" t="str">
        <f t="shared" si="14"/>
        <v>353</v>
      </c>
      <c r="J495" t="s">
        <v>2303</v>
      </c>
      <c r="K495" t="s">
        <v>2299</v>
      </c>
      <c r="L495" t="str">
        <f t="shared" si="15"/>
        <v>High Risk</v>
      </c>
      <c r="M495" t="str">
        <f>IFERROR(VLOOKUP(A504,Promo_Pivot!A:C,3,FALSE),"No")</f>
        <v>Yes</v>
      </c>
    </row>
    <row r="496" spans="1:13" x14ac:dyDescent="0.35">
      <c r="A496" t="s">
        <v>2229</v>
      </c>
      <c r="B496" s="2">
        <v>45453</v>
      </c>
      <c r="C496">
        <v>3467</v>
      </c>
      <c r="D496">
        <v>3</v>
      </c>
      <c r="E496">
        <v>139</v>
      </c>
      <c r="F496">
        <v>2</v>
      </c>
      <c r="G496">
        <v>4</v>
      </c>
      <c r="H496">
        <v>4</v>
      </c>
      <c r="I496" t="str">
        <f t="shared" si="14"/>
        <v>244</v>
      </c>
      <c r="J496" t="s">
        <v>2300</v>
      </c>
      <c r="K496" t="s">
        <v>2301</v>
      </c>
      <c r="L496" t="str">
        <f t="shared" si="15"/>
        <v>Low Risk</v>
      </c>
      <c r="M496" t="str">
        <f>IFERROR(VLOOKUP(A505,Promo_Pivot!A:C,3,FALSE),"No")</f>
        <v>Yes</v>
      </c>
    </row>
    <row r="497" spans="1:13" x14ac:dyDescent="0.35">
      <c r="A497" t="s">
        <v>2230</v>
      </c>
      <c r="B497" s="2">
        <v>45553</v>
      </c>
      <c r="C497">
        <v>3803</v>
      </c>
      <c r="D497">
        <v>5</v>
      </c>
      <c r="E497">
        <v>39</v>
      </c>
      <c r="F497">
        <v>4</v>
      </c>
      <c r="G497">
        <v>5</v>
      </c>
      <c r="H497">
        <v>5</v>
      </c>
      <c r="I497" t="str">
        <f t="shared" si="14"/>
        <v>455</v>
      </c>
      <c r="J497" t="s">
        <v>2304</v>
      </c>
      <c r="K497" t="s">
        <v>2299</v>
      </c>
      <c r="L497" t="str">
        <f t="shared" si="15"/>
        <v>Moderate Risk</v>
      </c>
      <c r="M497" t="str">
        <f>IFERROR(VLOOKUP(A506,Promo_Pivot!A:C,3,FALSE),"No")</f>
        <v>Yes</v>
      </c>
    </row>
    <row r="498" spans="1:13" x14ac:dyDescent="0.35">
      <c r="A498" t="s">
        <v>2231</v>
      </c>
      <c r="B498" s="2">
        <v>45577</v>
      </c>
      <c r="C498">
        <v>1896</v>
      </c>
      <c r="D498">
        <v>4</v>
      </c>
      <c r="E498">
        <v>15</v>
      </c>
      <c r="F498">
        <v>5</v>
      </c>
      <c r="G498">
        <v>5</v>
      </c>
      <c r="H498">
        <v>3</v>
      </c>
      <c r="I498" t="str">
        <f t="shared" si="14"/>
        <v>553</v>
      </c>
      <c r="J498" t="s">
        <v>2303</v>
      </c>
      <c r="K498" t="s">
        <v>2299</v>
      </c>
      <c r="L498" t="str">
        <f t="shared" si="15"/>
        <v>Moderate Risk</v>
      </c>
      <c r="M498" t="str">
        <f>IFERROR(VLOOKUP(A507,Promo_Pivot!A:C,3,FALSE),"No")</f>
        <v>Yes</v>
      </c>
    </row>
    <row r="499" spans="1:13" x14ac:dyDescent="0.35">
      <c r="A499" t="s">
        <v>2232</v>
      </c>
      <c r="B499" s="2">
        <v>45475</v>
      </c>
      <c r="C499">
        <v>1212</v>
      </c>
      <c r="D499">
        <v>2</v>
      </c>
      <c r="E499">
        <v>117</v>
      </c>
      <c r="F499">
        <v>2</v>
      </c>
      <c r="G499">
        <v>3</v>
      </c>
      <c r="H499">
        <v>2</v>
      </c>
      <c r="I499" t="str">
        <f t="shared" si="14"/>
        <v>232</v>
      </c>
      <c r="J499" t="s">
        <v>2300</v>
      </c>
      <c r="K499" t="s">
        <v>2301</v>
      </c>
      <c r="L499" t="str">
        <f t="shared" si="15"/>
        <v>Very High Risk</v>
      </c>
      <c r="M499" t="str">
        <f>IFERROR(VLOOKUP(A508,Promo_Pivot!A:C,3,FALSE),"No")</f>
        <v>Yes</v>
      </c>
    </row>
    <row r="500" spans="1:13" x14ac:dyDescent="0.35">
      <c r="A500" t="s">
        <v>2233</v>
      </c>
      <c r="B500" s="2">
        <v>45498</v>
      </c>
      <c r="C500">
        <v>3645</v>
      </c>
      <c r="D500">
        <v>5</v>
      </c>
      <c r="E500">
        <v>94</v>
      </c>
      <c r="F500">
        <v>2</v>
      </c>
      <c r="G500">
        <v>5</v>
      </c>
      <c r="H500">
        <v>4</v>
      </c>
      <c r="I500" t="str">
        <f t="shared" si="14"/>
        <v>254</v>
      </c>
      <c r="J500" t="s">
        <v>2300</v>
      </c>
      <c r="K500" t="s">
        <v>2301</v>
      </c>
      <c r="L500" t="str">
        <f t="shared" si="15"/>
        <v>Very High Risk</v>
      </c>
      <c r="M500" t="str">
        <f>IFERROR(VLOOKUP(A509,Promo_Pivot!A:C,3,FALSE),"No")</f>
        <v>Yes</v>
      </c>
    </row>
    <row r="501" spans="1:13" x14ac:dyDescent="0.35">
      <c r="A501" t="s">
        <v>2234</v>
      </c>
      <c r="B501" s="2">
        <v>45473</v>
      </c>
      <c r="C501">
        <v>2183</v>
      </c>
      <c r="D501">
        <v>3</v>
      </c>
      <c r="E501">
        <v>119</v>
      </c>
      <c r="F501">
        <v>2</v>
      </c>
      <c r="G501">
        <v>4</v>
      </c>
      <c r="H501">
        <v>3</v>
      </c>
      <c r="I501" t="str">
        <f t="shared" si="14"/>
        <v>243</v>
      </c>
      <c r="J501" t="s">
        <v>2300</v>
      </c>
      <c r="K501" t="s">
        <v>2301</v>
      </c>
      <c r="L501" t="str">
        <f t="shared" si="15"/>
        <v>Very High Risk</v>
      </c>
      <c r="M501" t="str">
        <f>IFERROR(VLOOKUP(A510,Promo_Pivot!A:C,3,FALSE),"No")</f>
        <v>Yes</v>
      </c>
    </row>
    <row r="502" spans="1:13" x14ac:dyDescent="0.35">
      <c r="A502" t="s">
        <v>1740</v>
      </c>
      <c r="B502" s="2">
        <v>45431</v>
      </c>
      <c r="C502">
        <v>768</v>
      </c>
      <c r="D502">
        <v>1</v>
      </c>
      <c r="E502">
        <v>161</v>
      </c>
      <c r="F502">
        <v>1</v>
      </c>
      <c r="G502">
        <v>2</v>
      </c>
      <c r="H502">
        <v>1</v>
      </c>
      <c r="I502" t="str">
        <f t="shared" si="14"/>
        <v>121</v>
      </c>
      <c r="J502" t="s">
        <v>2300</v>
      </c>
      <c r="K502" t="s">
        <v>2301</v>
      </c>
      <c r="L502" t="str">
        <f t="shared" si="15"/>
        <v>Very High Risk</v>
      </c>
      <c r="M502" t="str">
        <f>IFERROR(VLOOKUP(A511,Promo_Pivot!A:C,3,FALSE),"No")</f>
        <v>Yes</v>
      </c>
    </row>
    <row r="503" spans="1:13" x14ac:dyDescent="0.35">
      <c r="A503" t="s">
        <v>2235</v>
      </c>
      <c r="B503" s="2">
        <v>45403</v>
      </c>
      <c r="C503">
        <v>2469</v>
      </c>
      <c r="D503">
        <v>2</v>
      </c>
      <c r="E503">
        <v>189</v>
      </c>
      <c r="F503">
        <v>1</v>
      </c>
      <c r="G503">
        <v>3</v>
      </c>
      <c r="H503">
        <v>3</v>
      </c>
      <c r="I503" t="str">
        <f t="shared" si="14"/>
        <v>133</v>
      </c>
      <c r="J503" t="s">
        <v>2300</v>
      </c>
      <c r="K503" t="s">
        <v>2301</v>
      </c>
      <c r="L503" t="str">
        <f t="shared" si="15"/>
        <v>Low Risk</v>
      </c>
      <c r="M503" t="str">
        <f>IFERROR(VLOOKUP(A512,Promo_Pivot!A:C,3,FALSE),"No")</f>
        <v>Yes</v>
      </c>
    </row>
    <row r="504" spans="1:13" x14ac:dyDescent="0.35">
      <c r="A504" t="s">
        <v>2236</v>
      </c>
      <c r="B504" s="2">
        <v>45469</v>
      </c>
      <c r="C504">
        <v>657</v>
      </c>
      <c r="D504">
        <v>2</v>
      </c>
      <c r="E504">
        <v>123</v>
      </c>
      <c r="F504">
        <v>2</v>
      </c>
      <c r="G504">
        <v>3</v>
      </c>
      <c r="H504">
        <v>1</v>
      </c>
      <c r="I504" t="str">
        <f t="shared" si="14"/>
        <v>231</v>
      </c>
      <c r="J504" t="s">
        <v>2300</v>
      </c>
      <c r="K504" t="s">
        <v>2301</v>
      </c>
      <c r="L504" t="str">
        <f t="shared" si="15"/>
        <v>Very High Risk</v>
      </c>
      <c r="M504" t="str">
        <f>IFERROR(VLOOKUP(A513,Promo_Pivot!A:C,3,FALSE),"No")</f>
        <v>Yes</v>
      </c>
    </row>
    <row r="505" spans="1:13" x14ac:dyDescent="0.35">
      <c r="A505" t="s">
        <v>2237</v>
      </c>
      <c r="B505" s="2">
        <v>45574</v>
      </c>
      <c r="C505">
        <v>6130</v>
      </c>
      <c r="D505">
        <v>5</v>
      </c>
      <c r="E505">
        <v>18</v>
      </c>
      <c r="F505">
        <v>5</v>
      </c>
      <c r="G505">
        <v>5</v>
      </c>
      <c r="H505">
        <v>5</v>
      </c>
      <c r="I505" t="str">
        <f t="shared" si="14"/>
        <v>555</v>
      </c>
      <c r="J505" t="s">
        <v>2304</v>
      </c>
      <c r="K505" t="s">
        <v>2299</v>
      </c>
      <c r="L505" t="str">
        <f t="shared" si="15"/>
        <v>Low Risk</v>
      </c>
      <c r="M505" t="str">
        <f>IFERROR(VLOOKUP(A514,Promo_Pivot!A:C,3,FALSE),"No")</f>
        <v>Yes</v>
      </c>
    </row>
    <row r="506" spans="1:13" x14ac:dyDescent="0.35">
      <c r="A506" t="s">
        <v>2238</v>
      </c>
      <c r="B506" s="2">
        <v>45557</v>
      </c>
      <c r="C506">
        <v>2871</v>
      </c>
      <c r="D506">
        <v>4</v>
      </c>
      <c r="E506">
        <v>35</v>
      </c>
      <c r="F506">
        <v>4</v>
      </c>
      <c r="G506">
        <v>5</v>
      </c>
      <c r="H506">
        <v>4</v>
      </c>
      <c r="I506" t="str">
        <f t="shared" si="14"/>
        <v>454</v>
      </c>
      <c r="J506" t="s">
        <v>2304</v>
      </c>
      <c r="K506" t="s">
        <v>2299</v>
      </c>
      <c r="L506" t="str">
        <f t="shared" si="15"/>
        <v>Moderate Risk</v>
      </c>
      <c r="M506" t="str">
        <f>IFERROR(VLOOKUP(A515,Promo_Pivot!A:C,3,FALSE),"No")</f>
        <v>Yes</v>
      </c>
    </row>
    <row r="507" spans="1:13" x14ac:dyDescent="0.35">
      <c r="A507" t="s">
        <v>2239</v>
      </c>
      <c r="B507" s="2">
        <v>45590</v>
      </c>
      <c r="C507">
        <v>5692</v>
      </c>
      <c r="D507">
        <v>5</v>
      </c>
      <c r="E507">
        <v>2</v>
      </c>
      <c r="F507">
        <v>5</v>
      </c>
      <c r="G507">
        <v>5</v>
      </c>
      <c r="H507">
        <v>5</v>
      </c>
      <c r="I507" t="str">
        <f t="shared" si="14"/>
        <v>555</v>
      </c>
      <c r="J507" t="s">
        <v>2304</v>
      </c>
      <c r="K507" t="s">
        <v>2299</v>
      </c>
      <c r="L507" t="str">
        <f t="shared" si="15"/>
        <v>Moderate Risk</v>
      </c>
      <c r="M507" t="str">
        <f>IFERROR(VLOOKUP(A516,Promo_Pivot!A:C,3,FALSE),"No")</f>
        <v>Yes</v>
      </c>
    </row>
    <row r="508" spans="1:13" x14ac:dyDescent="0.35">
      <c r="A508" t="s">
        <v>2240</v>
      </c>
      <c r="B508" s="2">
        <v>45450</v>
      </c>
      <c r="C508">
        <v>2212</v>
      </c>
      <c r="D508">
        <v>2</v>
      </c>
      <c r="E508">
        <v>142</v>
      </c>
      <c r="F508">
        <v>2</v>
      </c>
      <c r="G508">
        <v>3</v>
      </c>
      <c r="H508">
        <v>3</v>
      </c>
      <c r="I508" t="str">
        <f t="shared" si="14"/>
        <v>233</v>
      </c>
      <c r="J508" t="s">
        <v>2300</v>
      </c>
      <c r="K508" t="s">
        <v>2301</v>
      </c>
      <c r="L508" t="str">
        <f t="shared" si="15"/>
        <v>Low Risk</v>
      </c>
      <c r="M508" t="str">
        <f>IFERROR(VLOOKUP(A517,Promo_Pivot!A:C,3,FALSE),"No")</f>
        <v>Yes</v>
      </c>
    </row>
    <row r="509" spans="1:13" x14ac:dyDescent="0.35">
      <c r="A509" t="s">
        <v>2241</v>
      </c>
      <c r="B509" s="2">
        <v>45508</v>
      </c>
      <c r="C509">
        <v>915</v>
      </c>
      <c r="D509">
        <v>2</v>
      </c>
      <c r="E509">
        <v>84</v>
      </c>
      <c r="F509">
        <v>3</v>
      </c>
      <c r="G509">
        <v>3</v>
      </c>
      <c r="H509">
        <v>2</v>
      </c>
      <c r="I509" t="str">
        <f t="shared" si="14"/>
        <v>332</v>
      </c>
      <c r="J509" t="s">
        <v>2302</v>
      </c>
      <c r="K509" t="s">
        <v>2299</v>
      </c>
      <c r="L509" t="str">
        <f t="shared" si="15"/>
        <v>High Risk</v>
      </c>
      <c r="M509" t="str">
        <f>IFERROR(VLOOKUP(A518,Promo_Pivot!A:C,3,FALSE),"No")</f>
        <v>Yes</v>
      </c>
    </row>
    <row r="510" spans="1:13" x14ac:dyDescent="0.35">
      <c r="A510" t="s">
        <v>2242</v>
      </c>
      <c r="B510" s="2">
        <v>45577</v>
      </c>
      <c r="C510">
        <v>1973</v>
      </c>
      <c r="D510">
        <v>4</v>
      </c>
      <c r="E510">
        <v>15</v>
      </c>
      <c r="F510">
        <v>5</v>
      </c>
      <c r="G510">
        <v>5</v>
      </c>
      <c r="H510">
        <v>3</v>
      </c>
      <c r="I510" t="str">
        <f t="shared" si="14"/>
        <v>553</v>
      </c>
      <c r="J510" t="s">
        <v>2303</v>
      </c>
      <c r="K510" t="s">
        <v>2299</v>
      </c>
      <c r="L510" t="str">
        <f t="shared" si="15"/>
        <v>Moderate Risk</v>
      </c>
      <c r="M510" t="str">
        <f>IFERROR(VLOOKUP(A519,Promo_Pivot!A:C,3,FALSE),"No")</f>
        <v>Yes</v>
      </c>
    </row>
    <row r="511" spans="1:13" x14ac:dyDescent="0.35">
      <c r="A511" t="s">
        <v>2243</v>
      </c>
      <c r="B511" s="2">
        <v>45517</v>
      </c>
      <c r="C511">
        <v>3074</v>
      </c>
      <c r="D511">
        <v>5</v>
      </c>
      <c r="E511">
        <v>75</v>
      </c>
      <c r="F511">
        <v>3</v>
      </c>
      <c r="G511">
        <v>5</v>
      </c>
      <c r="H511">
        <v>4</v>
      </c>
      <c r="I511" t="str">
        <f t="shared" si="14"/>
        <v>354</v>
      </c>
      <c r="J511" t="s">
        <v>2303</v>
      </c>
      <c r="K511" t="s">
        <v>2299</v>
      </c>
      <c r="L511" t="str">
        <f t="shared" si="15"/>
        <v>High Risk</v>
      </c>
      <c r="M511" t="str">
        <f>IFERROR(VLOOKUP(A520,Promo_Pivot!A:C,3,FALSE),"No")</f>
        <v>Yes</v>
      </c>
    </row>
    <row r="512" spans="1:13" x14ac:dyDescent="0.35">
      <c r="A512" t="s">
        <v>2244</v>
      </c>
      <c r="B512" s="2">
        <v>45539</v>
      </c>
      <c r="C512">
        <v>3025</v>
      </c>
      <c r="D512">
        <v>3</v>
      </c>
      <c r="E512">
        <v>53</v>
      </c>
      <c r="F512">
        <v>4</v>
      </c>
      <c r="G512">
        <v>4</v>
      </c>
      <c r="H512">
        <v>4</v>
      </c>
      <c r="I512" t="str">
        <f t="shared" si="14"/>
        <v>444</v>
      </c>
      <c r="J512" t="s">
        <v>2304</v>
      </c>
      <c r="K512" t="s">
        <v>2299</v>
      </c>
      <c r="L512" t="str">
        <f t="shared" si="15"/>
        <v>Moderate Risk</v>
      </c>
      <c r="M512" t="str">
        <f>IFERROR(VLOOKUP(A521,Promo_Pivot!A:C,3,FALSE),"No")</f>
        <v>Yes</v>
      </c>
    </row>
    <row r="513" spans="1:13" x14ac:dyDescent="0.35">
      <c r="A513" t="s">
        <v>1741</v>
      </c>
      <c r="B513" s="2">
        <v>45545</v>
      </c>
      <c r="C513">
        <v>712</v>
      </c>
      <c r="D513">
        <v>1</v>
      </c>
      <c r="E513">
        <v>47</v>
      </c>
      <c r="F513">
        <v>4</v>
      </c>
      <c r="G513">
        <v>2</v>
      </c>
      <c r="H513">
        <v>1</v>
      </c>
      <c r="I513" t="str">
        <f t="shared" si="14"/>
        <v>421</v>
      </c>
      <c r="J513" t="s">
        <v>2298</v>
      </c>
      <c r="K513" t="s">
        <v>2299</v>
      </c>
      <c r="L513" t="str">
        <f t="shared" si="15"/>
        <v>Moderate Risk</v>
      </c>
      <c r="M513" t="str">
        <f>IFERROR(VLOOKUP(A522,Promo_Pivot!A:C,3,FALSE),"No")</f>
        <v>Yes</v>
      </c>
    </row>
    <row r="514" spans="1:13" x14ac:dyDescent="0.35">
      <c r="A514" t="s">
        <v>2245</v>
      </c>
      <c r="B514" s="2">
        <v>45467</v>
      </c>
      <c r="C514">
        <v>2591</v>
      </c>
      <c r="D514">
        <v>4</v>
      </c>
      <c r="E514">
        <v>125</v>
      </c>
      <c r="F514">
        <v>2</v>
      </c>
      <c r="G514">
        <v>5</v>
      </c>
      <c r="H514">
        <v>4</v>
      </c>
      <c r="I514" t="str">
        <f t="shared" si="14"/>
        <v>254</v>
      </c>
      <c r="J514" t="s">
        <v>2300</v>
      </c>
      <c r="K514" t="s">
        <v>2301</v>
      </c>
      <c r="L514" t="str">
        <f t="shared" si="15"/>
        <v>Low Risk</v>
      </c>
      <c r="M514" t="str">
        <f>IFERROR(VLOOKUP(A523,Promo_Pivot!A:C,3,FALSE),"No")</f>
        <v>Yes</v>
      </c>
    </row>
    <row r="515" spans="1:13" x14ac:dyDescent="0.35">
      <c r="A515" t="s">
        <v>2246</v>
      </c>
      <c r="B515" s="2">
        <v>45538</v>
      </c>
      <c r="C515">
        <v>2469</v>
      </c>
      <c r="D515">
        <v>2</v>
      </c>
      <c r="E515">
        <v>54</v>
      </c>
      <c r="F515">
        <v>3</v>
      </c>
      <c r="G515">
        <v>3</v>
      </c>
      <c r="H515">
        <v>3</v>
      </c>
      <c r="I515" t="str">
        <f t="shared" ref="I515:I578" si="16">F515&amp;G515&amp;H515</f>
        <v>333</v>
      </c>
      <c r="J515" t="s">
        <v>2303</v>
      </c>
      <c r="K515" t="s">
        <v>2299</v>
      </c>
      <c r="L515" t="str">
        <f t="shared" ref="L515:L578" si="17">IF(E517&lt;=30,"Low Risk",
IF(E515&lt;=60,"Moderate Risk",
IF(E515&lt;=90,"High Risk",
IF(E515&lt;=180,"Very High Risk","Critical Risk"))))</f>
        <v>Moderate Risk</v>
      </c>
      <c r="M515" t="str">
        <f>IFERROR(VLOOKUP(A524,Promo_Pivot!A:C,3,FALSE),"No")</f>
        <v>Yes</v>
      </c>
    </row>
    <row r="516" spans="1:13" x14ac:dyDescent="0.35">
      <c r="A516" t="s">
        <v>2247</v>
      </c>
      <c r="B516" s="2">
        <v>45567</v>
      </c>
      <c r="C516">
        <v>657</v>
      </c>
      <c r="D516">
        <v>2</v>
      </c>
      <c r="E516">
        <v>25</v>
      </c>
      <c r="F516">
        <v>5</v>
      </c>
      <c r="G516">
        <v>3</v>
      </c>
      <c r="H516">
        <v>1</v>
      </c>
      <c r="I516" t="str">
        <f t="shared" si="16"/>
        <v>531</v>
      </c>
      <c r="J516" t="s">
        <v>2298</v>
      </c>
      <c r="K516" t="s">
        <v>2299</v>
      </c>
      <c r="L516" t="str">
        <f t="shared" si="17"/>
        <v>Moderate Risk</v>
      </c>
      <c r="M516" t="str">
        <f>IFERROR(VLOOKUP(A525,Promo_Pivot!A:C,3,FALSE),"No")</f>
        <v>Yes</v>
      </c>
    </row>
    <row r="517" spans="1:13" x14ac:dyDescent="0.35">
      <c r="A517" t="s">
        <v>2248</v>
      </c>
      <c r="B517" s="2">
        <v>45547</v>
      </c>
      <c r="C517">
        <v>6130</v>
      </c>
      <c r="D517">
        <v>5</v>
      </c>
      <c r="E517">
        <v>45</v>
      </c>
      <c r="F517">
        <v>4</v>
      </c>
      <c r="G517">
        <v>5</v>
      </c>
      <c r="H517">
        <v>5</v>
      </c>
      <c r="I517" t="str">
        <f t="shared" si="16"/>
        <v>455</v>
      </c>
      <c r="J517" t="s">
        <v>2304</v>
      </c>
      <c r="K517" t="s">
        <v>2299</v>
      </c>
      <c r="L517" t="str">
        <f t="shared" si="17"/>
        <v>Moderate Risk</v>
      </c>
      <c r="M517" t="str">
        <f>IFERROR(VLOOKUP(A526,Promo_Pivot!A:C,3,FALSE),"No")</f>
        <v>Yes</v>
      </c>
    </row>
    <row r="518" spans="1:13" x14ac:dyDescent="0.35">
      <c r="A518" t="s">
        <v>2249</v>
      </c>
      <c r="B518" s="2">
        <v>45509</v>
      </c>
      <c r="C518">
        <v>2871</v>
      </c>
      <c r="D518">
        <v>4</v>
      </c>
      <c r="E518">
        <v>83</v>
      </c>
      <c r="F518">
        <v>3</v>
      </c>
      <c r="G518">
        <v>5</v>
      </c>
      <c r="H518">
        <v>4</v>
      </c>
      <c r="I518" t="str">
        <f t="shared" si="16"/>
        <v>354</v>
      </c>
      <c r="J518" t="s">
        <v>2303</v>
      </c>
      <c r="K518" t="s">
        <v>2299</v>
      </c>
      <c r="L518" t="str">
        <f t="shared" si="17"/>
        <v>High Risk</v>
      </c>
      <c r="M518" t="str">
        <f>IFERROR(VLOOKUP(A527,Promo_Pivot!A:C,3,FALSE),"No")</f>
        <v>Yes</v>
      </c>
    </row>
    <row r="519" spans="1:13" x14ac:dyDescent="0.35">
      <c r="A519" t="s">
        <v>2250</v>
      </c>
      <c r="B519" s="2">
        <v>45371</v>
      </c>
      <c r="C519">
        <v>2101</v>
      </c>
      <c r="D519">
        <v>2</v>
      </c>
      <c r="E519">
        <v>221</v>
      </c>
      <c r="F519">
        <v>1</v>
      </c>
      <c r="G519">
        <v>3</v>
      </c>
      <c r="H519">
        <v>3</v>
      </c>
      <c r="I519" t="str">
        <f t="shared" si="16"/>
        <v>133</v>
      </c>
      <c r="J519" t="s">
        <v>2300</v>
      </c>
      <c r="K519" t="s">
        <v>2301</v>
      </c>
      <c r="L519" t="str">
        <f t="shared" si="17"/>
        <v>Critical Risk</v>
      </c>
      <c r="M519" t="str">
        <f>IFERROR(VLOOKUP(A528,Promo_Pivot!A:C,3,FALSE),"No")</f>
        <v>Yes</v>
      </c>
    </row>
    <row r="520" spans="1:13" x14ac:dyDescent="0.35">
      <c r="A520" t="s">
        <v>2251</v>
      </c>
      <c r="B520" s="2">
        <v>45520</v>
      </c>
      <c r="C520">
        <v>5803</v>
      </c>
      <c r="D520">
        <v>5</v>
      </c>
      <c r="E520">
        <v>72</v>
      </c>
      <c r="F520">
        <v>3</v>
      </c>
      <c r="G520">
        <v>5</v>
      </c>
      <c r="H520">
        <v>5</v>
      </c>
      <c r="I520" t="str">
        <f t="shared" si="16"/>
        <v>355</v>
      </c>
      <c r="J520" t="s">
        <v>2303</v>
      </c>
      <c r="K520" t="s">
        <v>2299</v>
      </c>
      <c r="L520" t="str">
        <f t="shared" si="17"/>
        <v>Low Risk</v>
      </c>
      <c r="M520" t="str">
        <f>IFERROR(VLOOKUP(A529,Promo_Pivot!A:C,3,FALSE),"No")</f>
        <v>Yes</v>
      </c>
    </row>
    <row r="521" spans="1:13" x14ac:dyDescent="0.35">
      <c r="A521" t="s">
        <v>2252</v>
      </c>
      <c r="B521" s="2">
        <v>45523</v>
      </c>
      <c r="C521">
        <v>2522</v>
      </c>
      <c r="D521">
        <v>5</v>
      </c>
      <c r="E521">
        <v>69</v>
      </c>
      <c r="F521">
        <v>3</v>
      </c>
      <c r="G521">
        <v>5</v>
      </c>
      <c r="H521">
        <v>3</v>
      </c>
      <c r="I521" t="str">
        <f t="shared" si="16"/>
        <v>353</v>
      </c>
      <c r="J521" t="s">
        <v>2303</v>
      </c>
      <c r="K521" t="s">
        <v>2299</v>
      </c>
      <c r="L521" t="str">
        <f t="shared" si="17"/>
        <v>Low Risk</v>
      </c>
      <c r="M521" t="str">
        <f>IFERROR(VLOOKUP(A530,Promo_Pivot!A:C,3,FALSE),"No")</f>
        <v>Yes</v>
      </c>
    </row>
    <row r="522" spans="1:13" x14ac:dyDescent="0.35">
      <c r="A522" t="s">
        <v>2253</v>
      </c>
      <c r="B522" s="2">
        <v>45582</v>
      </c>
      <c r="C522">
        <v>1558</v>
      </c>
      <c r="D522">
        <v>2</v>
      </c>
      <c r="E522">
        <v>10</v>
      </c>
      <c r="F522">
        <v>5</v>
      </c>
      <c r="G522">
        <v>3</v>
      </c>
      <c r="H522">
        <v>2</v>
      </c>
      <c r="I522" t="str">
        <f t="shared" si="16"/>
        <v>532</v>
      </c>
      <c r="J522" t="s">
        <v>2298</v>
      </c>
      <c r="K522" t="s">
        <v>2299</v>
      </c>
      <c r="L522" t="str">
        <f t="shared" si="17"/>
        <v>Moderate Risk</v>
      </c>
      <c r="M522" t="str">
        <f>IFERROR(VLOOKUP(A531,Promo_Pivot!A:C,3,FALSE),"No")</f>
        <v>Yes</v>
      </c>
    </row>
    <row r="523" spans="1:13" x14ac:dyDescent="0.35">
      <c r="A523" t="s">
        <v>2254</v>
      </c>
      <c r="B523" s="2">
        <v>45588</v>
      </c>
      <c r="C523">
        <v>1882</v>
      </c>
      <c r="D523">
        <v>4</v>
      </c>
      <c r="E523">
        <v>4</v>
      </c>
      <c r="F523">
        <v>5</v>
      </c>
      <c r="G523">
        <v>5</v>
      </c>
      <c r="H523">
        <v>3</v>
      </c>
      <c r="I523" t="str">
        <f t="shared" si="16"/>
        <v>553</v>
      </c>
      <c r="J523" t="s">
        <v>2303</v>
      </c>
      <c r="K523" t="s">
        <v>2299</v>
      </c>
      <c r="L523" t="str">
        <f t="shared" si="17"/>
        <v>Moderate Risk</v>
      </c>
      <c r="M523" t="str">
        <f>IFERROR(VLOOKUP(A532,Promo_Pivot!A:C,3,FALSE),"No")</f>
        <v>Yes</v>
      </c>
    </row>
    <row r="524" spans="1:13" x14ac:dyDescent="0.35">
      <c r="A524" t="s">
        <v>1742</v>
      </c>
      <c r="B524" s="2">
        <v>45372</v>
      </c>
      <c r="C524">
        <v>481</v>
      </c>
      <c r="D524">
        <v>1</v>
      </c>
      <c r="E524">
        <v>220</v>
      </c>
      <c r="F524">
        <v>1</v>
      </c>
      <c r="G524">
        <v>2</v>
      </c>
      <c r="H524">
        <v>1</v>
      </c>
      <c r="I524" t="str">
        <f t="shared" si="16"/>
        <v>121</v>
      </c>
      <c r="J524" t="s">
        <v>2300</v>
      </c>
      <c r="K524" t="s">
        <v>2301</v>
      </c>
      <c r="L524" t="str">
        <f t="shared" si="17"/>
        <v>Low Risk</v>
      </c>
      <c r="M524" t="str">
        <f>IFERROR(VLOOKUP(A533,Promo_Pivot!A:C,3,FALSE),"No")</f>
        <v>Yes</v>
      </c>
    </row>
    <row r="525" spans="1:13" x14ac:dyDescent="0.35">
      <c r="A525" t="s">
        <v>2255</v>
      </c>
      <c r="B525" s="2">
        <v>45547</v>
      </c>
      <c r="C525">
        <v>3025</v>
      </c>
      <c r="D525">
        <v>3</v>
      </c>
      <c r="E525">
        <v>45</v>
      </c>
      <c r="F525">
        <v>4</v>
      </c>
      <c r="G525">
        <v>4</v>
      </c>
      <c r="H525">
        <v>4</v>
      </c>
      <c r="I525" t="str">
        <f t="shared" si="16"/>
        <v>444</v>
      </c>
      <c r="J525" t="s">
        <v>2304</v>
      </c>
      <c r="K525" t="s">
        <v>2299</v>
      </c>
      <c r="L525" t="str">
        <f t="shared" si="17"/>
        <v>Moderate Risk</v>
      </c>
      <c r="M525" t="str">
        <f>IFERROR(VLOOKUP(A534,Promo_Pivot!A:C,3,FALSE),"No")</f>
        <v>Yes</v>
      </c>
    </row>
    <row r="526" spans="1:13" x14ac:dyDescent="0.35">
      <c r="A526" t="s">
        <v>2256</v>
      </c>
      <c r="B526" s="2">
        <v>45591</v>
      </c>
      <c r="C526">
        <v>3866</v>
      </c>
      <c r="D526">
        <v>5</v>
      </c>
      <c r="E526">
        <v>1</v>
      </c>
      <c r="F526">
        <v>5</v>
      </c>
      <c r="G526">
        <v>5</v>
      </c>
      <c r="H526">
        <v>5</v>
      </c>
      <c r="I526" t="str">
        <f t="shared" si="16"/>
        <v>555</v>
      </c>
      <c r="J526" t="s">
        <v>2304</v>
      </c>
      <c r="K526" t="s">
        <v>2299</v>
      </c>
      <c r="L526" t="str">
        <f t="shared" si="17"/>
        <v>Moderate Risk</v>
      </c>
      <c r="M526" t="str">
        <f>IFERROR(VLOOKUP(A535,Promo_Pivot!A:C,3,FALSE),"No")</f>
        <v>Yes</v>
      </c>
    </row>
    <row r="527" spans="1:13" x14ac:dyDescent="0.35">
      <c r="A527" t="s">
        <v>2257</v>
      </c>
      <c r="B527" s="2">
        <v>45470</v>
      </c>
      <c r="C527">
        <v>1851</v>
      </c>
      <c r="D527">
        <v>3</v>
      </c>
      <c r="E527">
        <v>122</v>
      </c>
      <c r="F527">
        <v>2</v>
      </c>
      <c r="G527">
        <v>4</v>
      </c>
      <c r="H527">
        <v>3</v>
      </c>
      <c r="I527" t="str">
        <f t="shared" si="16"/>
        <v>243</v>
      </c>
      <c r="J527" t="s">
        <v>2300</v>
      </c>
      <c r="K527" t="s">
        <v>2301</v>
      </c>
      <c r="L527" t="str">
        <f t="shared" si="17"/>
        <v>Very High Risk</v>
      </c>
      <c r="M527" t="str">
        <f>IFERROR(VLOOKUP(A536,Promo_Pivot!A:C,3,FALSE),"No")</f>
        <v>Yes</v>
      </c>
    </row>
    <row r="528" spans="1:13" x14ac:dyDescent="0.35">
      <c r="A528" t="s">
        <v>2258</v>
      </c>
      <c r="B528" s="2">
        <v>45533</v>
      </c>
      <c r="C528">
        <v>3286</v>
      </c>
      <c r="D528">
        <v>3</v>
      </c>
      <c r="E528">
        <v>59</v>
      </c>
      <c r="F528">
        <v>3</v>
      </c>
      <c r="G528">
        <v>4</v>
      </c>
      <c r="H528">
        <v>4</v>
      </c>
      <c r="I528" t="str">
        <f t="shared" si="16"/>
        <v>344</v>
      </c>
      <c r="J528" t="s">
        <v>2303</v>
      </c>
      <c r="K528" t="s">
        <v>2299</v>
      </c>
      <c r="L528" t="str">
        <f t="shared" si="17"/>
        <v>Moderate Risk</v>
      </c>
      <c r="M528" t="str">
        <f>IFERROR(VLOOKUP(A537,Promo_Pivot!A:C,3,FALSE),"No")</f>
        <v>Yes</v>
      </c>
    </row>
    <row r="529" spans="1:13" x14ac:dyDescent="0.35">
      <c r="A529" t="s">
        <v>2259</v>
      </c>
      <c r="B529" s="2">
        <v>45557</v>
      </c>
      <c r="C529">
        <v>3744</v>
      </c>
      <c r="D529">
        <v>3</v>
      </c>
      <c r="E529">
        <v>35</v>
      </c>
      <c r="F529">
        <v>4</v>
      </c>
      <c r="G529">
        <v>4</v>
      </c>
      <c r="H529">
        <v>5</v>
      </c>
      <c r="I529" t="str">
        <f t="shared" si="16"/>
        <v>445</v>
      </c>
      <c r="J529" t="s">
        <v>2304</v>
      </c>
      <c r="K529" t="s">
        <v>2299</v>
      </c>
      <c r="L529" t="str">
        <f t="shared" si="17"/>
        <v>Low Risk</v>
      </c>
      <c r="M529" t="str">
        <f>IFERROR(VLOOKUP(A538,Promo_Pivot!A:C,3,FALSE),"No")</f>
        <v>Yes</v>
      </c>
    </row>
    <row r="530" spans="1:13" x14ac:dyDescent="0.35">
      <c r="A530" t="s">
        <v>2260</v>
      </c>
      <c r="B530" s="2">
        <v>45494</v>
      </c>
      <c r="C530">
        <v>3256</v>
      </c>
      <c r="D530">
        <v>4</v>
      </c>
      <c r="E530">
        <v>98</v>
      </c>
      <c r="F530">
        <v>2</v>
      </c>
      <c r="G530">
        <v>5</v>
      </c>
      <c r="H530">
        <v>4</v>
      </c>
      <c r="I530" t="str">
        <f t="shared" si="16"/>
        <v>254</v>
      </c>
      <c r="J530" t="s">
        <v>2300</v>
      </c>
      <c r="K530" t="s">
        <v>2301</v>
      </c>
      <c r="L530" t="str">
        <f t="shared" si="17"/>
        <v>Very High Risk</v>
      </c>
      <c r="M530" t="str">
        <f>IFERROR(VLOOKUP(A539,Promo_Pivot!A:C,3,FALSE),"No")</f>
        <v>Yes</v>
      </c>
    </row>
    <row r="531" spans="1:13" x14ac:dyDescent="0.35">
      <c r="A531" t="s">
        <v>2261</v>
      </c>
      <c r="B531" s="2">
        <v>45577</v>
      </c>
      <c r="C531">
        <v>4939</v>
      </c>
      <c r="D531">
        <v>5</v>
      </c>
      <c r="E531">
        <v>15</v>
      </c>
      <c r="F531">
        <v>5</v>
      </c>
      <c r="G531">
        <v>5</v>
      </c>
      <c r="H531">
        <v>5</v>
      </c>
      <c r="I531" t="str">
        <f t="shared" si="16"/>
        <v>555</v>
      </c>
      <c r="J531" t="s">
        <v>2304</v>
      </c>
      <c r="K531" t="s">
        <v>2299</v>
      </c>
      <c r="L531" t="str">
        <f t="shared" si="17"/>
        <v>Low Risk</v>
      </c>
      <c r="M531" t="str">
        <f>IFERROR(VLOOKUP(A540,Promo_Pivot!A:C,3,FALSE),"No")</f>
        <v>Yes</v>
      </c>
    </row>
    <row r="532" spans="1:13" x14ac:dyDescent="0.35">
      <c r="A532" t="s">
        <v>2262</v>
      </c>
      <c r="B532" s="2">
        <v>45426</v>
      </c>
      <c r="C532">
        <v>3085</v>
      </c>
      <c r="D532">
        <v>4</v>
      </c>
      <c r="E532">
        <v>166</v>
      </c>
      <c r="F532">
        <v>1</v>
      </c>
      <c r="G532">
        <v>5</v>
      </c>
      <c r="H532">
        <v>4</v>
      </c>
      <c r="I532" t="str">
        <f t="shared" si="16"/>
        <v>154</v>
      </c>
      <c r="J532" t="s">
        <v>2300</v>
      </c>
      <c r="K532" t="s">
        <v>2301</v>
      </c>
      <c r="L532" t="str">
        <f t="shared" si="17"/>
        <v>Low Risk</v>
      </c>
      <c r="M532" t="str">
        <f>IFERROR(VLOOKUP(A541,Promo_Pivot!A:C,3,FALSE),"No")</f>
        <v>Yes</v>
      </c>
    </row>
    <row r="533" spans="1:13" x14ac:dyDescent="0.35">
      <c r="A533" t="s">
        <v>2263</v>
      </c>
      <c r="B533" s="2">
        <v>45568</v>
      </c>
      <c r="C533">
        <v>1483</v>
      </c>
      <c r="D533">
        <v>3</v>
      </c>
      <c r="E533">
        <v>24</v>
      </c>
      <c r="F533">
        <v>5</v>
      </c>
      <c r="G533">
        <v>4</v>
      </c>
      <c r="H533">
        <v>2</v>
      </c>
      <c r="I533" t="str">
        <f t="shared" si="16"/>
        <v>542</v>
      </c>
      <c r="J533" t="s">
        <v>2298</v>
      </c>
      <c r="K533" t="s">
        <v>2299</v>
      </c>
      <c r="L533" t="str">
        <f t="shared" si="17"/>
        <v>Moderate Risk</v>
      </c>
      <c r="M533" t="str">
        <f>IFERROR(VLOOKUP(A542,Promo_Pivot!A:C,3,FALSE),"No")</f>
        <v>Yes</v>
      </c>
    </row>
    <row r="534" spans="1:13" x14ac:dyDescent="0.35">
      <c r="A534" t="s">
        <v>2264</v>
      </c>
      <c r="B534" s="2">
        <v>45576</v>
      </c>
      <c r="C534">
        <v>3074</v>
      </c>
      <c r="D534">
        <v>5</v>
      </c>
      <c r="E534">
        <v>16</v>
      </c>
      <c r="F534">
        <v>5</v>
      </c>
      <c r="G534">
        <v>5</v>
      </c>
      <c r="H534">
        <v>4</v>
      </c>
      <c r="I534" t="str">
        <f t="shared" si="16"/>
        <v>554</v>
      </c>
      <c r="J534" t="s">
        <v>2304</v>
      </c>
      <c r="K534" t="s">
        <v>2299</v>
      </c>
      <c r="L534" t="str">
        <f t="shared" si="17"/>
        <v>Moderate Risk</v>
      </c>
      <c r="M534" t="str">
        <f>IFERROR(VLOOKUP(A543,Promo_Pivot!A:C,3,FALSE),"No")</f>
        <v>Yes</v>
      </c>
    </row>
    <row r="535" spans="1:13" x14ac:dyDescent="0.35">
      <c r="A535" t="s">
        <v>1743</v>
      </c>
      <c r="B535" s="2">
        <v>45490</v>
      </c>
      <c r="C535">
        <v>600</v>
      </c>
      <c r="D535">
        <v>1</v>
      </c>
      <c r="E535">
        <v>102</v>
      </c>
      <c r="F535">
        <v>2</v>
      </c>
      <c r="G535">
        <v>2</v>
      </c>
      <c r="H535">
        <v>1</v>
      </c>
      <c r="I535" t="str">
        <f t="shared" si="16"/>
        <v>221</v>
      </c>
      <c r="J535" t="s">
        <v>2300</v>
      </c>
      <c r="K535" t="s">
        <v>2301</v>
      </c>
      <c r="L535" t="str">
        <f t="shared" si="17"/>
        <v>Very High Risk</v>
      </c>
      <c r="M535" t="str">
        <f>IFERROR(VLOOKUP(A544,Promo_Pivot!A:C,3,FALSE),"No")</f>
        <v>Yes</v>
      </c>
    </row>
    <row r="536" spans="1:13" x14ac:dyDescent="0.35">
      <c r="A536" t="s">
        <v>2265</v>
      </c>
      <c r="B536" s="2">
        <v>45495</v>
      </c>
      <c r="C536">
        <v>4368</v>
      </c>
      <c r="D536">
        <v>5</v>
      </c>
      <c r="E536">
        <v>97</v>
      </c>
      <c r="F536">
        <v>2</v>
      </c>
      <c r="G536">
        <v>5</v>
      </c>
      <c r="H536">
        <v>5</v>
      </c>
      <c r="I536" t="str">
        <f t="shared" si="16"/>
        <v>255</v>
      </c>
      <c r="J536" t="s">
        <v>2300</v>
      </c>
      <c r="K536" t="s">
        <v>2301</v>
      </c>
      <c r="L536" t="str">
        <f t="shared" si="17"/>
        <v>Very High Risk</v>
      </c>
      <c r="M536" t="str">
        <f>IFERROR(VLOOKUP(A545,Promo_Pivot!A:C,3,FALSE),"No")</f>
        <v>Yes</v>
      </c>
    </row>
    <row r="537" spans="1:13" x14ac:dyDescent="0.35">
      <c r="A537" t="s">
        <v>2266</v>
      </c>
      <c r="B537" s="2">
        <v>45481</v>
      </c>
      <c r="C537">
        <v>1248</v>
      </c>
      <c r="D537">
        <v>2</v>
      </c>
      <c r="E537">
        <v>111</v>
      </c>
      <c r="F537">
        <v>2</v>
      </c>
      <c r="G537">
        <v>3</v>
      </c>
      <c r="H537">
        <v>2</v>
      </c>
      <c r="I537" t="str">
        <f t="shared" si="16"/>
        <v>232</v>
      </c>
      <c r="J537" t="s">
        <v>2300</v>
      </c>
      <c r="K537" t="s">
        <v>2301</v>
      </c>
      <c r="L537" t="str">
        <f t="shared" si="17"/>
        <v>Very High Risk</v>
      </c>
      <c r="M537" t="str">
        <f>IFERROR(VLOOKUP(A546,Promo_Pivot!A:C,3,FALSE),"No")</f>
        <v>Yes</v>
      </c>
    </row>
    <row r="538" spans="1:13" x14ac:dyDescent="0.35">
      <c r="A538" t="s">
        <v>2267</v>
      </c>
      <c r="B538" s="2">
        <v>45495</v>
      </c>
      <c r="C538">
        <v>3284</v>
      </c>
      <c r="D538">
        <v>5</v>
      </c>
      <c r="E538">
        <v>97</v>
      </c>
      <c r="F538">
        <v>2</v>
      </c>
      <c r="G538">
        <v>5</v>
      </c>
      <c r="H538">
        <v>4</v>
      </c>
      <c r="I538" t="str">
        <f t="shared" si="16"/>
        <v>254</v>
      </c>
      <c r="J538" t="s">
        <v>2300</v>
      </c>
      <c r="K538" t="s">
        <v>2301</v>
      </c>
      <c r="L538" t="str">
        <f t="shared" si="17"/>
        <v>Very High Risk</v>
      </c>
      <c r="M538" t="str">
        <f>IFERROR(VLOOKUP(A547,Promo_Pivot!A:C,3,FALSE),"No")</f>
        <v>Yes</v>
      </c>
    </row>
    <row r="539" spans="1:13" x14ac:dyDescent="0.35">
      <c r="A539" t="s">
        <v>2268</v>
      </c>
      <c r="B539" s="2">
        <v>45417</v>
      </c>
      <c r="C539">
        <v>3128</v>
      </c>
      <c r="D539">
        <v>2</v>
      </c>
      <c r="E539">
        <v>175</v>
      </c>
      <c r="F539">
        <v>1</v>
      </c>
      <c r="G539">
        <v>3</v>
      </c>
      <c r="H539">
        <v>4</v>
      </c>
      <c r="I539" t="str">
        <f t="shared" si="16"/>
        <v>134</v>
      </c>
      <c r="J539" t="s">
        <v>2300</v>
      </c>
      <c r="K539" t="s">
        <v>2301</v>
      </c>
      <c r="L539" t="str">
        <f t="shared" si="17"/>
        <v>Very High Risk</v>
      </c>
      <c r="M539" t="str">
        <f>IFERROR(VLOOKUP(A548,Promo_Pivot!A:C,3,FALSE),"No")</f>
        <v>Yes</v>
      </c>
    </row>
    <row r="540" spans="1:13" x14ac:dyDescent="0.35">
      <c r="A540" t="s">
        <v>2269</v>
      </c>
      <c r="B540" s="2">
        <v>45523</v>
      </c>
      <c r="C540">
        <v>3744</v>
      </c>
      <c r="D540">
        <v>3</v>
      </c>
      <c r="E540">
        <v>69</v>
      </c>
      <c r="F540">
        <v>3</v>
      </c>
      <c r="G540">
        <v>4</v>
      </c>
      <c r="H540">
        <v>5</v>
      </c>
      <c r="I540" t="str">
        <f t="shared" si="16"/>
        <v>345</v>
      </c>
      <c r="J540" t="s">
        <v>2303</v>
      </c>
      <c r="K540" t="s">
        <v>2299</v>
      </c>
      <c r="L540" t="str">
        <f t="shared" si="17"/>
        <v>High Risk</v>
      </c>
      <c r="M540" t="str">
        <f>IFERROR(VLOOKUP(A549,Promo_Pivot!A:C,3,FALSE),"No")</f>
        <v>Yes</v>
      </c>
    </row>
    <row r="541" spans="1:13" x14ac:dyDescent="0.35">
      <c r="A541" t="s">
        <v>2270</v>
      </c>
      <c r="B541" s="2">
        <v>45558</v>
      </c>
      <c r="C541">
        <v>4072</v>
      </c>
      <c r="D541">
        <v>5</v>
      </c>
      <c r="E541">
        <v>34</v>
      </c>
      <c r="F541">
        <v>4</v>
      </c>
      <c r="G541">
        <v>5</v>
      </c>
      <c r="H541">
        <v>5</v>
      </c>
      <c r="I541" t="str">
        <f t="shared" si="16"/>
        <v>455</v>
      </c>
      <c r="J541" t="s">
        <v>2304</v>
      </c>
      <c r="K541" t="s">
        <v>2299</v>
      </c>
      <c r="L541" t="str">
        <f t="shared" si="17"/>
        <v>Moderate Risk</v>
      </c>
      <c r="M541" t="str">
        <f>IFERROR(VLOOKUP(A550,Promo_Pivot!A:C,3,FALSE),"No")</f>
        <v>Yes</v>
      </c>
    </row>
    <row r="542" spans="1:13" x14ac:dyDescent="0.35">
      <c r="A542" t="s">
        <v>2271</v>
      </c>
      <c r="B542" s="2">
        <v>45517</v>
      </c>
      <c r="C542">
        <v>4123</v>
      </c>
      <c r="D542">
        <v>4</v>
      </c>
      <c r="E542">
        <v>75</v>
      </c>
      <c r="F542">
        <v>3</v>
      </c>
      <c r="G542">
        <v>5</v>
      </c>
      <c r="H542">
        <v>5</v>
      </c>
      <c r="I542" t="str">
        <f t="shared" si="16"/>
        <v>355</v>
      </c>
      <c r="J542" t="s">
        <v>2303</v>
      </c>
      <c r="K542" t="s">
        <v>2299</v>
      </c>
      <c r="L542" t="str">
        <f t="shared" si="17"/>
        <v>High Risk</v>
      </c>
      <c r="M542" t="str">
        <f>IFERROR(VLOOKUP(A551,Promo_Pivot!A:C,3,FALSE),"No")</f>
        <v>Yes</v>
      </c>
    </row>
    <row r="543" spans="1:13" x14ac:dyDescent="0.35">
      <c r="A543" t="s">
        <v>2272</v>
      </c>
      <c r="B543" s="2">
        <v>45539</v>
      </c>
      <c r="C543">
        <v>2595</v>
      </c>
      <c r="D543">
        <v>3</v>
      </c>
      <c r="E543">
        <v>53</v>
      </c>
      <c r="F543">
        <v>4</v>
      </c>
      <c r="G543">
        <v>4</v>
      </c>
      <c r="H543">
        <v>4</v>
      </c>
      <c r="I543" t="str">
        <f t="shared" si="16"/>
        <v>444</v>
      </c>
      <c r="J543" t="s">
        <v>2304</v>
      </c>
      <c r="K543" t="s">
        <v>2299</v>
      </c>
      <c r="L543" t="str">
        <f t="shared" si="17"/>
        <v>Low Risk</v>
      </c>
      <c r="M543" t="str">
        <f>IFERROR(VLOOKUP(A552,Promo_Pivot!A:C,3,FALSE),"No")</f>
        <v>Yes</v>
      </c>
    </row>
    <row r="544" spans="1:13" x14ac:dyDescent="0.35">
      <c r="A544" t="s">
        <v>2273</v>
      </c>
      <c r="B544" s="2">
        <v>45353</v>
      </c>
      <c r="C544">
        <v>1106</v>
      </c>
      <c r="D544">
        <v>2</v>
      </c>
      <c r="E544">
        <v>239</v>
      </c>
      <c r="F544">
        <v>1</v>
      </c>
      <c r="G544">
        <v>3</v>
      </c>
      <c r="H544">
        <v>2</v>
      </c>
      <c r="I544" t="str">
        <f t="shared" si="16"/>
        <v>132</v>
      </c>
      <c r="J544" t="s">
        <v>2300</v>
      </c>
      <c r="K544" t="s">
        <v>2301</v>
      </c>
      <c r="L544" t="str">
        <f t="shared" si="17"/>
        <v>Critical Risk</v>
      </c>
      <c r="M544" t="str">
        <f>IFERROR(VLOOKUP(A553,Promo_Pivot!A:C,3,FALSE),"No")</f>
        <v>Yes</v>
      </c>
    </row>
    <row r="545" spans="1:13" x14ac:dyDescent="0.35">
      <c r="A545" t="s">
        <v>1744</v>
      </c>
      <c r="B545" s="2">
        <v>45587</v>
      </c>
      <c r="C545">
        <v>882</v>
      </c>
      <c r="D545">
        <v>1</v>
      </c>
      <c r="E545">
        <v>5</v>
      </c>
      <c r="F545">
        <v>5</v>
      </c>
      <c r="G545">
        <v>2</v>
      </c>
      <c r="H545">
        <v>2</v>
      </c>
      <c r="I545" t="str">
        <f t="shared" si="16"/>
        <v>522</v>
      </c>
      <c r="J545" t="s">
        <v>2298</v>
      </c>
      <c r="K545" t="s">
        <v>2299</v>
      </c>
      <c r="L545" t="str">
        <f t="shared" si="17"/>
        <v>Low Risk</v>
      </c>
      <c r="M545" t="str">
        <f>IFERROR(VLOOKUP(A554,Promo_Pivot!A:C,3,FALSE),"No")</f>
        <v>Yes</v>
      </c>
    </row>
    <row r="546" spans="1:13" x14ac:dyDescent="0.35">
      <c r="A546" t="s">
        <v>1691</v>
      </c>
      <c r="B546" s="2">
        <v>45538</v>
      </c>
      <c r="C546">
        <v>431</v>
      </c>
      <c r="D546">
        <v>1</v>
      </c>
      <c r="E546">
        <v>54</v>
      </c>
      <c r="F546">
        <v>3</v>
      </c>
      <c r="G546">
        <v>2</v>
      </c>
      <c r="H546">
        <v>1</v>
      </c>
      <c r="I546" t="str">
        <f t="shared" si="16"/>
        <v>321</v>
      </c>
      <c r="J546" t="s">
        <v>2302</v>
      </c>
      <c r="K546" t="s">
        <v>2299</v>
      </c>
      <c r="L546" t="str">
        <f t="shared" si="17"/>
        <v>Moderate Risk</v>
      </c>
      <c r="M546" t="str">
        <f>IFERROR(VLOOKUP(A555,Promo_Pivot!A:C,3,FALSE),"No")</f>
        <v>Yes</v>
      </c>
    </row>
    <row r="547" spans="1:13" x14ac:dyDescent="0.35">
      <c r="A547" t="s">
        <v>1745</v>
      </c>
      <c r="B547" s="2">
        <v>45567</v>
      </c>
      <c r="C547">
        <v>1764</v>
      </c>
      <c r="D547">
        <v>1</v>
      </c>
      <c r="E547">
        <v>25</v>
      </c>
      <c r="F547">
        <v>5</v>
      </c>
      <c r="G547">
        <v>2</v>
      </c>
      <c r="H547">
        <v>3</v>
      </c>
      <c r="I547" t="str">
        <f t="shared" si="16"/>
        <v>523</v>
      </c>
      <c r="J547" t="s">
        <v>2298</v>
      </c>
      <c r="K547" t="s">
        <v>2299</v>
      </c>
      <c r="L547" t="str">
        <f t="shared" si="17"/>
        <v>Moderate Risk</v>
      </c>
      <c r="M547" t="str">
        <f>IFERROR(VLOOKUP(A556,Promo_Pivot!A:C,3,FALSE),"No")</f>
        <v>Yes</v>
      </c>
    </row>
    <row r="548" spans="1:13" x14ac:dyDescent="0.35">
      <c r="A548" t="s">
        <v>1746</v>
      </c>
      <c r="B548" s="2">
        <v>45437</v>
      </c>
      <c r="C548">
        <v>753</v>
      </c>
      <c r="D548">
        <v>1</v>
      </c>
      <c r="E548">
        <v>155</v>
      </c>
      <c r="F548">
        <v>1</v>
      </c>
      <c r="G548">
        <v>2</v>
      </c>
      <c r="H548">
        <v>1</v>
      </c>
      <c r="I548" t="str">
        <f t="shared" si="16"/>
        <v>121</v>
      </c>
      <c r="J548" t="s">
        <v>2300</v>
      </c>
      <c r="K548" t="s">
        <v>2301</v>
      </c>
      <c r="L548" t="str">
        <f t="shared" si="17"/>
        <v>Very High Risk</v>
      </c>
      <c r="M548" t="str">
        <f>IFERROR(VLOOKUP(A557,Promo_Pivot!A:C,3,FALSE),"No")</f>
        <v>Yes</v>
      </c>
    </row>
    <row r="549" spans="1:13" x14ac:dyDescent="0.35">
      <c r="A549" t="s">
        <v>1747</v>
      </c>
      <c r="B549" s="2">
        <v>45389</v>
      </c>
      <c r="C549">
        <v>360</v>
      </c>
      <c r="D549">
        <v>1</v>
      </c>
      <c r="E549">
        <v>203</v>
      </c>
      <c r="F549">
        <v>1</v>
      </c>
      <c r="G549">
        <v>2</v>
      </c>
      <c r="H549">
        <v>1</v>
      </c>
      <c r="I549" t="str">
        <f t="shared" si="16"/>
        <v>121</v>
      </c>
      <c r="J549" t="s">
        <v>2300</v>
      </c>
      <c r="K549" t="s">
        <v>2301</v>
      </c>
      <c r="L549" t="str">
        <f t="shared" si="17"/>
        <v>Critical Risk</v>
      </c>
      <c r="M549" t="str">
        <f>IFERROR(VLOOKUP(A558,Promo_Pivot!A:C,3,FALSE),"No")</f>
        <v>Yes</v>
      </c>
    </row>
    <row r="550" spans="1:13" x14ac:dyDescent="0.35">
      <c r="A550" t="s">
        <v>1748</v>
      </c>
      <c r="B550" s="2">
        <v>45295</v>
      </c>
      <c r="C550">
        <v>842</v>
      </c>
      <c r="D550">
        <v>1</v>
      </c>
      <c r="E550">
        <v>297</v>
      </c>
      <c r="F550">
        <v>1</v>
      </c>
      <c r="G550">
        <v>2</v>
      </c>
      <c r="H550">
        <v>1</v>
      </c>
      <c r="I550" t="str">
        <f t="shared" si="16"/>
        <v>121</v>
      </c>
      <c r="J550" t="s">
        <v>2300</v>
      </c>
      <c r="K550" t="s">
        <v>2301</v>
      </c>
      <c r="L550" t="str">
        <f t="shared" si="17"/>
        <v>Critical Risk</v>
      </c>
      <c r="M550" t="str">
        <f>IFERROR(VLOOKUP(A559,Promo_Pivot!A:C,3,FALSE),"No")</f>
        <v>Yes</v>
      </c>
    </row>
    <row r="551" spans="1:13" x14ac:dyDescent="0.35">
      <c r="A551" t="s">
        <v>1749</v>
      </c>
      <c r="B551" s="2">
        <v>45535</v>
      </c>
      <c r="C551">
        <v>852</v>
      </c>
      <c r="D551">
        <v>1</v>
      </c>
      <c r="E551">
        <v>57</v>
      </c>
      <c r="F551">
        <v>3</v>
      </c>
      <c r="G551">
        <v>2</v>
      </c>
      <c r="H551">
        <v>1</v>
      </c>
      <c r="I551" t="str">
        <f t="shared" si="16"/>
        <v>321</v>
      </c>
      <c r="J551" t="s">
        <v>2302</v>
      </c>
      <c r="K551" t="s">
        <v>2299</v>
      </c>
      <c r="L551" t="str">
        <f t="shared" si="17"/>
        <v>Moderate Risk</v>
      </c>
      <c r="M551" t="str">
        <f>IFERROR(VLOOKUP(A560,Promo_Pivot!A:C,3,FALSE),"No")</f>
        <v>Yes</v>
      </c>
    </row>
    <row r="552" spans="1:13" x14ac:dyDescent="0.35">
      <c r="A552" t="s">
        <v>1750</v>
      </c>
      <c r="B552" s="2">
        <v>45558</v>
      </c>
      <c r="C552">
        <v>322</v>
      </c>
      <c r="D552">
        <v>1</v>
      </c>
      <c r="E552">
        <v>34</v>
      </c>
      <c r="F552">
        <v>4</v>
      </c>
      <c r="G552">
        <v>2</v>
      </c>
      <c r="H552">
        <v>1</v>
      </c>
      <c r="I552" t="str">
        <f t="shared" si="16"/>
        <v>421</v>
      </c>
      <c r="J552" t="s">
        <v>2298</v>
      </c>
      <c r="K552" t="s">
        <v>2299</v>
      </c>
      <c r="L552" t="str">
        <f t="shared" si="17"/>
        <v>Moderate Risk</v>
      </c>
      <c r="M552" t="str">
        <f>IFERROR(VLOOKUP(A561,Promo_Pivot!A:C,3,FALSE),"No")</f>
        <v>Yes</v>
      </c>
    </row>
    <row r="553" spans="1:13" x14ac:dyDescent="0.35">
      <c r="A553" t="s">
        <v>1751</v>
      </c>
      <c r="B553" s="2">
        <v>45357</v>
      </c>
      <c r="C553">
        <v>332</v>
      </c>
      <c r="D553">
        <v>1</v>
      </c>
      <c r="E553">
        <v>235</v>
      </c>
      <c r="F553">
        <v>1</v>
      </c>
      <c r="G553">
        <v>2</v>
      </c>
      <c r="H553">
        <v>1</v>
      </c>
      <c r="I553" t="str">
        <f t="shared" si="16"/>
        <v>121</v>
      </c>
      <c r="J553" t="s">
        <v>2300</v>
      </c>
      <c r="K553" t="s">
        <v>2301</v>
      </c>
      <c r="L553" t="str">
        <f t="shared" si="17"/>
        <v>Critical Risk</v>
      </c>
      <c r="M553" t="str">
        <f>IFERROR(VLOOKUP(A562,Promo_Pivot!A:C,3,FALSE),"No")</f>
        <v>Yes</v>
      </c>
    </row>
    <row r="554" spans="1:13" x14ac:dyDescent="0.35">
      <c r="A554" t="s">
        <v>1752</v>
      </c>
      <c r="B554" s="2">
        <v>45398</v>
      </c>
      <c r="C554">
        <v>610</v>
      </c>
      <c r="D554">
        <v>1</v>
      </c>
      <c r="E554">
        <v>194</v>
      </c>
      <c r="F554">
        <v>1</v>
      </c>
      <c r="G554">
        <v>2</v>
      </c>
      <c r="H554">
        <v>1</v>
      </c>
      <c r="I554" t="str">
        <f t="shared" si="16"/>
        <v>121</v>
      </c>
      <c r="J554" t="s">
        <v>2300</v>
      </c>
      <c r="K554" t="s">
        <v>2301</v>
      </c>
      <c r="L554" t="str">
        <f t="shared" si="17"/>
        <v>Critical Risk</v>
      </c>
      <c r="M554" t="str">
        <f>IFERROR(VLOOKUP(A563,Promo_Pivot!A:C,3,FALSE),"No")</f>
        <v>Yes</v>
      </c>
    </row>
    <row r="555" spans="1:13" x14ac:dyDescent="0.35">
      <c r="A555" t="s">
        <v>1753</v>
      </c>
      <c r="B555" s="2">
        <v>45298</v>
      </c>
      <c r="C555">
        <v>560</v>
      </c>
      <c r="D555">
        <v>1</v>
      </c>
      <c r="E555">
        <v>294</v>
      </c>
      <c r="F555">
        <v>1</v>
      </c>
      <c r="G555">
        <v>2</v>
      </c>
      <c r="H555">
        <v>1</v>
      </c>
      <c r="I555" t="str">
        <f t="shared" si="16"/>
        <v>121</v>
      </c>
      <c r="J555" t="s">
        <v>2300</v>
      </c>
      <c r="K555" t="s">
        <v>2301</v>
      </c>
      <c r="L555" t="str">
        <f t="shared" si="17"/>
        <v>Critical Risk</v>
      </c>
      <c r="M555" t="str">
        <f>IFERROR(VLOOKUP(A564,Promo_Pivot!A:C,3,FALSE),"No")</f>
        <v>Yes</v>
      </c>
    </row>
    <row r="556" spans="1:13" x14ac:dyDescent="0.35">
      <c r="A556" t="s">
        <v>1754</v>
      </c>
      <c r="B556" s="2">
        <v>45469</v>
      </c>
      <c r="C556">
        <v>408</v>
      </c>
      <c r="D556">
        <v>1</v>
      </c>
      <c r="E556">
        <v>123</v>
      </c>
      <c r="F556">
        <v>2</v>
      </c>
      <c r="G556">
        <v>2</v>
      </c>
      <c r="H556">
        <v>1</v>
      </c>
      <c r="I556" t="str">
        <f t="shared" si="16"/>
        <v>221</v>
      </c>
      <c r="J556" t="s">
        <v>2300</v>
      </c>
      <c r="K556" t="s">
        <v>2301</v>
      </c>
      <c r="L556" t="str">
        <f t="shared" si="17"/>
        <v>Very High Risk</v>
      </c>
      <c r="M556" t="str">
        <f>IFERROR(VLOOKUP(A565,Promo_Pivot!A:C,3,FALSE),"No")</f>
        <v>Yes</v>
      </c>
    </row>
    <row r="557" spans="1:13" x14ac:dyDescent="0.35">
      <c r="A557" t="s">
        <v>1692</v>
      </c>
      <c r="B557" s="2">
        <v>45432</v>
      </c>
      <c r="C557">
        <v>1980</v>
      </c>
      <c r="D557">
        <v>1</v>
      </c>
      <c r="E557">
        <v>160</v>
      </c>
      <c r="F557">
        <v>1</v>
      </c>
      <c r="G557">
        <v>2</v>
      </c>
      <c r="H557">
        <v>3</v>
      </c>
      <c r="I557" t="str">
        <f t="shared" si="16"/>
        <v>123</v>
      </c>
      <c r="J557" t="s">
        <v>2300</v>
      </c>
      <c r="K557" t="s">
        <v>2301</v>
      </c>
      <c r="L557" t="str">
        <f t="shared" si="17"/>
        <v>Very High Risk</v>
      </c>
      <c r="M557" t="str">
        <f>IFERROR(VLOOKUP(A566,Promo_Pivot!A:C,3,FALSE),"No")</f>
        <v>Yes</v>
      </c>
    </row>
    <row r="558" spans="1:13" x14ac:dyDescent="0.35">
      <c r="A558" t="s">
        <v>1755</v>
      </c>
      <c r="B558" s="2">
        <v>45514</v>
      </c>
      <c r="C558">
        <v>812</v>
      </c>
      <c r="D558">
        <v>1</v>
      </c>
      <c r="E558">
        <v>78</v>
      </c>
      <c r="F558">
        <v>3</v>
      </c>
      <c r="G558">
        <v>2</v>
      </c>
      <c r="H558">
        <v>1</v>
      </c>
      <c r="I558" t="str">
        <f t="shared" si="16"/>
        <v>321</v>
      </c>
      <c r="J558" t="s">
        <v>2302</v>
      </c>
      <c r="K558" t="s">
        <v>2299</v>
      </c>
      <c r="L558" t="str">
        <f t="shared" si="17"/>
        <v>High Risk</v>
      </c>
      <c r="M558" t="str">
        <f>IFERROR(VLOOKUP(A567,Promo_Pivot!A:C,3,FALSE),"No")</f>
        <v>Yes</v>
      </c>
    </row>
    <row r="559" spans="1:13" x14ac:dyDescent="0.35">
      <c r="A559" t="s">
        <v>1756</v>
      </c>
      <c r="B559" s="2">
        <v>45396</v>
      </c>
      <c r="C559">
        <v>2435</v>
      </c>
      <c r="D559">
        <v>1</v>
      </c>
      <c r="E559">
        <v>196</v>
      </c>
      <c r="F559">
        <v>1</v>
      </c>
      <c r="G559">
        <v>2</v>
      </c>
      <c r="H559">
        <v>3</v>
      </c>
      <c r="I559" t="str">
        <f t="shared" si="16"/>
        <v>123</v>
      </c>
      <c r="J559" t="s">
        <v>2300</v>
      </c>
      <c r="K559" t="s">
        <v>2301</v>
      </c>
      <c r="L559" t="str">
        <f t="shared" si="17"/>
        <v>Critical Risk</v>
      </c>
      <c r="M559" t="str">
        <f>IFERROR(VLOOKUP(A568,Promo_Pivot!A:C,3,FALSE),"No")</f>
        <v>Yes</v>
      </c>
    </row>
    <row r="560" spans="1:13" x14ac:dyDescent="0.35">
      <c r="A560" t="s">
        <v>1757</v>
      </c>
      <c r="B560" s="2">
        <v>45323</v>
      </c>
      <c r="C560">
        <v>292</v>
      </c>
      <c r="D560">
        <v>1</v>
      </c>
      <c r="E560">
        <v>269</v>
      </c>
      <c r="F560">
        <v>1</v>
      </c>
      <c r="G560">
        <v>2</v>
      </c>
      <c r="H560">
        <v>1</v>
      </c>
      <c r="I560" t="str">
        <f t="shared" si="16"/>
        <v>121</v>
      </c>
      <c r="J560" t="s">
        <v>2300</v>
      </c>
      <c r="K560" t="s">
        <v>2301</v>
      </c>
      <c r="L560" t="str">
        <f t="shared" si="17"/>
        <v>Critical Risk</v>
      </c>
      <c r="M560" t="str">
        <f>IFERROR(VLOOKUP(A569,Promo_Pivot!A:C,3,FALSE),"No")</f>
        <v>Yes</v>
      </c>
    </row>
    <row r="561" spans="1:13" x14ac:dyDescent="0.35">
      <c r="A561" t="s">
        <v>1758</v>
      </c>
      <c r="B561" s="2">
        <v>45556</v>
      </c>
      <c r="C561">
        <v>1203</v>
      </c>
      <c r="D561">
        <v>1</v>
      </c>
      <c r="E561">
        <v>36</v>
      </c>
      <c r="F561">
        <v>4</v>
      </c>
      <c r="G561">
        <v>2</v>
      </c>
      <c r="H561">
        <v>2</v>
      </c>
      <c r="I561" t="str">
        <f t="shared" si="16"/>
        <v>422</v>
      </c>
      <c r="J561" t="s">
        <v>2298</v>
      </c>
      <c r="K561" t="s">
        <v>2299</v>
      </c>
      <c r="L561" t="str">
        <f t="shared" si="17"/>
        <v>Moderate Risk</v>
      </c>
      <c r="M561" t="str">
        <f>IFERROR(VLOOKUP(A570,Promo_Pivot!A:C,3,FALSE),"No")</f>
        <v>Yes</v>
      </c>
    </row>
    <row r="562" spans="1:13" x14ac:dyDescent="0.35">
      <c r="A562" t="s">
        <v>1759</v>
      </c>
      <c r="B562" s="2">
        <v>45427</v>
      </c>
      <c r="C562">
        <v>1568</v>
      </c>
      <c r="D562">
        <v>1</v>
      </c>
      <c r="E562">
        <v>165</v>
      </c>
      <c r="F562">
        <v>1</v>
      </c>
      <c r="G562">
        <v>2</v>
      </c>
      <c r="H562">
        <v>2</v>
      </c>
      <c r="I562" t="str">
        <f t="shared" si="16"/>
        <v>122</v>
      </c>
      <c r="J562" t="s">
        <v>2300</v>
      </c>
      <c r="K562" t="s">
        <v>2301</v>
      </c>
      <c r="L562" t="str">
        <f t="shared" si="17"/>
        <v>Very High Risk</v>
      </c>
      <c r="M562" t="str">
        <f>IFERROR(VLOOKUP(A571,Promo_Pivot!A:C,3,FALSE),"No")</f>
        <v>Yes</v>
      </c>
    </row>
    <row r="563" spans="1:13" x14ac:dyDescent="0.35">
      <c r="A563" t="s">
        <v>1760</v>
      </c>
      <c r="B563" s="2">
        <v>45551</v>
      </c>
      <c r="C563">
        <v>730</v>
      </c>
      <c r="D563">
        <v>1</v>
      </c>
      <c r="E563">
        <v>41</v>
      </c>
      <c r="F563">
        <v>4</v>
      </c>
      <c r="G563">
        <v>2</v>
      </c>
      <c r="H563">
        <v>1</v>
      </c>
      <c r="I563" t="str">
        <f t="shared" si="16"/>
        <v>421</v>
      </c>
      <c r="J563" t="s">
        <v>2298</v>
      </c>
      <c r="K563" t="s">
        <v>2299</v>
      </c>
      <c r="L563" t="str">
        <f t="shared" si="17"/>
        <v>Moderate Risk</v>
      </c>
      <c r="M563" t="str">
        <f>IFERROR(VLOOKUP(A572,Promo_Pivot!A:C,3,FALSE),"No")</f>
        <v>Yes</v>
      </c>
    </row>
    <row r="564" spans="1:13" x14ac:dyDescent="0.35">
      <c r="A564" t="s">
        <v>1761</v>
      </c>
      <c r="B564" s="2">
        <v>45401</v>
      </c>
      <c r="C564">
        <v>796</v>
      </c>
      <c r="D564">
        <v>1</v>
      </c>
      <c r="E564">
        <v>191</v>
      </c>
      <c r="F564">
        <v>1</v>
      </c>
      <c r="G564">
        <v>2</v>
      </c>
      <c r="H564">
        <v>1</v>
      </c>
      <c r="I564" t="str">
        <f t="shared" si="16"/>
        <v>121</v>
      </c>
      <c r="J564" t="s">
        <v>2300</v>
      </c>
      <c r="K564" t="s">
        <v>2301</v>
      </c>
      <c r="L564" t="str">
        <f t="shared" si="17"/>
        <v>Critical Risk</v>
      </c>
      <c r="M564" t="str">
        <f>IFERROR(VLOOKUP(A573,Promo_Pivot!A:C,3,FALSE),"No")</f>
        <v>Yes</v>
      </c>
    </row>
    <row r="565" spans="1:13" x14ac:dyDescent="0.35">
      <c r="A565" t="s">
        <v>1762</v>
      </c>
      <c r="B565" s="2">
        <v>45336</v>
      </c>
      <c r="C565">
        <v>137</v>
      </c>
      <c r="D565">
        <v>1</v>
      </c>
      <c r="E565">
        <v>256</v>
      </c>
      <c r="F565">
        <v>1</v>
      </c>
      <c r="G565">
        <v>2</v>
      </c>
      <c r="H565">
        <v>1</v>
      </c>
      <c r="I565" t="str">
        <f t="shared" si="16"/>
        <v>121</v>
      </c>
      <c r="J565" t="s">
        <v>2300</v>
      </c>
      <c r="K565" t="s">
        <v>2301</v>
      </c>
      <c r="L565" t="str">
        <f t="shared" si="17"/>
        <v>Critical Risk</v>
      </c>
      <c r="M565" t="str">
        <f>IFERROR(VLOOKUP(A574,Promo_Pivot!A:C,3,FALSE),"No")</f>
        <v>Yes</v>
      </c>
    </row>
    <row r="566" spans="1:13" x14ac:dyDescent="0.35">
      <c r="A566" t="s">
        <v>1763</v>
      </c>
      <c r="B566" s="2">
        <v>45392</v>
      </c>
      <c r="C566">
        <v>417</v>
      </c>
      <c r="D566">
        <v>1</v>
      </c>
      <c r="E566">
        <v>200</v>
      </c>
      <c r="F566">
        <v>1</v>
      </c>
      <c r="G566">
        <v>2</v>
      </c>
      <c r="H566">
        <v>1</v>
      </c>
      <c r="I566" t="str">
        <f t="shared" si="16"/>
        <v>121</v>
      </c>
      <c r="J566" t="s">
        <v>2300</v>
      </c>
      <c r="K566" t="s">
        <v>2301</v>
      </c>
      <c r="L566" t="str">
        <f t="shared" si="17"/>
        <v>Critical Risk</v>
      </c>
      <c r="M566" t="str">
        <f>IFERROR(VLOOKUP(A575,Promo_Pivot!A:C,3,FALSE),"No")</f>
        <v>Yes</v>
      </c>
    </row>
    <row r="567" spans="1:13" x14ac:dyDescent="0.35">
      <c r="A567" t="s">
        <v>1764</v>
      </c>
      <c r="B567" s="2">
        <v>45314</v>
      </c>
      <c r="C567">
        <v>432</v>
      </c>
      <c r="D567">
        <v>1</v>
      </c>
      <c r="E567">
        <v>278</v>
      </c>
      <c r="F567">
        <v>1</v>
      </c>
      <c r="G567">
        <v>2</v>
      </c>
      <c r="H567">
        <v>1</v>
      </c>
      <c r="I567" t="str">
        <f t="shared" si="16"/>
        <v>121</v>
      </c>
      <c r="J567" t="s">
        <v>2300</v>
      </c>
      <c r="K567" t="s">
        <v>2301</v>
      </c>
      <c r="L567" t="str">
        <f t="shared" si="17"/>
        <v>Critical Risk</v>
      </c>
      <c r="M567" t="str">
        <f>IFERROR(VLOOKUP(A576,Promo_Pivot!A:C,3,FALSE),"No")</f>
        <v>Yes</v>
      </c>
    </row>
    <row r="568" spans="1:13" x14ac:dyDescent="0.35">
      <c r="A568" t="s">
        <v>1693</v>
      </c>
      <c r="B568" s="2">
        <v>45375</v>
      </c>
      <c r="C568">
        <v>1272</v>
      </c>
      <c r="D568">
        <v>1</v>
      </c>
      <c r="E568">
        <v>217</v>
      </c>
      <c r="F568">
        <v>1</v>
      </c>
      <c r="G568">
        <v>2</v>
      </c>
      <c r="H568">
        <v>2</v>
      </c>
      <c r="I568" t="str">
        <f t="shared" si="16"/>
        <v>122</v>
      </c>
      <c r="J568" t="s">
        <v>2300</v>
      </c>
      <c r="K568" t="s">
        <v>2301</v>
      </c>
      <c r="L568" t="str">
        <f t="shared" si="17"/>
        <v>Critical Risk</v>
      </c>
      <c r="M568" t="str">
        <f>IFERROR(VLOOKUP(A577,Promo_Pivot!A:C,3,FALSE),"No")</f>
        <v>Yes</v>
      </c>
    </row>
    <row r="569" spans="1:13" x14ac:dyDescent="0.35">
      <c r="A569" t="s">
        <v>1765</v>
      </c>
      <c r="B569" s="2">
        <v>45512</v>
      </c>
      <c r="C569">
        <v>1328</v>
      </c>
      <c r="D569">
        <v>1</v>
      </c>
      <c r="E569">
        <v>80</v>
      </c>
      <c r="F569">
        <v>3</v>
      </c>
      <c r="G569">
        <v>2</v>
      </c>
      <c r="H569">
        <v>2</v>
      </c>
      <c r="I569" t="str">
        <f t="shared" si="16"/>
        <v>322</v>
      </c>
      <c r="J569" t="s">
        <v>2302</v>
      </c>
      <c r="K569" t="s">
        <v>2299</v>
      </c>
      <c r="L569" t="str">
        <f t="shared" si="17"/>
        <v>High Risk</v>
      </c>
      <c r="M569" t="str">
        <f>IFERROR(VLOOKUP(A578,Promo_Pivot!A:C,3,FALSE),"No")</f>
        <v>Yes</v>
      </c>
    </row>
    <row r="570" spans="1:13" x14ac:dyDescent="0.35">
      <c r="A570" t="s">
        <v>1766</v>
      </c>
      <c r="B570" s="2">
        <v>45458</v>
      </c>
      <c r="C570">
        <v>292</v>
      </c>
      <c r="D570">
        <v>1</v>
      </c>
      <c r="E570">
        <v>134</v>
      </c>
      <c r="F570">
        <v>2</v>
      </c>
      <c r="G570">
        <v>2</v>
      </c>
      <c r="H570">
        <v>1</v>
      </c>
      <c r="I570" t="str">
        <f t="shared" si="16"/>
        <v>221</v>
      </c>
      <c r="J570" t="s">
        <v>2300</v>
      </c>
      <c r="K570" t="s">
        <v>2301</v>
      </c>
      <c r="L570" t="str">
        <f t="shared" si="17"/>
        <v>Very High Risk</v>
      </c>
      <c r="M570" t="str">
        <f>IFERROR(VLOOKUP(A579,Promo_Pivot!A:C,3,FALSE),"No")</f>
        <v>Yes</v>
      </c>
    </row>
    <row r="571" spans="1:13" x14ac:dyDescent="0.35">
      <c r="A571" t="s">
        <v>1767</v>
      </c>
      <c r="B571" s="2">
        <v>45506</v>
      </c>
      <c r="C571">
        <v>504</v>
      </c>
      <c r="D571">
        <v>1</v>
      </c>
      <c r="E571">
        <v>86</v>
      </c>
      <c r="F571">
        <v>3</v>
      </c>
      <c r="G571">
        <v>2</v>
      </c>
      <c r="H571">
        <v>1</v>
      </c>
      <c r="I571" t="str">
        <f t="shared" si="16"/>
        <v>321</v>
      </c>
      <c r="J571" t="s">
        <v>2302</v>
      </c>
      <c r="K571" t="s">
        <v>2299</v>
      </c>
      <c r="L571" t="str">
        <f t="shared" si="17"/>
        <v>High Risk</v>
      </c>
      <c r="M571" t="str">
        <f>IFERROR(VLOOKUP(A580,Promo_Pivot!A:C,3,FALSE),"No")</f>
        <v>Yes</v>
      </c>
    </row>
    <row r="572" spans="1:13" x14ac:dyDescent="0.35">
      <c r="A572" t="s">
        <v>1768</v>
      </c>
      <c r="B572" s="2">
        <v>45381</v>
      </c>
      <c r="C572">
        <v>1015</v>
      </c>
      <c r="D572">
        <v>1</v>
      </c>
      <c r="E572">
        <v>211</v>
      </c>
      <c r="F572">
        <v>1</v>
      </c>
      <c r="G572">
        <v>2</v>
      </c>
      <c r="H572">
        <v>2</v>
      </c>
      <c r="I572" t="str">
        <f t="shared" si="16"/>
        <v>122</v>
      </c>
      <c r="J572" t="s">
        <v>2300</v>
      </c>
      <c r="K572" t="s">
        <v>2301</v>
      </c>
      <c r="L572" t="str">
        <f t="shared" si="17"/>
        <v>Critical Risk</v>
      </c>
      <c r="M572" t="str">
        <f>IFERROR(VLOOKUP(A581,Promo_Pivot!A:C,3,FALSE),"No")</f>
        <v>Yes</v>
      </c>
    </row>
    <row r="573" spans="1:13" x14ac:dyDescent="0.35">
      <c r="A573" t="s">
        <v>1769</v>
      </c>
      <c r="B573" s="2">
        <v>45390</v>
      </c>
      <c r="C573">
        <v>476</v>
      </c>
      <c r="D573">
        <v>1</v>
      </c>
      <c r="E573">
        <v>202</v>
      </c>
      <c r="F573">
        <v>1</v>
      </c>
      <c r="G573">
        <v>2</v>
      </c>
      <c r="H573">
        <v>1</v>
      </c>
      <c r="I573" t="str">
        <f t="shared" si="16"/>
        <v>121</v>
      </c>
      <c r="J573" t="s">
        <v>2300</v>
      </c>
      <c r="K573" t="s">
        <v>2301</v>
      </c>
      <c r="L573" t="str">
        <f t="shared" si="17"/>
        <v>Critical Risk</v>
      </c>
      <c r="M573" t="str">
        <f>IFERROR(VLOOKUP(A582,Promo_Pivot!A:C,3,FALSE),"No")</f>
        <v>Yes</v>
      </c>
    </row>
    <row r="574" spans="1:13" x14ac:dyDescent="0.35">
      <c r="A574" t="s">
        <v>1770</v>
      </c>
      <c r="B574" s="2">
        <v>45523</v>
      </c>
      <c r="C574">
        <v>698</v>
      </c>
      <c r="D574">
        <v>1</v>
      </c>
      <c r="E574">
        <v>69</v>
      </c>
      <c r="F574">
        <v>3</v>
      </c>
      <c r="G574">
        <v>2</v>
      </c>
      <c r="H574">
        <v>1</v>
      </c>
      <c r="I574" t="str">
        <f t="shared" si="16"/>
        <v>321</v>
      </c>
      <c r="J574" t="s">
        <v>2302</v>
      </c>
      <c r="K574" t="s">
        <v>2299</v>
      </c>
      <c r="L574" t="str">
        <f t="shared" si="17"/>
        <v>High Risk</v>
      </c>
      <c r="M574" t="str">
        <f>IFERROR(VLOOKUP(A583,Promo_Pivot!A:C,3,FALSE),"No")</f>
        <v>Yes</v>
      </c>
    </row>
    <row r="575" spans="1:13" x14ac:dyDescent="0.35">
      <c r="A575" t="s">
        <v>1771</v>
      </c>
      <c r="B575" s="2">
        <v>45497</v>
      </c>
      <c r="C575">
        <v>962</v>
      </c>
      <c r="D575">
        <v>1</v>
      </c>
      <c r="E575">
        <v>95</v>
      </c>
      <c r="F575">
        <v>2</v>
      </c>
      <c r="G575">
        <v>2</v>
      </c>
      <c r="H575">
        <v>2</v>
      </c>
      <c r="I575" t="str">
        <f t="shared" si="16"/>
        <v>222</v>
      </c>
      <c r="J575" t="s">
        <v>2300</v>
      </c>
      <c r="K575" t="s">
        <v>2301</v>
      </c>
      <c r="L575" t="str">
        <f t="shared" si="17"/>
        <v>Very High Risk</v>
      </c>
      <c r="M575" t="str">
        <f>IFERROR(VLOOKUP(A584,Promo_Pivot!A:C,3,FALSE),"No")</f>
        <v>Yes</v>
      </c>
    </row>
    <row r="576" spans="1:13" x14ac:dyDescent="0.35">
      <c r="A576" t="s">
        <v>1772</v>
      </c>
      <c r="B576" s="2">
        <v>45523</v>
      </c>
      <c r="C576">
        <v>1167</v>
      </c>
      <c r="D576">
        <v>1</v>
      </c>
      <c r="E576">
        <v>69</v>
      </c>
      <c r="F576">
        <v>3</v>
      </c>
      <c r="G576">
        <v>2</v>
      </c>
      <c r="H576">
        <v>2</v>
      </c>
      <c r="I576" t="str">
        <f t="shared" si="16"/>
        <v>322</v>
      </c>
      <c r="J576" t="s">
        <v>2302</v>
      </c>
      <c r="K576" t="s">
        <v>2299</v>
      </c>
      <c r="L576" t="str">
        <f t="shared" si="17"/>
        <v>High Risk</v>
      </c>
      <c r="M576" t="str">
        <f>IFERROR(VLOOKUP(A585,Promo_Pivot!A:C,3,FALSE),"No")</f>
        <v>Yes</v>
      </c>
    </row>
    <row r="577" spans="1:13" x14ac:dyDescent="0.35">
      <c r="A577" t="s">
        <v>1773</v>
      </c>
      <c r="B577" s="2">
        <v>45407</v>
      </c>
      <c r="C577">
        <v>259</v>
      </c>
      <c r="D577">
        <v>1</v>
      </c>
      <c r="E577">
        <v>185</v>
      </c>
      <c r="F577">
        <v>1</v>
      </c>
      <c r="G577">
        <v>2</v>
      </c>
      <c r="H577">
        <v>1</v>
      </c>
      <c r="I577" t="str">
        <f t="shared" si="16"/>
        <v>121</v>
      </c>
      <c r="J577" t="s">
        <v>2300</v>
      </c>
      <c r="K577" t="s">
        <v>2301</v>
      </c>
      <c r="L577" t="str">
        <f t="shared" si="17"/>
        <v>Critical Risk</v>
      </c>
      <c r="M577" t="str">
        <f>IFERROR(VLOOKUP(A586,Promo_Pivot!A:C,3,FALSE),"No")</f>
        <v>Yes</v>
      </c>
    </row>
    <row r="578" spans="1:13" x14ac:dyDescent="0.35">
      <c r="A578" t="s">
        <v>1774</v>
      </c>
      <c r="B578" s="2">
        <v>45463</v>
      </c>
      <c r="C578">
        <v>302</v>
      </c>
      <c r="D578">
        <v>1</v>
      </c>
      <c r="E578">
        <v>129</v>
      </c>
      <c r="F578">
        <v>2</v>
      </c>
      <c r="G578">
        <v>2</v>
      </c>
      <c r="H578">
        <v>1</v>
      </c>
      <c r="I578" t="str">
        <f t="shared" si="16"/>
        <v>221</v>
      </c>
      <c r="J578" t="s">
        <v>2300</v>
      </c>
      <c r="K578" t="s">
        <v>2301</v>
      </c>
      <c r="L578" t="str">
        <f t="shared" si="17"/>
        <v>Very High Risk</v>
      </c>
      <c r="M578" t="str">
        <f>IFERROR(VLOOKUP(A587,Promo_Pivot!A:C,3,FALSE),"No")</f>
        <v>Yes</v>
      </c>
    </row>
    <row r="579" spans="1:13" x14ac:dyDescent="0.35">
      <c r="A579" t="s">
        <v>1694</v>
      </c>
      <c r="B579" s="2">
        <v>45310</v>
      </c>
      <c r="C579">
        <v>440</v>
      </c>
      <c r="D579">
        <v>1</v>
      </c>
      <c r="E579">
        <v>282</v>
      </c>
      <c r="F579">
        <v>1</v>
      </c>
      <c r="G579">
        <v>2</v>
      </c>
      <c r="H579">
        <v>1</v>
      </c>
      <c r="I579" t="str">
        <f t="shared" ref="I579:I589" si="18">F579&amp;G579&amp;H579</f>
        <v>121</v>
      </c>
      <c r="J579" t="s">
        <v>2300</v>
      </c>
      <c r="K579" t="s">
        <v>2301</v>
      </c>
      <c r="L579" t="str">
        <f t="shared" ref="L579:L589" si="19">IF(E581&lt;=30,"Low Risk",
IF(E579&lt;=60,"Moderate Risk",
IF(E579&lt;=90,"High Risk",
IF(E579&lt;=180,"Very High Risk","Critical Risk"))))</f>
        <v>Critical Risk</v>
      </c>
      <c r="M579" t="str">
        <f>IFERROR(VLOOKUP(A588,Promo_Pivot!A:C,3,FALSE),"No")</f>
        <v>Yes</v>
      </c>
    </row>
    <row r="580" spans="1:13" x14ac:dyDescent="0.35">
      <c r="A580" t="s">
        <v>1775</v>
      </c>
      <c r="B580" s="2">
        <v>45335</v>
      </c>
      <c r="C580">
        <v>1221</v>
      </c>
      <c r="D580">
        <v>1</v>
      </c>
      <c r="E580">
        <v>257</v>
      </c>
      <c r="F580">
        <v>1</v>
      </c>
      <c r="G580">
        <v>2</v>
      </c>
      <c r="H580">
        <v>2</v>
      </c>
      <c r="I580" t="str">
        <f t="shared" si="18"/>
        <v>122</v>
      </c>
      <c r="J580" t="s">
        <v>2300</v>
      </c>
      <c r="K580" t="s">
        <v>2301</v>
      </c>
      <c r="L580" t="str">
        <f t="shared" si="19"/>
        <v>Low Risk</v>
      </c>
      <c r="M580" t="str">
        <f>IFERROR(VLOOKUP(A589,Promo_Pivot!A:C,3,FALSE),"No")</f>
        <v>Yes</v>
      </c>
    </row>
    <row r="581" spans="1:13" x14ac:dyDescent="0.35">
      <c r="A581" t="s">
        <v>1776</v>
      </c>
      <c r="B581" s="2">
        <v>45459</v>
      </c>
      <c r="C581">
        <v>663</v>
      </c>
      <c r="D581">
        <v>1</v>
      </c>
      <c r="E581">
        <v>133</v>
      </c>
      <c r="F581">
        <v>2</v>
      </c>
      <c r="G581">
        <v>2</v>
      </c>
      <c r="H581">
        <v>1</v>
      </c>
      <c r="I581" t="str">
        <f t="shared" si="18"/>
        <v>221</v>
      </c>
      <c r="J581" t="s">
        <v>2300</v>
      </c>
      <c r="K581" t="s">
        <v>2301</v>
      </c>
      <c r="L581" t="str">
        <f t="shared" si="19"/>
        <v>Very High Risk</v>
      </c>
      <c r="M581" t="str">
        <f>IFERROR(VLOOKUP(A590,Promo_Pivot!A:C,3,FALSE),"No")</f>
        <v>No</v>
      </c>
    </row>
    <row r="582" spans="1:13" x14ac:dyDescent="0.35">
      <c r="A582" t="s">
        <v>1777</v>
      </c>
      <c r="B582" s="2">
        <v>45588</v>
      </c>
      <c r="C582">
        <v>1329</v>
      </c>
      <c r="D582">
        <v>1</v>
      </c>
      <c r="E582">
        <v>4</v>
      </c>
      <c r="F582">
        <v>5</v>
      </c>
      <c r="G582">
        <v>2</v>
      </c>
      <c r="H582">
        <v>2</v>
      </c>
      <c r="I582" t="str">
        <f t="shared" si="18"/>
        <v>522</v>
      </c>
      <c r="J582" t="s">
        <v>2298</v>
      </c>
      <c r="K582" t="s">
        <v>2299</v>
      </c>
      <c r="L582" t="str">
        <f t="shared" si="19"/>
        <v>Moderate Risk</v>
      </c>
      <c r="M582" t="str">
        <f>IFERROR(VLOOKUP(A591,Promo_Pivot!A:C,3,FALSE),"No")</f>
        <v>No</v>
      </c>
    </row>
    <row r="583" spans="1:13" x14ac:dyDescent="0.35">
      <c r="A583" t="s">
        <v>1778</v>
      </c>
      <c r="B583" s="2">
        <v>45478</v>
      </c>
      <c r="C583">
        <v>399</v>
      </c>
      <c r="D583">
        <v>1</v>
      </c>
      <c r="E583">
        <v>114</v>
      </c>
      <c r="F583">
        <v>2</v>
      </c>
      <c r="G583">
        <v>2</v>
      </c>
      <c r="H583">
        <v>1</v>
      </c>
      <c r="I583" t="str">
        <f t="shared" si="18"/>
        <v>221</v>
      </c>
      <c r="J583" t="s">
        <v>2300</v>
      </c>
      <c r="K583" t="s">
        <v>2301</v>
      </c>
      <c r="L583" t="str">
        <f t="shared" si="19"/>
        <v>Very High Risk</v>
      </c>
      <c r="M583" t="str">
        <f>IFERROR(VLOOKUP(A592,Promo_Pivot!A:C,3,FALSE),"No")</f>
        <v>No</v>
      </c>
    </row>
    <row r="584" spans="1:13" x14ac:dyDescent="0.35">
      <c r="A584" t="s">
        <v>1779</v>
      </c>
      <c r="B584" s="2">
        <v>45516</v>
      </c>
      <c r="C584">
        <v>451</v>
      </c>
      <c r="D584">
        <v>1</v>
      </c>
      <c r="E584">
        <v>76</v>
      </c>
      <c r="F584">
        <v>3</v>
      </c>
      <c r="G584">
        <v>2</v>
      </c>
      <c r="H584">
        <v>1</v>
      </c>
      <c r="I584" t="str">
        <f t="shared" si="18"/>
        <v>321</v>
      </c>
      <c r="J584" t="s">
        <v>2302</v>
      </c>
      <c r="K584" t="s">
        <v>2299</v>
      </c>
      <c r="L584" t="str">
        <f t="shared" si="19"/>
        <v>High Risk</v>
      </c>
      <c r="M584" t="str">
        <f>IFERROR(VLOOKUP(A593,Promo_Pivot!A:C,3,FALSE),"No")</f>
        <v>No</v>
      </c>
    </row>
    <row r="585" spans="1:13" x14ac:dyDescent="0.35">
      <c r="A585" t="s">
        <v>1780</v>
      </c>
      <c r="B585" s="2">
        <v>45491</v>
      </c>
      <c r="C585">
        <v>654</v>
      </c>
      <c r="D585">
        <v>1</v>
      </c>
      <c r="E585">
        <v>101</v>
      </c>
      <c r="F585">
        <v>2</v>
      </c>
      <c r="G585">
        <v>2</v>
      </c>
      <c r="H585">
        <v>1</v>
      </c>
      <c r="I585" t="str">
        <f t="shared" si="18"/>
        <v>221</v>
      </c>
      <c r="J585" t="s">
        <v>2300</v>
      </c>
      <c r="K585" t="s">
        <v>2301</v>
      </c>
      <c r="L585" t="str">
        <f t="shared" si="19"/>
        <v>Very High Risk</v>
      </c>
      <c r="M585" t="str">
        <f>IFERROR(VLOOKUP(A594,Promo_Pivot!A:C,3,FALSE),"No")</f>
        <v>No</v>
      </c>
    </row>
    <row r="586" spans="1:13" x14ac:dyDescent="0.35">
      <c r="A586" t="s">
        <v>1781</v>
      </c>
      <c r="B586" s="2">
        <v>45435</v>
      </c>
      <c r="C586">
        <v>665</v>
      </c>
      <c r="D586">
        <v>1</v>
      </c>
      <c r="E586">
        <v>157</v>
      </c>
      <c r="F586">
        <v>1</v>
      </c>
      <c r="G586">
        <v>2</v>
      </c>
      <c r="H586">
        <v>1</v>
      </c>
      <c r="I586" t="str">
        <f t="shared" si="18"/>
        <v>121</v>
      </c>
      <c r="J586" t="s">
        <v>2300</v>
      </c>
      <c r="K586" t="s">
        <v>2301</v>
      </c>
      <c r="L586" t="str">
        <f t="shared" si="19"/>
        <v>Very High Risk</v>
      </c>
      <c r="M586" t="str">
        <f>IFERROR(VLOOKUP(A595,Promo_Pivot!A:C,3,FALSE),"No")</f>
        <v>No</v>
      </c>
    </row>
    <row r="587" spans="1:13" x14ac:dyDescent="0.35">
      <c r="A587" t="s">
        <v>1782</v>
      </c>
      <c r="B587" s="2">
        <v>45561</v>
      </c>
      <c r="C587">
        <v>1371</v>
      </c>
      <c r="D587">
        <v>1</v>
      </c>
      <c r="E587">
        <v>31</v>
      </c>
      <c r="F587">
        <v>4</v>
      </c>
      <c r="G587">
        <v>2</v>
      </c>
      <c r="H587">
        <v>2</v>
      </c>
      <c r="I587" t="str">
        <f t="shared" si="18"/>
        <v>422</v>
      </c>
      <c r="J587" t="s">
        <v>2298</v>
      </c>
      <c r="K587" t="s">
        <v>2299</v>
      </c>
      <c r="L587" t="str">
        <f t="shared" si="19"/>
        <v>Moderate Risk</v>
      </c>
      <c r="M587" t="str">
        <f>IFERROR(VLOOKUP(A596,Promo_Pivot!A:C,3,FALSE),"No")</f>
        <v>No</v>
      </c>
    </row>
    <row r="588" spans="1:13" x14ac:dyDescent="0.35">
      <c r="A588" t="s">
        <v>1783</v>
      </c>
      <c r="B588" s="2">
        <v>45379</v>
      </c>
      <c r="C588">
        <v>597</v>
      </c>
      <c r="D588">
        <v>1</v>
      </c>
      <c r="E588">
        <v>213</v>
      </c>
      <c r="F588">
        <v>1</v>
      </c>
      <c r="G588">
        <v>2</v>
      </c>
      <c r="H588">
        <v>1</v>
      </c>
      <c r="I588" t="str">
        <f t="shared" si="18"/>
        <v>121</v>
      </c>
      <c r="J588" t="s">
        <v>2300</v>
      </c>
      <c r="K588" t="s">
        <v>2301</v>
      </c>
      <c r="L588" t="str">
        <f t="shared" si="19"/>
        <v>Low Risk</v>
      </c>
      <c r="M588" t="str">
        <f>IFERROR(VLOOKUP(A597,Promo_Pivot!A:C,3,FALSE),"No")</f>
        <v>No</v>
      </c>
    </row>
    <row r="589" spans="1:13" x14ac:dyDescent="0.35">
      <c r="A589" t="s">
        <v>1784</v>
      </c>
      <c r="B589" s="2">
        <v>45455</v>
      </c>
      <c r="C589">
        <v>966</v>
      </c>
      <c r="D589">
        <v>1</v>
      </c>
      <c r="E589">
        <v>137</v>
      </c>
      <c r="F589">
        <v>2</v>
      </c>
      <c r="G589">
        <v>2</v>
      </c>
      <c r="H589">
        <v>2</v>
      </c>
      <c r="I589" t="str">
        <f t="shared" si="18"/>
        <v>222</v>
      </c>
      <c r="J589" t="s">
        <v>2300</v>
      </c>
      <c r="K589" t="s">
        <v>2301</v>
      </c>
      <c r="L589" t="str">
        <f t="shared" si="19"/>
        <v>Low Risk</v>
      </c>
      <c r="M589" t="str">
        <f>IFERROR(VLOOKUP(A598,Promo_Pivot!A:C,3,FALSE),"No")</f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3AA1-585C-400F-A482-2B64BD2DF8EA}">
  <dimension ref="A3:E6"/>
  <sheetViews>
    <sheetView workbookViewId="0">
      <selection activeCell="A10" sqref="A10"/>
    </sheetView>
  </sheetViews>
  <sheetFormatPr defaultRowHeight="14.5" x14ac:dyDescent="0.35"/>
  <cols>
    <col min="1" max="1" width="12.453125" bestFit="1" customWidth="1"/>
    <col min="2" max="2" width="22.08984375" bestFit="1" customWidth="1"/>
    <col min="3" max="3" width="17.81640625" bestFit="1" customWidth="1"/>
    <col min="4" max="4" width="18.7265625" bestFit="1" customWidth="1"/>
    <col min="5" max="5" width="17.6328125" bestFit="1" customWidth="1"/>
  </cols>
  <sheetData>
    <row r="3" spans="1:5" x14ac:dyDescent="0.35">
      <c r="A3" s="4" t="s">
        <v>2277</v>
      </c>
      <c r="B3" t="s">
        <v>2309</v>
      </c>
      <c r="C3" t="s">
        <v>2305</v>
      </c>
      <c r="D3" t="s">
        <v>2308</v>
      </c>
      <c r="E3" t="s">
        <v>2307</v>
      </c>
    </row>
    <row r="4" spans="1:5" x14ac:dyDescent="0.35">
      <c r="A4" s="5" t="s">
        <v>2299</v>
      </c>
      <c r="B4">
        <v>40.864406779661017</v>
      </c>
      <c r="C4">
        <v>354</v>
      </c>
      <c r="D4">
        <v>3.2259887005649719</v>
      </c>
      <c r="E4">
        <v>2770.4774011299437</v>
      </c>
    </row>
    <row r="5" spans="1:5" x14ac:dyDescent="0.35">
      <c r="A5" s="5" t="s">
        <v>2301</v>
      </c>
      <c r="B5">
        <v>162.85470085470087</v>
      </c>
      <c r="C5">
        <v>234</v>
      </c>
      <c r="D5">
        <v>2</v>
      </c>
      <c r="E5">
        <v>1672.7008547008547</v>
      </c>
    </row>
    <row r="6" spans="1:5" x14ac:dyDescent="0.35">
      <c r="A6" s="5" t="s">
        <v>2278</v>
      </c>
      <c r="B6">
        <v>89.411564625850346</v>
      </c>
      <c r="C6">
        <v>588</v>
      </c>
      <c r="D6">
        <v>2.7380952380952381</v>
      </c>
      <c r="E6">
        <v>2333.6071428571427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81EF-1954-4A2D-A432-9F840569510C}">
  <dimension ref="A3:C9"/>
  <sheetViews>
    <sheetView workbookViewId="0">
      <selection activeCell="B13" sqref="B13"/>
    </sheetView>
  </sheetViews>
  <sheetFormatPr defaultRowHeight="14.5" x14ac:dyDescent="0.35"/>
  <cols>
    <col min="1" max="1" width="12.453125" bestFit="1" customWidth="1"/>
    <col min="2" max="2" width="14.81640625" bestFit="1" customWidth="1"/>
    <col min="3" max="3" width="17.81640625" bestFit="1" customWidth="1"/>
  </cols>
  <sheetData>
    <row r="3" spans="1:3" x14ac:dyDescent="0.35">
      <c r="A3" s="4" t="s">
        <v>2277</v>
      </c>
      <c r="B3" t="s">
        <v>2306</v>
      </c>
      <c r="C3" t="s">
        <v>2305</v>
      </c>
    </row>
    <row r="4" spans="1:3" x14ac:dyDescent="0.35">
      <c r="A4" s="5" t="s">
        <v>2311</v>
      </c>
      <c r="B4">
        <v>103417</v>
      </c>
      <c r="C4">
        <v>76</v>
      </c>
    </row>
    <row r="5" spans="1:3" x14ac:dyDescent="0.35">
      <c r="A5" s="5" t="s">
        <v>2312</v>
      </c>
      <c r="B5">
        <v>195985</v>
      </c>
      <c r="C5">
        <v>69</v>
      </c>
    </row>
    <row r="6" spans="1:3" x14ac:dyDescent="0.35">
      <c r="A6" s="5" t="s">
        <v>2313</v>
      </c>
      <c r="B6">
        <v>346450</v>
      </c>
      <c r="C6">
        <v>132</v>
      </c>
    </row>
    <row r="7" spans="1:3" x14ac:dyDescent="0.35">
      <c r="A7" s="5" t="s">
        <v>2314</v>
      </c>
      <c r="B7">
        <v>521780</v>
      </c>
      <c r="C7">
        <v>199</v>
      </c>
    </row>
    <row r="8" spans="1:3" x14ac:dyDescent="0.35">
      <c r="A8" s="5" t="s">
        <v>2315</v>
      </c>
      <c r="B8">
        <v>204529</v>
      </c>
      <c r="C8">
        <v>112</v>
      </c>
    </row>
    <row r="9" spans="1:3" x14ac:dyDescent="0.35">
      <c r="A9" s="5" t="s">
        <v>2278</v>
      </c>
      <c r="B9">
        <v>1372161</v>
      </c>
      <c r="C9">
        <v>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689F-3E8C-41E5-A966-6815A21190C4}">
  <dimension ref="A3:C14"/>
  <sheetViews>
    <sheetView workbookViewId="0">
      <selection activeCell="C20" sqref="C20"/>
    </sheetView>
  </sheetViews>
  <sheetFormatPr defaultRowHeight="14.5" x14ac:dyDescent="0.35"/>
  <cols>
    <col min="1" max="1" width="12.453125" bestFit="1" customWidth="1"/>
    <col min="2" max="2" width="18.6328125" bestFit="1" customWidth="1"/>
  </cols>
  <sheetData>
    <row r="3" spans="1:3" x14ac:dyDescent="0.35">
      <c r="A3" s="4" t="s">
        <v>2277</v>
      </c>
      <c r="B3" t="s">
        <v>2297</v>
      </c>
      <c r="C3" t="s">
        <v>2326</v>
      </c>
    </row>
    <row r="4" spans="1:3" x14ac:dyDescent="0.35">
      <c r="A4" s="5" t="s">
        <v>2316</v>
      </c>
      <c r="B4">
        <v>149365</v>
      </c>
    </row>
    <row r="5" spans="1:3" x14ac:dyDescent="0.35">
      <c r="A5" s="5" t="s">
        <v>2317</v>
      </c>
      <c r="B5">
        <v>113348</v>
      </c>
    </row>
    <row r="6" spans="1:3" x14ac:dyDescent="0.35">
      <c r="A6" s="5" t="s">
        <v>2318</v>
      </c>
      <c r="B6">
        <v>136290</v>
      </c>
      <c r="C6">
        <f>AVERAGE(B4:B6)</f>
        <v>133001</v>
      </c>
    </row>
    <row r="7" spans="1:3" x14ac:dyDescent="0.35">
      <c r="A7" s="5" t="s">
        <v>2319</v>
      </c>
      <c r="B7">
        <v>165172</v>
      </c>
      <c r="C7">
        <f t="shared" ref="C7:C14" si="0">AVERAGE(B5:B7)</f>
        <v>138270</v>
      </c>
    </row>
    <row r="8" spans="1:3" x14ac:dyDescent="0.35">
      <c r="A8" s="5" t="s">
        <v>2320</v>
      </c>
      <c r="B8">
        <v>123285</v>
      </c>
      <c r="C8">
        <f t="shared" si="0"/>
        <v>141582.33333333334</v>
      </c>
    </row>
    <row r="9" spans="1:3" x14ac:dyDescent="0.35">
      <c r="A9" s="5" t="s">
        <v>2321</v>
      </c>
      <c r="B9">
        <v>110174</v>
      </c>
      <c r="C9">
        <f t="shared" si="0"/>
        <v>132877</v>
      </c>
    </row>
    <row r="10" spans="1:3" x14ac:dyDescent="0.35">
      <c r="A10" s="5" t="s">
        <v>2322</v>
      </c>
      <c r="B10">
        <v>156626</v>
      </c>
      <c r="C10">
        <f t="shared" si="0"/>
        <v>130028.33333333333</v>
      </c>
    </row>
    <row r="11" spans="1:3" x14ac:dyDescent="0.35">
      <c r="A11" s="5" t="s">
        <v>2323</v>
      </c>
      <c r="B11">
        <v>160019</v>
      </c>
      <c r="C11">
        <f t="shared" si="0"/>
        <v>142273</v>
      </c>
    </row>
    <row r="12" spans="1:3" x14ac:dyDescent="0.35">
      <c r="A12" s="5" t="s">
        <v>2324</v>
      </c>
      <c r="B12">
        <v>161381</v>
      </c>
      <c r="C12">
        <f t="shared" si="0"/>
        <v>159342</v>
      </c>
    </row>
    <row r="13" spans="1:3" x14ac:dyDescent="0.35">
      <c r="A13" s="5" t="s">
        <v>2325</v>
      </c>
      <c r="B13">
        <v>96501</v>
      </c>
      <c r="C13">
        <f t="shared" si="0"/>
        <v>139300.33333333334</v>
      </c>
    </row>
    <row r="14" spans="1:3" x14ac:dyDescent="0.35">
      <c r="A14" s="5" t="s">
        <v>2278</v>
      </c>
      <c r="B14">
        <v>1372161</v>
      </c>
      <c r="C14">
        <f t="shared" si="0"/>
        <v>543347.66666666663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4675-0ADC-408B-9C50-37AF488A39CA}">
  <dimension ref="A3:C592"/>
  <sheetViews>
    <sheetView topLeftCell="A583" workbookViewId="0">
      <selection activeCell="C594" sqref="C594:D598"/>
    </sheetView>
  </sheetViews>
  <sheetFormatPr defaultRowHeight="14.5" x14ac:dyDescent="0.35"/>
  <cols>
    <col min="1" max="1" width="12.453125" bestFit="1" customWidth="1"/>
    <col min="2" max="2" width="18.08984375" bestFit="1" customWidth="1"/>
  </cols>
  <sheetData>
    <row r="3" spans="1:3" x14ac:dyDescent="0.35">
      <c r="A3" s="4" t="s">
        <v>2277</v>
      </c>
      <c r="B3" t="s">
        <v>2332</v>
      </c>
      <c r="C3" t="s">
        <v>2333</v>
      </c>
    </row>
    <row r="4" spans="1:3" x14ac:dyDescent="0.35">
      <c r="A4" s="5" t="s">
        <v>1686</v>
      </c>
      <c r="B4" s="7">
        <v>1</v>
      </c>
      <c r="C4" t="str">
        <f>IF(B4&gt;0,"Yes","No")</f>
        <v>Yes</v>
      </c>
    </row>
    <row r="5" spans="1:3" x14ac:dyDescent="0.35">
      <c r="A5" s="5" t="s">
        <v>1695</v>
      </c>
      <c r="B5" s="7">
        <v>1</v>
      </c>
      <c r="C5" t="str">
        <f t="shared" ref="C5:C68" si="0">IF(B5&gt;0,"Yes","No")</f>
        <v>Yes</v>
      </c>
    </row>
    <row r="6" spans="1:3" x14ac:dyDescent="0.35">
      <c r="A6" s="5" t="s">
        <v>1785</v>
      </c>
      <c r="B6" s="7">
        <v>1</v>
      </c>
      <c r="C6" t="str">
        <f t="shared" si="0"/>
        <v>Yes</v>
      </c>
    </row>
    <row r="7" spans="1:3" x14ac:dyDescent="0.35">
      <c r="A7" s="5" t="s">
        <v>1786</v>
      </c>
      <c r="B7" s="7">
        <v>1</v>
      </c>
      <c r="C7" t="str">
        <f t="shared" si="0"/>
        <v>Yes</v>
      </c>
    </row>
    <row r="8" spans="1:3" x14ac:dyDescent="0.35">
      <c r="A8" s="5" t="s">
        <v>1787</v>
      </c>
      <c r="B8" s="7">
        <v>1</v>
      </c>
      <c r="C8" t="str">
        <f t="shared" si="0"/>
        <v>Yes</v>
      </c>
    </row>
    <row r="9" spans="1:3" x14ac:dyDescent="0.35">
      <c r="A9" s="5" t="s">
        <v>1788</v>
      </c>
      <c r="B9" s="7">
        <v>1</v>
      </c>
      <c r="C9" t="str">
        <f t="shared" si="0"/>
        <v>Yes</v>
      </c>
    </row>
    <row r="10" spans="1:3" x14ac:dyDescent="0.35">
      <c r="A10" s="5" t="s">
        <v>1789</v>
      </c>
      <c r="B10" s="7">
        <v>1</v>
      </c>
      <c r="C10" t="str">
        <f t="shared" si="0"/>
        <v>Yes</v>
      </c>
    </row>
    <row r="11" spans="1:3" x14ac:dyDescent="0.35">
      <c r="A11" s="5" t="s">
        <v>1790</v>
      </c>
      <c r="B11" s="7">
        <v>1</v>
      </c>
      <c r="C11" t="str">
        <f t="shared" si="0"/>
        <v>Yes</v>
      </c>
    </row>
    <row r="12" spans="1:3" x14ac:dyDescent="0.35">
      <c r="A12" s="5" t="s">
        <v>1791</v>
      </c>
      <c r="B12" s="7">
        <v>1</v>
      </c>
      <c r="C12" t="str">
        <f t="shared" si="0"/>
        <v>Yes</v>
      </c>
    </row>
    <row r="13" spans="1:3" x14ac:dyDescent="0.35">
      <c r="A13" s="5" t="s">
        <v>1792</v>
      </c>
      <c r="B13" s="7">
        <v>1</v>
      </c>
      <c r="C13" t="str">
        <f t="shared" si="0"/>
        <v>Yes</v>
      </c>
    </row>
    <row r="14" spans="1:3" x14ac:dyDescent="0.35">
      <c r="A14" s="5" t="s">
        <v>1793</v>
      </c>
      <c r="B14" s="7">
        <v>1</v>
      </c>
      <c r="C14" t="str">
        <f t="shared" si="0"/>
        <v>Yes</v>
      </c>
    </row>
    <row r="15" spans="1:3" x14ac:dyDescent="0.35">
      <c r="A15" s="5" t="s">
        <v>1794</v>
      </c>
      <c r="B15" s="7">
        <v>1</v>
      </c>
      <c r="C15" t="str">
        <f t="shared" si="0"/>
        <v>Yes</v>
      </c>
    </row>
    <row r="16" spans="1:3" x14ac:dyDescent="0.35">
      <c r="A16" s="5" t="s">
        <v>1696</v>
      </c>
      <c r="B16" s="7">
        <v>1</v>
      </c>
      <c r="C16" t="str">
        <f t="shared" si="0"/>
        <v>Yes</v>
      </c>
    </row>
    <row r="17" spans="1:3" x14ac:dyDescent="0.35">
      <c r="A17" s="5" t="s">
        <v>1795</v>
      </c>
      <c r="B17" s="7">
        <v>1</v>
      </c>
      <c r="C17" t="str">
        <f t="shared" si="0"/>
        <v>Yes</v>
      </c>
    </row>
    <row r="18" spans="1:3" x14ac:dyDescent="0.35">
      <c r="A18" s="5" t="s">
        <v>1796</v>
      </c>
      <c r="B18" s="7">
        <v>1</v>
      </c>
      <c r="C18" t="str">
        <f t="shared" si="0"/>
        <v>Yes</v>
      </c>
    </row>
    <row r="19" spans="1:3" x14ac:dyDescent="0.35">
      <c r="A19" s="5" t="s">
        <v>1797</v>
      </c>
      <c r="B19" s="7">
        <v>1</v>
      </c>
      <c r="C19" t="str">
        <f t="shared" si="0"/>
        <v>Yes</v>
      </c>
    </row>
    <row r="20" spans="1:3" x14ac:dyDescent="0.35">
      <c r="A20" s="5" t="s">
        <v>1798</v>
      </c>
      <c r="B20" s="7">
        <v>1</v>
      </c>
      <c r="C20" t="str">
        <f t="shared" si="0"/>
        <v>Yes</v>
      </c>
    </row>
    <row r="21" spans="1:3" x14ac:dyDescent="0.35">
      <c r="A21" s="5" t="s">
        <v>1799</v>
      </c>
      <c r="B21" s="7">
        <v>1</v>
      </c>
      <c r="C21" t="str">
        <f t="shared" si="0"/>
        <v>Yes</v>
      </c>
    </row>
    <row r="22" spans="1:3" x14ac:dyDescent="0.35">
      <c r="A22" s="5" t="s">
        <v>1800</v>
      </c>
      <c r="B22" s="7">
        <v>1</v>
      </c>
      <c r="C22" t="str">
        <f t="shared" si="0"/>
        <v>Yes</v>
      </c>
    </row>
    <row r="23" spans="1:3" x14ac:dyDescent="0.35">
      <c r="A23" s="5" t="s">
        <v>1801</v>
      </c>
      <c r="B23" s="7">
        <v>1</v>
      </c>
      <c r="C23" t="str">
        <f t="shared" si="0"/>
        <v>Yes</v>
      </c>
    </row>
    <row r="24" spans="1:3" x14ac:dyDescent="0.35">
      <c r="A24" s="5" t="s">
        <v>1802</v>
      </c>
      <c r="B24" s="7">
        <v>1</v>
      </c>
      <c r="C24" t="str">
        <f t="shared" si="0"/>
        <v>Yes</v>
      </c>
    </row>
    <row r="25" spans="1:3" x14ac:dyDescent="0.35">
      <c r="A25" s="5" t="s">
        <v>1803</v>
      </c>
      <c r="B25" s="7">
        <v>1</v>
      </c>
      <c r="C25" t="str">
        <f t="shared" si="0"/>
        <v>Yes</v>
      </c>
    </row>
    <row r="26" spans="1:3" x14ac:dyDescent="0.35">
      <c r="A26" s="5" t="s">
        <v>1804</v>
      </c>
      <c r="B26" s="7">
        <v>1</v>
      </c>
      <c r="C26" t="str">
        <f t="shared" si="0"/>
        <v>Yes</v>
      </c>
    </row>
    <row r="27" spans="1:3" x14ac:dyDescent="0.35">
      <c r="A27" s="5" t="s">
        <v>1697</v>
      </c>
      <c r="B27" s="7">
        <v>1</v>
      </c>
      <c r="C27" t="str">
        <f t="shared" si="0"/>
        <v>Yes</v>
      </c>
    </row>
    <row r="28" spans="1:3" x14ac:dyDescent="0.35">
      <c r="A28" s="5" t="s">
        <v>1805</v>
      </c>
      <c r="B28" s="7">
        <v>1</v>
      </c>
      <c r="C28" t="str">
        <f t="shared" si="0"/>
        <v>Yes</v>
      </c>
    </row>
    <row r="29" spans="1:3" x14ac:dyDescent="0.35">
      <c r="A29" s="5" t="s">
        <v>1806</v>
      </c>
      <c r="B29" s="7">
        <v>1</v>
      </c>
      <c r="C29" t="str">
        <f t="shared" si="0"/>
        <v>Yes</v>
      </c>
    </row>
    <row r="30" spans="1:3" x14ac:dyDescent="0.35">
      <c r="A30" s="5" t="s">
        <v>1807</v>
      </c>
      <c r="B30" s="7">
        <v>1</v>
      </c>
      <c r="C30" t="str">
        <f t="shared" si="0"/>
        <v>Yes</v>
      </c>
    </row>
    <row r="31" spans="1:3" x14ac:dyDescent="0.35">
      <c r="A31" s="5" t="s">
        <v>1808</v>
      </c>
      <c r="B31" s="7">
        <v>1</v>
      </c>
      <c r="C31" t="str">
        <f t="shared" si="0"/>
        <v>Yes</v>
      </c>
    </row>
    <row r="32" spans="1:3" x14ac:dyDescent="0.35">
      <c r="A32" s="5" t="s">
        <v>1809</v>
      </c>
      <c r="B32" s="7">
        <v>1</v>
      </c>
      <c r="C32" t="str">
        <f t="shared" si="0"/>
        <v>Yes</v>
      </c>
    </row>
    <row r="33" spans="1:3" x14ac:dyDescent="0.35">
      <c r="A33" s="5" t="s">
        <v>1810</v>
      </c>
      <c r="B33" s="7">
        <v>1</v>
      </c>
      <c r="C33" t="str">
        <f t="shared" si="0"/>
        <v>Yes</v>
      </c>
    </row>
    <row r="34" spans="1:3" x14ac:dyDescent="0.35">
      <c r="A34" s="5" t="s">
        <v>1811</v>
      </c>
      <c r="B34" s="7">
        <v>1</v>
      </c>
      <c r="C34" t="str">
        <f t="shared" si="0"/>
        <v>Yes</v>
      </c>
    </row>
    <row r="35" spans="1:3" x14ac:dyDescent="0.35">
      <c r="A35" s="5" t="s">
        <v>1812</v>
      </c>
      <c r="B35" s="7">
        <v>1</v>
      </c>
      <c r="C35" t="str">
        <f t="shared" si="0"/>
        <v>Yes</v>
      </c>
    </row>
    <row r="36" spans="1:3" x14ac:dyDescent="0.35">
      <c r="A36" s="5" t="s">
        <v>1813</v>
      </c>
      <c r="B36" s="7">
        <v>1</v>
      </c>
      <c r="C36" t="str">
        <f t="shared" si="0"/>
        <v>Yes</v>
      </c>
    </row>
    <row r="37" spans="1:3" x14ac:dyDescent="0.35">
      <c r="A37" s="5" t="s">
        <v>1814</v>
      </c>
      <c r="B37" s="7">
        <v>1</v>
      </c>
      <c r="C37" t="str">
        <f t="shared" si="0"/>
        <v>Yes</v>
      </c>
    </row>
    <row r="38" spans="1:3" x14ac:dyDescent="0.35">
      <c r="A38" s="5" t="s">
        <v>1698</v>
      </c>
      <c r="B38" s="7">
        <v>1</v>
      </c>
      <c r="C38" t="str">
        <f t="shared" si="0"/>
        <v>Yes</v>
      </c>
    </row>
    <row r="39" spans="1:3" x14ac:dyDescent="0.35">
      <c r="A39" s="5" t="s">
        <v>1815</v>
      </c>
      <c r="B39" s="7">
        <v>1</v>
      </c>
      <c r="C39" t="str">
        <f t="shared" si="0"/>
        <v>Yes</v>
      </c>
    </row>
    <row r="40" spans="1:3" x14ac:dyDescent="0.35">
      <c r="A40" s="5" t="s">
        <v>1816</v>
      </c>
      <c r="B40" s="7">
        <v>1</v>
      </c>
      <c r="C40" t="str">
        <f t="shared" si="0"/>
        <v>Yes</v>
      </c>
    </row>
    <row r="41" spans="1:3" x14ac:dyDescent="0.35">
      <c r="A41" s="5" t="s">
        <v>1817</v>
      </c>
      <c r="B41" s="7">
        <v>1</v>
      </c>
      <c r="C41" t="str">
        <f t="shared" si="0"/>
        <v>Yes</v>
      </c>
    </row>
    <row r="42" spans="1:3" x14ac:dyDescent="0.35">
      <c r="A42" s="5" t="s">
        <v>1818</v>
      </c>
      <c r="B42" s="7">
        <v>1</v>
      </c>
      <c r="C42" t="str">
        <f t="shared" si="0"/>
        <v>Yes</v>
      </c>
    </row>
    <row r="43" spans="1:3" x14ac:dyDescent="0.35">
      <c r="A43" s="5" t="s">
        <v>1819</v>
      </c>
      <c r="B43" s="7">
        <v>1</v>
      </c>
      <c r="C43" t="str">
        <f t="shared" si="0"/>
        <v>Yes</v>
      </c>
    </row>
    <row r="44" spans="1:3" x14ac:dyDescent="0.35">
      <c r="A44" s="5" t="s">
        <v>1820</v>
      </c>
      <c r="B44" s="7">
        <v>1</v>
      </c>
      <c r="C44" t="str">
        <f t="shared" si="0"/>
        <v>Yes</v>
      </c>
    </row>
    <row r="45" spans="1:3" x14ac:dyDescent="0.35">
      <c r="A45" s="5" t="s">
        <v>1821</v>
      </c>
      <c r="B45" s="7">
        <v>1</v>
      </c>
      <c r="C45" t="str">
        <f t="shared" si="0"/>
        <v>Yes</v>
      </c>
    </row>
    <row r="46" spans="1:3" x14ac:dyDescent="0.35">
      <c r="A46" s="5" t="s">
        <v>1822</v>
      </c>
      <c r="B46" s="7">
        <v>1</v>
      </c>
      <c r="C46" t="str">
        <f t="shared" si="0"/>
        <v>Yes</v>
      </c>
    </row>
    <row r="47" spans="1:3" x14ac:dyDescent="0.35">
      <c r="A47" s="5" t="s">
        <v>1823</v>
      </c>
      <c r="B47" s="7">
        <v>1</v>
      </c>
      <c r="C47" t="str">
        <f t="shared" si="0"/>
        <v>Yes</v>
      </c>
    </row>
    <row r="48" spans="1:3" x14ac:dyDescent="0.35">
      <c r="A48" s="5" t="s">
        <v>1824</v>
      </c>
      <c r="B48" s="7">
        <v>1</v>
      </c>
      <c r="C48" t="str">
        <f t="shared" si="0"/>
        <v>Yes</v>
      </c>
    </row>
    <row r="49" spans="1:3" x14ac:dyDescent="0.35">
      <c r="A49" s="5" t="s">
        <v>1699</v>
      </c>
      <c r="B49" s="7">
        <v>1</v>
      </c>
      <c r="C49" t="str">
        <f t="shared" si="0"/>
        <v>Yes</v>
      </c>
    </row>
    <row r="50" spans="1:3" x14ac:dyDescent="0.35">
      <c r="A50" s="5" t="s">
        <v>1825</v>
      </c>
      <c r="B50" s="7">
        <v>1</v>
      </c>
      <c r="C50" t="str">
        <f t="shared" si="0"/>
        <v>Yes</v>
      </c>
    </row>
    <row r="51" spans="1:3" x14ac:dyDescent="0.35">
      <c r="A51" s="5" t="s">
        <v>1826</v>
      </c>
      <c r="B51" s="7">
        <v>1</v>
      </c>
      <c r="C51" t="str">
        <f t="shared" si="0"/>
        <v>Yes</v>
      </c>
    </row>
    <row r="52" spans="1:3" x14ac:dyDescent="0.35">
      <c r="A52" s="5" t="s">
        <v>1827</v>
      </c>
      <c r="B52" s="7">
        <v>1</v>
      </c>
      <c r="C52" t="str">
        <f t="shared" si="0"/>
        <v>Yes</v>
      </c>
    </row>
    <row r="53" spans="1:3" x14ac:dyDescent="0.35">
      <c r="A53" s="5" t="s">
        <v>1828</v>
      </c>
      <c r="B53" s="7">
        <v>1</v>
      </c>
      <c r="C53" t="str">
        <f t="shared" si="0"/>
        <v>Yes</v>
      </c>
    </row>
    <row r="54" spans="1:3" x14ac:dyDescent="0.35">
      <c r="A54" s="5" t="s">
        <v>1829</v>
      </c>
      <c r="B54" s="7">
        <v>1</v>
      </c>
      <c r="C54" t="str">
        <f t="shared" si="0"/>
        <v>Yes</v>
      </c>
    </row>
    <row r="55" spans="1:3" x14ac:dyDescent="0.35">
      <c r="A55" s="5" t="s">
        <v>1830</v>
      </c>
      <c r="B55" s="7">
        <v>1</v>
      </c>
      <c r="C55" t="str">
        <f t="shared" si="0"/>
        <v>Yes</v>
      </c>
    </row>
    <row r="56" spans="1:3" x14ac:dyDescent="0.35">
      <c r="A56" s="5" t="s">
        <v>1831</v>
      </c>
      <c r="B56" s="7">
        <v>1</v>
      </c>
      <c r="C56" t="str">
        <f t="shared" si="0"/>
        <v>Yes</v>
      </c>
    </row>
    <row r="57" spans="1:3" x14ac:dyDescent="0.35">
      <c r="A57" s="5" t="s">
        <v>1832</v>
      </c>
      <c r="B57" s="7">
        <v>1</v>
      </c>
      <c r="C57" t="str">
        <f t="shared" si="0"/>
        <v>Yes</v>
      </c>
    </row>
    <row r="58" spans="1:3" x14ac:dyDescent="0.35">
      <c r="A58" s="5" t="s">
        <v>1833</v>
      </c>
      <c r="B58" s="7">
        <v>1</v>
      </c>
      <c r="C58" t="str">
        <f t="shared" si="0"/>
        <v>Yes</v>
      </c>
    </row>
    <row r="59" spans="1:3" x14ac:dyDescent="0.35">
      <c r="A59" s="5" t="s">
        <v>1834</v>
      </c>
      <c r="B59" s="7">
        <v>1</v>
      </c>
      <c r="C59" t="str">
        <f t="shared" si="0"/>
        <v>Yes</v>
      </c>
    </row>
    <row r="60" spans="1:3" x14ac:dyDescent="0.35">
      <c r="A60" s="5" t="s">
        <v>1700</v>
      </c>
      <c r="B60" s="7">
        <v>1</v>
      </c>
      <c r="C60" t="str">
        <f t="shared" si="0"/>
        <v>Yes</v>
      </c>
    </row>
    <row r="61" spans="1:3" x14ac:dyDescent="0.35">
      <c r="A61" s="5" t="s">
        <v>1835</v>
      </c>
      <c r="B61" s="7">
        <v>1</v>
      </c>
      <c r="C61" t="str">
        <f t="shared" si="0"/>
        <v>Yes</v>
      </c>
    </row>
    <row r="62" spans="1:3" x14ac:dyDescent="0.35">
      <c r="A62" s="5" t="s">
        <v>1836</v>
      </c>
      <c r="B62" s="7">
        <v>1</v>
      </c>
      <c r="C62" t="str">
        <f t="shared" si="0"/>
        <v>Yes</v>
      </c>
    </row>
    <row r="63" spans="1:3" x14ac:dyDescent="0.35">
      <c r="A63" s="5" t="s">
        <v>1837</v>
      </c>
      <c r="B63" s="7">
        <v>1</v>
      </c>
      <c r="C63" t="str">
        <f t="shared" si="0"/>
        <v>Yes</v>
      </c>
    </row>
    <row r="64" spans="1:3" x14ac:dyDescent="0.35">
      <c r="A64" s="5" t="s">
        <v>1838</v>
      </c>
      <c r="B64" s="7">
        <v>1</v>
      </c>
      <c r="C64" t="str">
        <f t="shared" si="0"/>
        <v>Yes</v>
      </c>
    </row>
    <row r="65" spans="1:3" x14ac:dyDescent="0.35">
      <c r="A65" s="5" t="s">
        <v>1839</v>
      </c>
      <c r="B65" s="7">
        <v>1</v>
      </c>
      <c r="C65" t="str">
        <f t="shared" si="0"/>
        <v>Yes</v>
      </c>
    </row>
    <row r="66" spans="1:3" x14ac:dyDescent="0.35">
      <c r="A66" s="5" t="s">
        <v>1840</v>
      </c>
      <c r="B66" s="7">
        <v>1</v>
      </c>
      <c r="C66" t="str">
        <f t="shared" si="0"/>
        <v>Yes</v>
      </c>
    </row>
    <row r="67" spans="1:3" x14ac:dyDescent="0.35">
      <c r="A67" s="5" t="s">
        <v>1841</v>
      </c>
      <c r="B67" s="7">
        <v>1</v>
      </c>
      <c r="C67" t="str">
        <f t="shared" si="0"/>
        <v>Yes</v>
      </c>
    </row>
    <row r="68" spans="1:3" x14ac:dyDescent="0.35">
      <c r="A68" s="5" t="s">
        <v>1842</v>
      </c>
      <c r="B68" s="7">
        <v>1</v>
      </c>
      <c r="C68" t="str">
        <f t="shared" si="0"/>
        <v>Yes</v>
      </c>
    </row>
    <row r="69" spans="1:3" x14ac:dyDescent="0.35">
      <c r="A69" s="5" t="s">
        <v>1843</v>
      </c>
      <c r="B69" s="7">
        <v>1</v>
      </c>
      <c r="C69" t="str">
        <f t="shared" ref="C69:C132" si="1">IF(B69&gt;0,"Yes","No")</f>
        <v>Yes</v>
      </c>
    </row>
    <row r="70" spans="1:3" x14ac:dyDescent="0.35">
      <c r="A70" s="5" t="s">
        <v>1844</v>
      </c>
      <c r="B70" s="7">
        <v>1</v>
      </c>
      <c r="C70" t="str">
        <f t="shared" si="1"/>
        <v>Yes</v>
      </c>
    </row>
    <row r="71" spans="1:3" x14ac:dyDescent="0.35">
      <c r="A71" s="5" t="s">
        <v>1701</v>
      </c>
      <c r="B71" s="7">
        <v>1</v>
      </c>
      <c r="C71" t="str">
        <f t="shared" si="1"/>
        <v>Yes</v>
      </c>
    </row>
    <row r="72" spans="1:3" x14ac:dyDescent="0.35">
      <c r="A72" s="5" t="s">
        <v>1845</v>
      </c>
      <c r="B72" s="7">
        <v>1</v>
      </c>
      <c r="C72" t="str">
        <f t="shared" si="1"/>
        <v>Yes</v>
      </c>
    </row>
    <row r="73" spans="1:3" x14ac:dyDescent="0.35">
      <c r="A73" s="5" t="s">
        <v>1846</v>
      </c>
      <c r="B73" s="7">
        <v>1</v>
      </c>
      <c r="C73" t="str">
        <f t="shared" si="1"/>
        <v>Yes</v>
      </c>
    </row>
    <row r="74" spans="1:3" x14ac:dyDescent="0.35">
      <c r="A74" s="5" t="s">
        <v>1847</v>
      </c>
      <c r="B74" s="7">
        <v>1</v>
      </c>
      <c r="C74" t="str">
        <f t="shared" si="1"/>
        <v>Yes</v>
      </c>
    </row>
    <row r="75" spans="1:3" x14ac:dyDescent="0.35">
      <c r="A75" s="5" t="s">
        <v>1848</v>
      </c>
      <c r="B75" s="7">
        <v>1</v>
      </c>
      <c r="C75" t="str">
        <f t="shared" si="1"/>
        <v>Yes</v>
      </c>
    </row>
    <row r="76" spans="1:3" x14ac:dyDescent="0.35">
      <c r="A76" s="5" t="s">
        <v>1849</v>
      </c>
      <c r="B76" s="7">
        <v>1</v>
      </c>
      <c r="C76" t="str">
        <f t="shared" si="1"/>
        <v>Yes</v>
      </c>
    </row>
    <row r="77" spans="1:3" x14ac:dyDescent="0.35">
      <c r="A77" s="5" t="s">
        <v>1850</v>
      </c>
      <c r="B77" s="7">
        <v>1</v>
      </c>
      <c r="C77" t="str">
        <f t="shared" si="1"/>
        <v>Yes</v>
      </c>
    </row>
    <row r="78" spans="1:3" x14ac:dyDescent="0.35">
      <c r="A78" s="5" t="s">
        <v>1851</v>
      </c>
      <c r="B78" s="7">
        <v>1</v>
      </c>
      <c r="C78" t="str">
        <f t="shared" si="1"/>
        <v>Yes</v>
      </c>
    </row>
    <row r="79" spans="1:3" x14ac:dyDescent="0.35">
      <c r="A79" s="5" t="s">
        <v>1852</v>
      </c>
      <c r="B79" s="7">
        <v>1</v>
      </c>
      <c r="C79" t="str">
        <f t="shared" si="1"/>
        <v>Yes</v>
      </c>
    </row>
    <row r="80" spans="1:3" x14ac:dyDescent="0.35">
      <c r="A80" s="5" t="s">
        <v>1853</v>
      </c>
      <c r="B80" s="7">
        <v>1</v>
      </c>
      <c r="C80" t="str">
        <f t="shared" si="1"/>
        <v>Yes</v>
      </c>
    </row>
    <row r="81" spans="1:3" x14ac:dyDescent="0.35">
      <c r="A81" s="5" t="s">
        <v>1854</v>
      </c>
      <c r="B81" s="7">
        <v>1</v>
      </c>
      <c r="C81" t="str">
        <f t="shared" si="1"/>
        <v>Yes</v>
      </c>
    </row>
    <row r="82" spans="1:3" x14ac:dyDescent="0.35">
      <c r="A82" s="5" t="s">
        <v>1702</v>
      </c>
      <c r="B82" s="7">
        <v>1</v>
      </c>
      <c r="C82" t="str">
        <f t="shared" si="1"/>
        <v>Yes</v>
      </c>
    </row>
    <row r="83" spans="1:3" x14ac:dyDescent="0.35">
      <c r="A83" s="5" t="s">
        <v>1855</v>
      </c>
      <c r="B83" s="7">
        <v>1</v>
      </c>
      <c r="C83" t="str">
        <f t="shared" si="1"/>
        <v>Yes</v>
      </c>
    </row>
    <row r="84" spans="1:3" x14ac:dyDescent="0.35">
      <c r="A84" s="5" t="s">
        <v>1856</v>
      </c>
      <c r="B84" s="7">
        <v>1</v>
      </c>
      <c r="C84" t="str">
        <f t="shared" si="1"/>
        <v>Yes</v>
      </c>
    </row>
    <row r="85" spans="1:3" x14ac:dyDescent="0.35">
      <c r="A85" s="5" t="s">
        <v>1857</v>
      </c>
      <c r="B85" s="7">
        <v>1</v>
      </c>
      <c r="C85" t="str">
        <f t="shared" si="1"/>
        <v>Yes</v>
      </c>
    </row>
    <row r="86" spans="1:3" x14ac:dyDescent="0.35">
      <c r="A86" s="5" t="s">
        <v>1858</v>
      </c>
      <c r="B86" s="7">
        <v>1</v>
      </c>
      <c r="C86" t="str">
        <f t="shared" si="1"/>
        <v>Yes</v>
      </c>
    </row>
    <row r="87" spans="1:3" x14ac:dyDescent="0.35">
      <c r="A87" s="5" t="s">
        <v>1859</v>
      </c>
      <c r="B87" s="7">
        <v>1</v>
      </c>
      <c r="C87" t="str">
        <f t="shared" si="1"/>
        <v>Yes</v>
      </c>
    </row>
    <row r="88" spans="1:3" x14ac:dyDescent="0.35">
      <c r="A88" s="5" t="s">
        <v>1860</v>
      </c>
      <c r="B88" s="7">
        <v>1</v>
      </c>
      <c r="C88" t="str">
        <f t="shared" si="1"/>
        <v>Yes</v>
      </c>
    </row>
    <row r="89" spans="1:3" x14ac:dyDescent="0.35">
      <c r="A89" s="5" t="s">
        <v>1861</v>
      </c>
      <c r="B89" s="7">
        <v>1</v>
      </c>
      <c r="C89" t="str">
        <f t="shared" si="1"/>
        <v>Yes</v>
      </c>
    </row>
    <row r="90" spans="1:3" x14ac:dyDescent="0.35">
      <c r="A90" s="5" t="s">
        <v>1862</v>
      </c>
      <c r="B90" s="7">
        <v>1</v>
      </c>
      <c r="C90" t="str">
        <f t="shared" si="1"/>
        <v>Yes</v>
      </c>
    </row>
    <row r="91" spans="1:3" x14ac:dyDescent="0.35">
      <c r="A91" s="5" t="s">
        <v>1863</v>
      </c>
      <c r="B91" s="7">
        <v>1</v>
      </c>
      <c r="C91" t="str">
        <f t="shared" si="1"/>
        <v>Yes</v>
      </c>
    </row>
    <row r="92" spans="1:3" x14ac:dyDescent="0.35">
      <c r="A92" s="5" t="s">
        <v>1864</v>
      </c>
      <c r="B92" s="7">
        <v>1</v>
      </c>
      <c r="C92" t="str">
        <f t="shared" si="1"/>
        <v>Yes</v>
      </c>
    </row>
    <row r="93" spans="1:3" x14ac:dyDescent="0.35">
      <c r="A93" s="5" t="s">
        <v>1703</v>
      </c>
      <c r="B93" s="7">
        <v>1</v>
      </c>
      <c r="C93" t="str">
        <f t="shared" si="1"/>
        <v>Yes</v>
      </c>
    </row>
    <row r="94" spans="1:3" x14ac:dyDescent="0.35">
      <c r="A94" s="5" t="s">
        <v>1865</v>
      </c>
      <c r="B94" s="7">
        <v>1</v>
      </c>
      <c r="C94" t="str">
        <f t="shared" si="1"/>
        <v>Yes</v>
      </c>
    </row>
    <row r="95" spans="1:3" x14ac:dyDescent="0.35">
      <c r="A95" s="5" t="s">
        <v>1866</v>
      </c>
      <c r="B95" s="7">
        <v>3</v>
      </c>
      <c r="C95" t="str">
        <f t="shared" si="1"/>
        <v>Yes</v>
      </c>
    </row>
    <row r="96" spans="1:3" x14ac:dyDescent="0.35">
      <c r="A96" s="5" t="s">
        <v>1867</v>
      </c>
      <c r="B96" s="7">
        <v>2</v>
      </c>
      <c r="C96" t="str">
        <f t="shared" si="1"/>
        <v>Yes</v>
      </c>
    </row>
    <row r="97" spans="1:3" x14ac:dyDescent="0.35">
      <c r="A97" s="5" t="s">
        <v>1868</v>
      </c>
      <c r="B97" s="7">
        <v>2</v>
      </c>
      <c r="C97" t="str">
        <f t="shared" si="1"/>
        <v>Yes</v>
      </c>
    </row>
    <row r="98" spans="1:3" x14ac:dyDescent="0.35">
      <c r="A98" s="5" t="s">
        <v>1869</v>
      </c>
      <c r="B98" s="7">
        <v>5</v>
      </c>
      <c r="C98" t="str">
        <f t="shared" si="1"/>
        <v>Yes</v>
      </c>
    </row>
    <row r="99" spans="1:3" x14ac:dyDescent="0.35">
      <c r="A99" s="5" t="s">
        <v>1870</v>
      </c>
      <c r="B99" s="7">
        <v>3</v>
      </c>
      <c r="C99" t="str">
        <f t="shared" si="1"/>
        <v>Yes</v>
      </c>
    </row>
    <row r="100" spans="1:3" x14ac:dyDescent="0.35">
      <c r="A100" s="5" t="s">
        <v>1871</v>
      </c>
      <c r="B100" s="7">
        <v>5</v>
      </c>
      <c r="C100" t="str">
        <f t="shared" si="1"/>
        <v>Yes</v>
      </c>
    </row>
    <row r="101" spans="1:3" x14ac:dyDescent="0.35">
      <c r="A101" s="5" t="s">
        <v>1872</v>
      </c>
      <c r="B101" s="7">
        <v>3</v>
      </c>
      <c r="C101" t="str">
        <f t="shared" si="1"/>
        <v>Yes</v>
      </c>
    </row>
    <row r="102" spans="1:3" x14ac:dyDescent="0.35">
      <c r="A102" s="5" t="s">
        <v>1873</v>
      </c>
      <c r="B102" s="7">
        <v>4</v>
      </c>
      <c r="C102" t="str">
        <f t="shared" si="1"/>
        <v>Yes</v>
      </c>
    </row>
    <row r="103" spans="1:3" x14ac:dyDescent="0.35">
      <c r="A103" s="5" t="s">
        <v>1874</v>
      </c>
      <c r="B103" s="7">
        <v>2</v>
      </c>
      <c r="C103" t="str">
        <f t="shared" si="1"/>
        <v>Yes</v>
      </c>
    </row>
    <row r="104" spans="1:3" x14ac:dyDescent="0.35">
      <c r="A104" s="5" t="s">
        <v>1704</v>
      </c>
      <c r="B104" s="7">
        <v>1</v>
      </c>
      <c r="C104" t="str">
        <f t="shared" si="1"/>
        <v>Yes</v>
      </c>
    </row>
    <row r="105" spans="1:3" x14ac:dyDescent="0.35">
      <c r="A105" s="5" t="s">
        <v>1875</v>
      </c>
      <c r="B105" s="7">
        <v>4</v>
      </c>
      <c r="C105" t="str">
        <f t="shared" si="1"/>
        <v>Yes</v>
      </c>
    </row>
    <row r="106" spans="1:3" x14ac:dyDescent="0.35">
      <c r="A106" s="5" t="s">
        <v>1876</v>
      </c>
      <c r="B106" s="7">
        <v>4</v>
      </c>
      <c r="C106" t="str">
        <f t="shared" si="1"/>
        <v>Yes</v>
      </c>
    </row>
    <row r="107" spans="1:3" x14ac:dyDescent="0.35">
      <c r="A107" s="5" t="s">
        <v>1877</v>
      </c>
      <c r="B107" s="7">
        <v>3</v>
      </c>
      <c r="C107" t="str">
        <f t="shared" si="1"/>
        <v>Yes</v>
      </c>
    </row>
    <row r="108" spans="1:3" x14ac:dyDescent="0.35">
      <c r="A108" s="5" t="s">
        <v>1878</v>
      </c>
      <c r="B108" s="7">
        <v>5</v>
      </c>
      <c r="C108" t="str">
        <f t="shared" si="1"/>
        <v>Yes</v>
      </c>
    </row>
    <row r="109" spans="1:3" x14ac:dyDescent="0.35">
      <c r="A109" s="5" t="s">
        <v>1879</v>
      </c>
      <c r="B109" s="7">
        <v>5</v>
      </c>
      <c r="C109" t="str">
        <f t="shared" si="1"/>
        <v>Yes</v>
      </c>
    </row>
    <row r="110" spans="1:3" x14ac:dyDescent="0.35">
      <c r="A110" s="5" t="s">
        <v>1880</v>
      </c>
      <c r="B110" s="7">
        <v>2</v>
      </c>
      <c r="C110" t="str">
        <f t="shared" si="1"/>
        <v>Yes</v>
      </c>
    </row>
    <row r="111" spans="1:3" x14ac:dyDescent="0.35">
      <c r="A111" s="5" t="s">
        <v>1881</v>
      </c>
      <c r="B111" s="7">
        <v>3</v>
      </c>
      <c r="C111" t="str">
        <f t="shared" si="1"/>
        <v>Yes</v>
      </c>
    </row>
    <row r="112" spans="1:3" x14ac:dyDescent="0.35">
      <c r="A112" s="5" t="s">
        <v>1882</v>
      </c>
      <c r="B112" s="7">
        <v>4</v>
      </c>
      <c r="C112" t="str">
        <f t="shared" si="1"/>
        <v>Yes</v>
      </c>
    </row>
    <row r="113" spans="1:3" x14ac:dyDescent="0.35">
      <c r="A113" s="5" t="s">
        <v>1883</v>
      </c>
      <c r="B113" s="7">
        <v>4</v>
      </c>
      <c r="C113" t="str">
        <f t="shared" si="1"/>
        <v>Yes</v>
      </c>
    </row>
    <row r="114" spans="1:3" x14ac:dyDescent="0.35">
      <c r="A114" s="5" t="s">
        <v>1884</v>
      </c>
      <c r="B114" s="7">
        <v>3</v>
      </c>
      <c r="C114" t="str">
        <f t="shared" si="1"/>
        <v>Yes</v>
      </c>
    </row>
    <row r="115" spans="1:3" x14ac:dyDescent="0.35">
      <c r="A115" s="5" t="s">
        <v>1687</v>
      </c>
      <c r="B115" s="7">
        <v>1</v>
      </c>
      <c r="C115" t="str">
        <f t="shared" si="1"/>
        <v>Yes</v>
      </c>
    </row>
    <row r="116" spans="1:3" x14ac:dyDescent="0.35">
      <c r="A116" s="5" t="s">
        <v>1705</v>
      </c>
      <c r="B116" s="7">
        <v>1</v>
      </c>
      <c r="C116" t="str">
        <f t="shared" si="1"/>
        <v>Yes</v>
      </c>
    </row>
    <row r="117" spans="1:3" x14ac:dyDescent="0.35">
      <c r="A117" s="5" t="s">
        <v>1885</v>
      </c>
      <c r="B117" s="7">
        <v>2</v>
      </c>
      <c r="C117" t="str">
        <f t="shared" si="1"/>
        <v>Yes</v>
      </c>
    </row>
    <row r="118" spans="1:3" x14ac:dyDescent="0.35">
      <c r="A118" s="5" t="s">
        <v>1886</v>
      </c>
      <c r="B118" s="7">
        <v>4</v>
      </c>
      <c r="C118" t="str">
        <f t="shared" si="1"/>
        <v>Yes</v>
      </c>
    </row>
    <row r="119" spans="1:3" x14ac:dyDescent="0.35">
      <c r="A119" s="5" t="s">
        <v>1887</v>
      </c>
      <c r="B119" s="7">
        <v>5</v>
      </c>
      <c r="C119" t="str">
        <f t="shared" si="1"/>
        <v>Yes</v>
      </c>
    </row>
    <row r="120" spans="1:3" x14ac:dyDescent="0.35">
      <c r="A120" s="5" t="s">
        <v>1888</v>
      </c>
      <c r="B120" s="7">
        <v>3</v>
      </c>
      <c r="C120" t="str">
        <f t="shared" si="1"/>
        <v>Yes</v>
      </c>
    </row>
    <row r="121" spans="1:3" x14ac:dyDescent="0.35">
      <c r="A121" s="5" t="s">
        <v>1889</v>
      </c>
      <c r="B121" s="7">
        <v>5</v>
      </c>
      <c r="C121" t="str">
        <f t="shared" si="1"/>
        <v>Yes</v>
      </c>
    </row>
    <row r="122" spans="1:3" x14ac:dyDescent="0.35">
      <c r="A122" s="5" t="s">
        <v>1890</v>
      </c>
      <c r="B122" s="7">
        <v>4</v>
      </c>
      <c r="C122" t="str">
        <f t="shared" si="1"/>
        <v>Yes</v>
      </c>
    </row>
    <row r="123" spans="1:3" x14ac:dyDescent="0.35">
      <c r="A123" s="5" t="s">
        <v>1891</v>
      </c>
      <c r="B123" s="7">
        <v>5</v>
      </c>
      <c r="C123" t="str">
        <f t="shared" si="1"/>
        <v>Yes</v>
      </c>
    </row>
    <row r="124" spans="1:3" x14ac:dyDescent="0.35">
      <c r="A124" s="5" t="s">
        <v>1892</v>
      </c>
      <c r="B124" s="7">
        <v>4</v>
      </c>
      <c r="C124" t="str">
        <f t="shared" si="1"/>
        <v>Yes</v>
      </c>
    </row>
    <row r="125" spans="1:3" x14ac:dyDescent="0.35">
      <c r="A125" s="5" t="s">
        <v>1893</v>
      </c>
      <c r="B125" s="7">
        <v>2</v>
      </c>
      <c r="C125" t="str">
        <f t="shared" si="1"/>
        <v>Yes</v>
      </c>
    </row>
    <row r="126" spans="1:3" x14ac:dyDescent="0.35">
      <c r="A126" s="5" t="s">
        <v>1894</v>
      </c>
      <c r="B126" s="7">
        <v>3</v>
      </c>
      <c r="C126" t="str">
        <f t="shared" si="1"/>
        <v>Yes</v>
      </c>
    </row>
    <row r="127" spans="1:3" x14ac:dyDescent="0.35">
      <c r="A127" s="5" t="s">
        <v>1706</v>
      </c>
      <c r="B127" s="7">
        <v>1</v>
      </c>
      <c r="C127" t="str">
        <f t="shared" si="1"/>
        <v>Yes</v>
      </c>
    </row>
    <row r="128" spans="1:3" x14ac:dyDescent="0.35">
      <c r="A128" s="5" t="s">
        <v>1895</v>
      </c>
      <c r="B128" s="7">
        <v>4</v>
      </c>
      <c r="C128" t="str">
        <f t="shared" si="1"/>
        <v>Yes</v>
      </c>
    </row>
    <row r="129" spans="1:3" x14ac:dyDescent="0.35">
      <c r="A129" s="5" t="s">
        <v>1896</v>
      </c>
      <c r="B129" s="7">
        <v>4</v>
      </c>
      <c r="C129" t="str">
        <f t="shared" si="1"/>
        <v>Yes</v>
      </c>
    </row>
    <row r="130" spans="1:3" x14ac:dyDescent="0.35">
      <c r="A130" s="5" t="s">
        <v>1897</v>
      </c>
      <c r="B130" s="7">
        <v>2</v>
      </c>
      <c r="C130" t="str">
        <f t="shared" si="1"/>
        <v>Yes</v>
      </c>
    </row>
    <row r="131" spans="1:3" x14ac:dyDescent="0.35">
      <c r="A131" s="5" t="s">
        <v>1898</v>
      </c>
      <c r="B131" s="7">
        <v>3</v>
      </c>
      <c r="C131" t="str">
        <f t="shared" si="1"/>
        <v>Yes</v>
      </c>
    </row>
    <row r="132" spans="1:3" x14ac:dyDescent="0.35">
      <c r="A132" s="5" t="s">
        <v>1899</v>
      </c>
      <c r="B132" s="7">
        <v>2</v>
      </c>
      <c r="C132" t="str">
        <f t="shared" si="1"/>
        <v>Yes</v>
      </c>
    </row>
    <row r="133" spans="1:3" x14ac:dyDescent="0.35">
      <c r="A133" s="5" t="s">
        <v>1900</v>
      </c>
      <c r="B133" s="7">
        <v>4</v>
      </c>
      <c r="C133" t="str">
        <f t="shared" ref="C133:C196" si="2">IF(B133&gt;0,"Yes","No")</f>
        <v>Yes</v>
      </c>
    </row>
    <row r="134" spans="1:3" x14ac:dyDescent="0.35">
      <c r="A134" s="5" t="s">
        <v>1901</v>
      </c>
      <c r="B134" s="7">
        <v>5</v>
      </c>
      <c r="C134" t="str">
        <f t="shared" si="2"/>
        <v>Yes</v>
      </c>
    </row>
    <row r="135" spans="1:3" x14ac:dyDescent="0.35">
      <c r="A135" s="5" t="s">
        <v>1902</v>
      </c>
      <c r="B135" s="7">
        <v>3</v>
      </c>
      <c r="C135" t="str">
        <f t="shared" si="2"/>
        <v>Yes</v>
      </c>
    </row>
    <row r="136" spans="1:3" x14ac:dyDescent="0.35">
      <c r="A136" s="5" t="s">
        <v>1903</v>
      </c>
      <c r="B136" s="7">
        <v>2</v>
      </c>
      <c r="C136" t="str">
        <f t="shared" si="2"/>
        <v>Yes</v>
      </c>
    </row>
    <row r="137" spans="1:3" x14ac:dyDescent="0.35">
      <c r="A137" s="5" t="s">
        <v>1904</v>
      </c>
      <c r="B137" s="7">
        <v>5</v>
      </c>
      <c r="C137" t="str">
        <f t="shared" si="2"/>
        <v>Yes</v>
      </c>
    </row>
    <row r="138" spans="1:3" x14ac:dyDescent="0.35">
      <c r="A138" s="5" t="s">
        <v>1707</v>
      </c>
      <c r="B138" s="7">
        <v>1</v>
      </c>
      <c r="C138" t="str">
        <f t="shared" si="2"/>
        <v>Yes</v>
      </c>
    </row>
    <row r="139" spans="1:3" x14ac:dyDescent="0.35">
      <c r="A139" s="5" t="s">
        <v>1905</v>
      </c>
      <c r="B139" s="7">
        <v>3</v>
      </c>
      <c r="C139" t="str">
        <f t="shared" si="2"/>
        <v>Yes</v>
      </c>
    </row>
    <row r="140" spans="1:3" x14ac:dyDescent="0.35">
      <c r="A140" s="5" t="s">
        <v>1906</v>
      </c>
      <c r="B140" s="7">
        <v>2</v>
      </c>
      <c r="C140" t="str">
        <f t="shared" si="2"/>
        <v>Yes</v>
      </c>
    </row>
    <row r="141" spans="1:3" x14ac:dyDescent="0.35">
      <c r="A141" s="5" t="s">
        <v>1907</v>
      </c>
      <c r="B141" s="7">
        <v>4</v>
      </c>
      <c r="C141" t="str">
        <f t="shared" si="2"/>
        <v>Yes</v>
      </c>
    </row>
    <row r="142" spans="1:3" x14ac:dyDescent="0.35">
      <c r="A142" s="5" t="s">
        <v>1908</v>
      </c>
      <c r="B142" s="7">
        <v>5</v>
      </c>
      <c r="C142" t="str">
        <f t="shared" si="2"/>
        <v>Yes</v>
      </c>
    </row>
    <row r="143" spans="1:3" x14ac:dyDescent="0.35">
      <c r="A143" s="5" t="s">
        <v>1909</v>
      </c>
      <c r="B143" s="7">
        <v>2</v>
      </c>
      <c r="C143" t="str">
        <f t="shared" si="2"/>
        <v>Yes</v>
      </c>
    </row>
    <row r="144" spans="1:3" x14ac:dyDescent="0.35">
      <c r="A144" s="5" t="s">
        <v>1910</v>
      </c>
      <c r="B144" s="7">
        <v>3</v>
      </c>
      <c r="C144" t="str">
        <f t="shared" si="2"/>
        <v>Yes</v>
      </c>
    </row>
    <row r="145" spans="1:3" x14ac:dyDescent="0.35">
      <c r="A145" s="5" t="s">
        <v>1911</v>
      </c>
      <c r="B145" s="7">
        <v>5</v>
      </c>
      <c r="C145" t="str">
        <f t="shared" si="2"/>
        <v>Yes</v>
      </c>
    </row>
    <row r="146" spans="1:3" x14ac:dyDescent="0.35">
      <c r="A146" s="5" t="s">
        <v>1912</v>
      </c>
      <c r="B146" s="7">
        <v>5</v>
      </c>
      <c r="C146" t="str">
        <f t="shared" si="2"/>
        <v>Yes</v>
      </c>
    </row>
    <row r="147" spans="1:3" x14ac:dyDescent="0.35">
      <c r="A147" s="5" t="s">
        <v>1913</v>
      </c>
      <c r="B147" s="7">
        <v>5</v>
      </c>
      <c r="C147" t="str">
        <f t="shared" si="2"/>
        <v>Yes</v>
      </c>
    </row>
    <row r="148" spans="1:3" x14ac:dyDescent="0.35">
      <c r="A148" s="5" t="s">
        <v>1914</v>
      </c>
      <c r="B148" s="7">
        <v>5</v>
      </c>
      <c r="C148" t="str">
        <f t="shared" si="2"/>
        <v>Yes</v>
      </c>
    </row>
    <row r="149" spans="1:3" x14ac:dyDescent="0.35">
      <c r="A149" s="5" t="s">
        <v>1708</v>
      </c>
      <c r="B149" s="7">
        <v>1</v>
      </c>
      <c r="C149" t="str">
        <f t="shared" si="2"/>
        <v>Yes</v>
      </c>
    </row>
    <row r="150" spans="1:3" x14ac:dyDescent="0.35">
      <c r="A150" s="5" t="s">
        <v>1915</v>
      </c>
      <c r="B150" s="7">
        <v>2</v>
      </c>
      <c r="C150" t="str">
        <f t="shared" si="2"/>
        <v>Yes</v>
      </c>
    </row>
    <row r="151" spans="1:3" x14ac:dyDescent="0.35">
      <c r="A151" s="5" t="s">
        <v>1916</v>
      </c>
      <c r="B151" s="7">
        <v>4</v>
      </c>
      <c r="C151" t="str">
        <f t="shared" si="2"/>
        <v>Yes</v>
      </c>
    </row>
    <row r="152" spans="1:3" x14ac:dyDescent="0.35">
      <c r="A152" s="5" t="s">
        <v>1917</v>
      </c>
      <c r="B152" s="7">
        <v>3</v>
      </c>
      <c r="C152" t="str">
        <f t="shared" si="2"/>
        <v>Yes</v>
      </c>
    </row>
    <row r="153" spans="1:3" x14ac:dyDescent="0.35">
      <c r="A153" s="5" t="s">
        <v>1918</v>
      </c>
      <c r="B153" s="7">
        <v>5</v>
      </c>
      <c r="C153" t="str">
        <f t="shared" si="2"/>
        <v>Yes</v>
      </c>
    </row>
    <row r="154" spans="1:3" x14ac:dyDescent="0.35">
      <c r="A154" s="5" t="s">
        <v>1919</v>
      </c>
      <c r="B154" s="7">
        <v>4</v>
      </c>
      <c r="C154" t="str">
        <f t="shared" si="2"/>
        <v>Yes</v>
      </c>
    </row>
    <row r="155" spans="1:3" x14ac:dyDescent="0.35">
      <c r="A155" s="5" t="s">
        <v>1920</v>
      </c>
      <c r="B155" s="7">
        <v>4</v>
      </c>
      <c r="C155" t="str">
        <f t="shared" si="2"/>
        <v>Yes</v>
      </c>
    </row>
    <row r="156" spans="1:3" x14ac:dyDescent="0.35">
      <c r="A156" s="5" t="s">
        <v>1921</v>
      </c>
      <c r="B156" s="7">
        <v>5</v>
      </c>
      <c r="C156" t="str">
        <f t="shared" si="2"/>
        <v>Yes</v>
      </c>
    </row>
    <row r="157" spans="1:3" x14ac:dyDescent="0.35">
      <c r="A157" s="5" t="s">
        <v>1922</v>
      </c>
      <c r="B157" s="7">
        <v>5</v>
      </c>
      <c r="C157" t="str">
        <f t="shared" si="2"/>
        <v>Yes</v>
      </c>
    </row>
    <row r="158" spans="1:3" x14ac:dyDescent="0.35">
      <c r="A158" s="5" t="s">
        <v>1923</v>
      </c>
      <c r="B158" s="7">
        <v>3</v>
      </c>
      <c r="C158" t="str">
        <f t="shared" si="2"/>
        <v>Yes</v>
      </c>
    </row>
    <row r="159" spans="1:3" x14ac:dyDescent="0.35">
      <c r="A159" s="5" t="s">
        <v>1924</v>
      </c>
      <c r="B159" s="7">
        <v>5</v>
      </c>
      <c r="C159" t="str">
        <f t="shared" si="2"/>
        <v>Yes</v>
      </c>
    </row>
    <row r="160" spans="1:3" x14ac:dyDescent="0.35">
      <c r="A160" s="5" t="s">
        <v>1709</v>
      </c>
      <c r="B160" s="7">
        <v>1</v>
      </c>
      <c r="C160" t="str">
        <f t="shared" si="2"/>
        <v>Yes</v>
      </c>
    </row>
    <row r="161" spans="1:3" x14ac:dyDescent="0.35">
      <c r="A161" s="5" t="s">
        <v>1925</v>
      </c>
      <c r="B161" s="7">
        <v>5</v>
      </c>
      <c r="C161" t="str">
        <f t="shared" si="2"/>
        <v>Yes</v>
      </c>
    </row>
    <row r="162" spans="1:3" x14ac:dyDescent="0.35">
      <c r="A162" s="5" t="s">
        <v>1926</v>
      </c>
      <c r="B162" s="7">
        <v>2</v>
      </c>
      <c r="C162" t="str">
        <f t="shared" si="2"/>
        <v>Yes</v>
      </c>
    </row>
    <row r="163" spans="1:3" x14ac:dyDescent="0.35">
      <c r="A163" s="5" t="s">
        <v>1927</v>
      </c>
      <c r="B163" s="7">
        <v>4</v>
      </c>
      <c r="C163" t="str">
        <f t="shared" si="2"/>
        <v>Yes</v>
      </c>
    </row>
    <row r="164" spans="1:3" x14ac:dyDescent="0.35">
      <c r="A164" s="5" t="s">
        <v>1928</v>
      </c>
      <c r="B164" s="7">
        <v>4</v>
      </c>
      <c r="C164" t="str">
        <f t="shared" si="2"/>
        <v>Yes</v>
      </c>
    </row>
    <row r="165" spans="1:3" x14ac:dyDescent="0.35">
      <c r="A165" s="5" t="s">
        <v>1929</v>
      </c>
      <c r="B165" s="7">
        <v>3</v>
      </c>
      <c r="C165" t="str">
        <f t="shared" si="2"/>
        <v>Yes</v>
      </c>
    </row>
    <row r="166" spans="1:3" x14ac:dyDescent="0.35">
      <c r="A166" s="5" t="s">
        <v>1930</v>
      </c>
      <c r="B166" s="7">
        <v>5</v>
      </c>
      <c r="C166" t="str">
        <f t="shared" si="2"/>
        <v>Yes</v>
      </c>
    </row>
    <row r="167" spans="1:3" x14ac:dyDescent="0.35">
      <c r="A167" s="5" t="s">
        <v>1931</v>
      </c>
      <c r="B167" s="7">
        <v>3</v>
      </c>
      <c r="C167" t="str">
        <f t="shared" si="2"/>
        <v>Yes</v>
      </c>
    </row>
    <row r="168" spans="1:3" x14ac:dyDescent="0.35">
      <c r="A168" s="5" t="s">
        <v>1932</v>
      </c>
      <c r="B168" s="7">
        <v>5</v>
      </c>
      <c r="C168" t="str">
        <f t="shared" si="2"/>
        <v>Yes</v>
      </c>
    </row>
    <row r="169" spans="1:3" x14ac:dyDescent="0.35">
      <c r="A169" s="5" t="s">
        <v>1933</v>
      </c>
      <c r="B169" s="7">
        <v>4</v>
      </c>
      <c r="C169" t="str">
        <f t="shared" si="2"/>
        <v>Yes</v>
      </c>
    </row>
    <row r="170" spans="1:3" x14ac:dyDescent="0.35">
      <c r="A170" s="5" t="s">
        <v>1934</v>
      </c>
      <c r="B170" s="7">
        <v>2</v>
      </c>
      <c r="C170" t="str">
        <f t="shared" si="2"/>
        <v>Yes</v>
      </c>
    </row>
    <row r="171" spans="1:3" x14ac:dyDescent="0.35">
      <c r="A171" s="5" t="s">
        <v>1710</v>
      </c>
      <c r="B171" s="7">
        <v>1</v>
      </c>
      <c r="C171" t="str">
        <f t="shared" si="2"/>
        <v>Yes</v>
      </c>
    </row>
    <row r="172" spans="1:3" x14ac:dyDescent="0.35">
      <c r="A172" s="5" t="s">
        <v>1935</v>
      </c>
      <c r="B172" s="7">
        <v>3</v>
      </c>
      <c r="C172" t="str">
        <f t="shared" si="2"/>
        <v>Yes</v>
      </c>
    </row>
    <row r="173" spans="1:3" x14ac:dyDescent="0.35">
      <c r="A173" s="5" t="s">
        <v>1936</v>
      </c>
      <c r="B173" s="7">
        <v>3</v>
      </c>
      <c r="C173" t="str">
        <f t="shared" si="2"/>
        <v>Yes</v>
      </c>
    </row>
    <row r="174" spans="1:3" x14ac:dyDescent="0.35">
      <c r="A174" s="5" t="s">
        <v>1937</v>
      </c>
      <c r="B174" s="7">
        <v>2</v>
      </c>
      <c r="C174" t="str">
        <f t="shared" si="2"/>
        <v>Yes</v>
      </c>
    </row>
    <row r="175" spans="1:3" x14ac:dyDescent="0.35">
      <c r="A175" s="5" t="s">
        <v>1938</v>
      </c>
      <c r="B175" s="7">
        <v>4</v>
      </c>
      <c r="C175" t="str">
        <f t="shared" si="2"/>
        <v>Yes</v>
      </c>
    </row>
    <row r="176" spans="1:3" x14ac:dyDescent="0.35">
      <c r="A176" s="5" t="s">
        <v>1939</v>
      </c>
      <c r="B176" s="7">
        <v>4</v>
      </c>
      <c r="C176" t="str">
        <f t="shared" si="2"/>
        <v>Yes</v>
      </c>
    </row>
    <row r="177" spans="1:3" x14ac:dyDescent="0.35">
      <c r="A177" s="5" t="s">
        <v>1940</v>
      </c>
      <c r="B177" s="7">
        <v>5</v>
      </c>
      <c r="C177" t="str">
        <f t="shared" si="2"/>
        <v>Yes</v>
      </c>
    </row>
    <row r="178" spans="1:3" x14ac:dyDescent="0.35">
      <c r="A178" s="5" t="s">
        <v>1941</v>
      </c>
      <c r="B178" s="7">
        <v>2</v>
      </c>
      <c r="C178" t="str">
        <f t="shared" si="2"/>
        <v>Yes</v>
      </c>
    </row>
    <row r="179" spans="1:3" x14ac:dyDescent="0.35">
      <c r="A179" s="5" t="s">
        <v>1942</v>
      </c>
      <c r="B179" s="7">
        <v>5</v>
      </c>
      <c r="C179" t="str">
        <f t="shared" si="2"/>
        <v>Yes</v>
      </c>
    </row>
    <row r="180" spans="1:3" x14ac:dyDescent="0.35">
      <c r="A180" s="5" t="s">
        <v>1943</v>
      </c>
      <c r="B180" s="7">
        <v>2</v>
      </c>
      <c r="C180" t="str">
        <f t="shared" si="2"/>
        <v>Yes</v>
      </c>
    </row>
    <row r="181" spans="1:3" x14ac:dyDescent="0.35">
      <c r="A181" s="5" t="s">
        <v>1944</v>
      </c>
      <c r="B181" s="7">
        <v>5</v>
      </c>
      <c r="C181" t="str">
        <f t="shared" si="2"/>
        <v>Yes</v>
      </c>
    </row>
    <row r="182" spans="1:3" x14ac:dyDescent="0.35">
      <c r="A182" s="5" t="s">
        <v>1711</v>
      </c>
      <c r="B182" s="7">
        <v>1</v>
      </c>
      <c r="C182" t="str">
        <f t="shared" si="2"/>
        <v>Yes</v>
      </c>
    </row>
    <row r="183" spans="1:3" x14ac:dyDescent="0.35">
      <c r="A183" s="5" t="s">
        <v>1945</v>
      </c>
      <c r="B183" s="7">
        <v>4</v>
      </c>
      <c r="C183" t="str">
        <f t="shared" si="2"/>
        <v>Yes</v>
      </c>
    </row>
    <row r="184" spans="1:3" x14ac:dyDescent="0.35">
      <c r="A184" s="5" t="s">
        <v>1946</v>
      </c>
      <c r="B184" s="7">
        <v>2</v>
      </c>
      <c r="C184" t="str">
        <f t="shared" si="2"/>
        <v>Yes</v>
      </c>
    </row>
    <row r="185" spans="1:3" x14ac:dyDescent="0.35">
      <c r="A185" s="5" t="s">
        <v>1947</v>
      </c>
      <c r="B185" s="7">
        <v>4</v>
      </c>
      <c r="C185" t="str">
        <f t="shared" si="2"/>
        <v>Yes</v>
      </c>
    </row>
    <row r="186" spans="1:3" x14ac:dyDescent="0.35">
      <c r="A186" s="5" t="s">
        <v>1948</v>
      </c>
      <c r="B186" s="7">
        <v>4</v>
      </c>
      <c r="C186" t="str">
        <f t="shared" si="2"/>
        <v>Yes</v>
      </c>
    </row>
    <row r="187" spans="1:3" x14ac:dyDescent="0.35">
      <c r="A187" s="5" t="s">
        <v>1949</v>
      </c>
      <c r="B187" s="7">
        <v>2</v>
      </c>
      <c r="C187" t="str">
        <f t="shared" si="2"/>
        <v>Yes</v>
      </c>
    </row>
    <row r="188" spans="1:3" x14ac:dyDescent="0.35">
      <c r="A188" s="5" t="s">
        <v>1950</v>
      </c>
      <c r="B188" s="7">
        <v>3</v>
      </c>
      <c r="C188" t="str">
        <f t="shared" si="2"/>
        <v>Yes</v>
      </c>
    </row>
    <row r="189" spans="1:3" x14ac:dyDescent="0.35">
      <c r="A189" s="5" t="s">
        <v>1951</v>
      </c>
      <c r="B189" s="7">
        <v>3</v>
      </c>
      <c r="C189" t="str">
        <f t="shared" si="2"/>
        <v>Yes</v>
      </c>
    </row>
    <row r="190" spans="1:3" x14ac:dyDescent="0.35">
      <c r="A190" s="5" t="s">
        <v>1952</v>
      </c>
      <c r="B190" s="7">
        <v>4</v>
      </c>
      <c r="C190" t="str">
        <f t="shared" si="2"/>
        <v>Yes</v>
      </c>
    </row>
    <row r="191" spans="1:3" x14ac:dyDescent="0.35">
      <c r="A191" s="5" t="s">
        <v>1953</v>
      </c>
      <c r="B191" s="7">
        <v>2</v>
      </c>
      <c r="C191" t="str">
        <f t="shared" si="2"/>
        <v>Yes</v>
      </c>
    </row>
    <row r="192" spans="1:3" x14ac:dyDescent="0.35">
      <c r="A192" s="5" t="s">
        <v>1954</v>
      </c>
      <c r="B192" s="7">
        <v>2</v>
      </c>
      <c r="C192" t="str">
        <f t="shared" si="2"/>
        <v>Yes</v>
      </c>
    </row>
    <row r="193" spans="1:3" x14ac:dyDescent="0.35">
      <c r="A193" s="5" t="s">
        <v>1712</v>
      </c>
      <c r="B193" s="7">
        <v>1</v>
      </c>
      <c r="C193" t="str">
        <f t="shared" si="2"/>
        <v>Yes</v>
      </c>
    </row>
    <row r="194" spans="1:3" x14ac:dyDescent="0.35">
      <c r="A194" s="5" t="s">
        <v>1955</v>
      </c>
      <c r="B194" s="7">
        <v>2</v>
      </c>
      <c r="C194" t="str">
        <f t="shared" si="2"/>
        <v>Yes</v>
      </c>
    </row>
    <row r="195" spans="1:3" x14ac:dyDescent="0.35">
      <c r="A195" s="5" t="s">
        <v>1956</v>
      </c>
      <c r="B195" s="7">
        <v>4</v>
      </c>
      <c r="C195" t="str">
        <f t="shared" si="2"/>
        <v>Yes</v>
      </c>
    </row>
    <row r="196" spans="1:3" x14ac:dyDescent="0.35">
      <c r="A196" s="5" t="s">
        <v>1957</v>
      </c>
      <c r="B196" s="7">
        <v>5</v>
      </c>
      <c r="C196" t="str">
        <f t="shared" si="2"/>
        <v>Yes</v>
      </c>
    </row>
    <row r="197" spans="1:3" x14ac:dyDescent="0.35">
      <c r="A197" s="5" t="s">
        <v>1958</v>
      </c>
      <c r="B197" s="7">
        <v>4</v>
      </c>
      <c r="C197" t="str">
        <f t="shared" ref="C197:C260" si="3">IF(B197&gt;0,"Yes","No")</f>
        <v>Yes</v>
      </c>
    </row>
    <row r="198" spans="1:3" x14ac:dyDescent="0.35">
      <c r="A198" s="5" t="s">
        <v>1959</v>
      </c>
      <c r="B198" s="7">
        <v>2</v>
      </c>
      <c r="C198" t="str">
        <f t="shared" si="3"/>
        <v>Yes</v>
      </c>
    </row>
    <row r="199" spans="1:3" x14ac:dyDescent="0.35">
      <c r="A199" s="5" t="s">
        <v>1960</v>
      </c>
      <c r="B199" s="7">
        <v>3</v>
      </c>
      <c r="C199" t="str">
        <f t="shared" si="3"/>
        <v>Yes</v>
      </c>
    </row>
    <row r="200" spans="1:3" x14ac:dyDescent="0.35">
      <c r="A200" s="5" t="s">
        <v>1961</v>
      </c>
      <c r="B200" s="7">
        <v>5</v>
      </c>
      <c r="C200" t="str">
        <f t="shared" si="3"/>
        <v>Yes</v>
      </c>
    </row>
    <row r="201" spans="1:3" x14ac:dyDescent="0.35">
      <c r="A201" s="5" t="s">
        <v>1962</v>
      </c>
      <c r="B201" s="7">
        <v>2</v>
      </c>
      <c r="C201" t="str">
        <f t="shared" si="3"/>
        <v>Yes</v>
      </c>
    </row>
    <row r="202" spans="1:3" x14ac:dyDescent="0.35">
      <c r="A202" s="5" t="s">
        <v>1963</v>
      </c>
      <c r="B202" s="7">
        <v>3</v>
      </c>
      <c r="C202" t="str">
        <f t="shared" si="3"/>
        <v>Yes</v>
      </c>
    </row>
    <row r="203" spans="1:3" x14ac:dyDescent="0.35">
      <c r="A203" s="5" t="s">
        <v>1964</v>
      </c>
      <c r="B203" s="7">
        <v>4</v>
      </c>
      <c r="C203" t="str">
        <f t="shared" si="3"/>
        <v>Yes</v>
      </c>
    </row>
    <row r="204" spans="1:3" x14ac:dyDescent="0.35">
      <c r="A204" s="5" t="s">
        <v>1713</v>
      </c>
      <c r="B204" s="7">
        <v>1</v>
      </c>
      <c r="C204" t="str">
        <f t="shared" si="3"/>
        <v>Yes</v>
      </c>
    </row>
    <row r="205" spans="1:3" x14ac:dyDescent="0.35">
      <c r="A205" s="5" t="s">
        <v>1965</v>
      </c>
      <c r="B205" s="7">
        <v>2</v>
      </c>
      <c r="C205" t="str">
        <f t="shared" si="3"/>
        <v>Yes</v>
      </c>
    </row>
    <row r="206" spans="1:3" x14ac:dyDescent="0.35">
      <c r="A206" s="5" t="s">
        <v>1966</v>
      </c>
      <c r="B206" s="7">
        <v>3</v>
      </c>
      <c r="C206" t="str">
        <f t="shared" si="3"/>
        <v>Yes</v>
      </c>
    </row>
    <row r="207" spans="1:3" x14ac:dyDescent="0.35">
      <c r="A207" s="5" t="s">
        <v>1967</v>
      </c>
      <c r="B207" s="7">
        <v>5</v>
      </c>
      <c r="C207" t="str">
        <f t="shared" si="3"/>
        <v>Yes</v>
      </c>
    </row>
    <row r="208" spans="1:3" x14ac:dyDescent="0.35">
      <c r="A208" s="5" t="s">
        <v>1968</v>
      </c>
      <c r="B208" s="7">
        <v>4</v>
      </c>
      <c r="C208" t="str">
        <f t="shared" si="3"/>
        <v>Yes</v>
      </c>
    </row>
    <row r="209" spans="1:3" x14ac:dyDescent="0.35">
      <c r="A209" s="5" t="s">
        <v>1969</v>
      </c>
      <c r="B209" s="7">
        <v>5</v>
      </c>
      <c r="C209" t="str">
        <f t="shared" si="3"/>
        <v>Yes</v>
      </c>
    </row>
    <row r="210" spans="1:3" x14ac:dyDescent="0.35">
      <c r="A210" s="5" t="s">
        <v>1970</v>
      </c>
      <c r="B210" s="7">
        <v>4</v>
      </c>
      <c r="C210" t="str">
        <f t="shared" si="3"/>
        <v>Yes</v>
      </c>
    </row>
    <row r="211" spans="1:3" x14ac:dyDescent="0.35">
      <c r="A211" s="5" t="s">
        <v>1971</v>
      </c>
      <c r="B211" s="7">
        <v>2</v>
      </c>
      <c r="C211" t="str">
        <f t="shared" si="3"/>
        <v>Yes</v>
      </c>
    </row>
    <row r="212" spans="1:3" x14ac:dyDescent="0.35">
      <c r="A212" s="5" t="s">
        <v>1972</v>
      </c>
      <c r="B212" s="7">
        <v>5</v>
      </c>
      <c r="C212" t="str">
        <f t="shared" si="3"/>
        <v>Yes</v>
      </c>
    </row>
    <row r="213" spans="1:3" x14ac:dyDescent="0.35">
      <c r="A213" s="5" t="s">
        <v>1973</v>
      </c>
      <c r="B213" s="7">
        <v>5</v>
      </c>
      <c r="C213" t="str">
        <f t="shared" si="3"/>
        <v>Yes</v>
      </c>
    </row>
    <row r="214" spans="1:3" x14ac:dyDescent="0.35">
      <c r="A214" s="5" t="s">
        <v>1974</v>
      </c>
      <c r="B214" s="7">
        <v>4</v>
      </c>
      <c r="C214" t="str">
        <f t="shared" si="3"/>
        <v>Yes</v>
      </c>
    </row>
    <row r="215" spans="1:3" x14ac:dyDescent="0.35">
      <c r="A215" s="5" t="s">
        <v>1714</v>
      </c>
      <c r="B215" s="7">
        <v>1</v>
      </c>
      <c r="C215" t="str">
        <f t="shared" si="3"/>
        <v>Yes</v>
      </c>
    </row>
    <row r="216" spans="1:3" x14ac:dyDescent="0.35">
      <c r="A216" s="5" t="s">
        <v>1975</v>
      </c>
      <c r="B216" s="7">
        <v>3</v>
      </c>
      <c r="C216" t="str">
        <f t="shared" si="3"/>
        <v>Yes</v>
      </c>
    </row>
    <row r="217" spans="1:3" x14ac:dyDescent="0.35">
      <c r="A217" s="5" t="s">
        <v>1976</v>
      </c>
      <c r="B217" s="7">
        <v>2</v>
      </c>
      <c r="C217" t="str">
        <f t="shared" si="3"/>
        <v>Yes</v>
      </c>
    </row>
    <row r="218" spans="1:3" x14ac:dyDescent="0.35">
      <c r="A218" s="5" t="s">
        <v>1977</v>
      </c>
      <c r="B218" s="7">
        <v>5</v>
      </c>
      <c r="C218" t="str">
        <f t="shared" si="3"/>
        <v>Yes</v>
      </c>
    </row>
    <row r="219" spans="1:3" x14ac:dyDescent="0.35">
      <c r="A219" s="5" t="s">
        <v>1978</v>
      </c>
      <c r="B219" s="7">
        <v>4</v>
      </c>
      <c r="C219" t="str">
        <f t="shared" si="3"/>
        <v>Yes</v>
      </c>
    </row>
    <row r="220" spans="1:3" x14ac:dyDescent="0.35">
      <c r="A220" s="5" t="s">
        <v>1979</v>
      </c>
      <c r="B220" s="7">
        <v>4</v>
      </c>
      <c r="C220" t="str">
        <f t="shared" si="3"/>
        <v>Yes</v>
      </c>
    </row>
    <row r="221" spans="1:3" x14ac:dyDescent="0.35">
      <c r="A221" s="5" t="s">
        <v>1980</v>
      </c>
      <c r="B221" s="7">
        <v>4</v>
      </c>
      <c r="C221" t="str">
        <f t="shared" si="3"/>
        <v>Yes</v>
      </c>
    </row>
    <row r="222" spans="1:3" x14ac:dyDescent="0.35">
      <c r="A222" s="5" t="s">
        <v>1981</v>
      </c>
      <c r="B222" s="7">
        <v>3</v>
      </c>
      <c r="C222" t="str">
        <f t="shared" si="3"/>
        <v>Yes</v>
      </c>
    </row>
    <row r="223" spans="1:3" x14ac:dyDescent="0.35">
      <c r="A223" s="5" t="s">
        <v>1982</v>
      </c>
      <c r="B223" s="7">
        <v>5</v>
      </c>
      <c r="C223" t="str">
        <f t="shared" si="3"/>
        <v>Yes</v>
      </c>
    </row>
    <row r="224" spans="1:3" x14ac:dyDescent="0.35">
      <c r="A224" s="5" t="s">
        <v>1983</v>
      </c>
      <c r="B224" s="7">
        <v>5</v>
      </c>
      <c r="C224" t="str">
        <f t="shared" si="3"/>
        <v>Yes</v>
      </c>
    </row>
    <row r="225" spans="1:3" x14ac:dyDescent="0.35">
      <c r="A225" s="5" t="s">
        <v>1984</v>
      </c>
      <c r="B225" s="7">
        <v>4</v>
      </c>
      <c r="C225" t="str">
        <f t="shared" si="3"/>
        <v>Yes</v>
      </c>
    </row>
    <row r="226" spans="1:3" x14ac:dyDescent="0.35">
      <c r="A226" s="5" t="s">
        <v>1688</v>
      </c>
      <c r="B226" s="7">
        <v>1</v>
      </c>
      <c r="C226" t="str">
        <f t="shared" si="3"/>
        <v>Yes</v>
      </c>
    </row>
    <row r="227" spans="1:3" x14ac:dyDescent="0.35">
      <c r="A227" s="5" t="s">
        <v>1715</v>
      </c>
      <c r="B227" s="7">
        <v>1</v>
      </c>
      <c r="C227" t="str">
        <f t="shared" si="3"/>
        <v>Yes</v>
      </c>
    </row>
    <row r="228" spans="1:3" x14ac:dyDescent="0.35">
      <c r="A228" s="5" t="s">
        <v>1985</v>
      </c>
      <c r="B228" s="7">
        <v>2</v>
      </c>
      <c r="C228" t="str">
        <f t="shared" si="3"/>
        <v>Yes</v>
      </c>
    </row>
    <row r="229" spans="1:3" x14ac:dyDescent="0.35">
      <c r="A229" s="5" t="s">
        <v>1986</v>
      </c>
      <c r="B229" s="7">
        <v>4</v>
      </c>
      <c r="C229" t="str">
        <f t="shared" si="3"/>
        <v>Yes</v>
      </c>
    </row>
    <row r="230" spans="1:3" x14ac:dyDescent="0.35">
      <c r="A230" s="5" t="s">
        <v>1987</v>
      </c>
      <c r="B230" s="7">
        <v>2</v>
      </c>
      <c r="C230" t="str">
        <f t="shared" si="3"/>
        <v>Yes</v>
      </c>
    </row>
    <row r="231" spans="1:3" x14ac:dyDescent="0.35">
      <c r="A231" s="5" t="s">
        <v>1988</v>
      </c>
      <c r="B231" s="7">
        <v>5</v>
      </c>
      <c r="C231" t="str">
        <f t="shared" si="3"/>
        <v>Yes</v>
      </c>
    </row>
    <row r="232" spans="1:3" x14ac:dyDescent="0.35">
      <c r="A232" s="5" t="s">
        <v>1989</v>
      </c>
      <c r="B232" s="7">
        <v>2</v>
      </c>
      <c r="C232" t="str">
        <f t="shared" si="3"/>
        <v>Yes</v>
      </c>
    </row>
    <row r="233" spans="1:3" x14ac:dyDescent="0.35">
      <c r="A233" s="5" t="s">
        <v>1990</v>
      </c>
      <c r="B233" s="7">
        <v>5</v>
      </c>
      <c r="C233" t="str">
        <f t="shared" si="3"/>
        <v>Yes</v>
      </c>
    </row>
    <row r="234" spans="1:3" x14ac:dyDescent="0.35">
      <c r="A234" s="5" t="s">
        <v>1991</v>
      </c>
      <c r="B234" s="7">
        <v>4</v>
      </c>
      <c r="C234" t="str">
        <f t="shared" si="3"/>
        <v>Yes</v>
      </c>
    </row>
    <row r="235" spans="1:3" x14ac:dyDescent="0.35">
      <c r="A235" s="5" t="s">
        <v>1992</v>
      </c>
      <c r="B235" s="7">
        <v>5</v>
      </c>
      <c r="C235" t="str">
        <f t="shared" si="3"/>
        <v>Yes</v>
      </c>
    </row>
    <row r="236" spans="1:3" x14ac:dyDescent="0.35">
      <c r="A236" s="5" t="s">
        <v>1993</v>
      </c>
      <c r="B236" s="7">
        <v>2</v>
      </c>
      <c r="C236" t="str">
        <f t="shared" si="3"/>
        <v>Yes</v>
      </c>
    </row>
    <row r="237" spans="1:3" x14ac:dyDescent="0.35">
      <c r="A237" s="5" t="s">
        <v>1994</v>
      </c>
      <c r="B237" s="7">
        <v>5</v>
      </c>
      <c r="C237" t="str">
        <f t="shared" si="3"/>
        <v>Yes</v>
      </c>
    </row>
    <row r="238" spans="1:3" x14ac:dyDescent="0.35">
      <c r="A238" s="5" t="s">
        <v>1716</v>
      </c>
      <c r="B238" s="7">
        <v>1</v>
      </c>
      <c r="C238" t="str">
        <f t="shared" si="3"/>
        <v>Yes</v>
      </c>
    </row>
    <row r="239" spans="1:3" x14ac:dyDescent="0.35">
      <c r="A239" s="5" t="s">
        <v>1995</v>
      </c>
      <c r="B239" s="7">
        <v>2</v>
      </c>
      <c r="C239" t="str">
        <f t="shared" si="3"/>
        <v>Yes</v>
      </c>
    </row>
    <row r="240" spans="1:3" x14ac:dyDescent="0.35">
      <c r="A240" s="5" t="s">
        <v>1996</v>
      </c>
      <c r="B240" s="7">
        <v>5</v>
      </c>
      <c r="C240" t="str">
        <f t="shared" si="3"/>
        <v>Yes</v>
      </c>
    </row>
    <row r="241" spans="1:3" x14ac:dyDescent="0.35">
      <c r="A241" s="5" t="s">
        <v>1997</v>
      </c>
      <c r="B241" s="7">
        <v>5</v>
      </c>
      <c r="C241" t="str">
        <f t="shared" si="3"/>
        <v>Yes</v>
      </c>
    </row>
    <row r="242" spans="1:3" x14ac:dyDescent="0.35">
      <c r="A242" s="5" t="s">
        <v>1998</v>
      </c>
      <c r="B242" s="7">
        <v>5</v>
      </c>
      <c r="C242" t="str">
        <f t="shared" si="3"/>
        <v>Yes</v>
      </c>
    </row>
    <row r="243" spans="1:3" x14ac:dyDescent="0.35">
      <c r="A243" s="5" t="s">
        <v>1999</v>
      </c>
      <c r="B243" s="7">
        <v>2</v>
      </c>
      <c r="C243" t="str">
        <f t="shared" si="3"/>
        <v>Yes</v>
      </c>
    </row>
    <row r="244" spans="1:3" x14ac:dyDescent="0.35">
      <c r="A244" s="5" t="s">
        <v>2000</v>
      </c>
      <c r="B244" s="7">
        <v>2</v>
      </c>
      <c r="C244" t="str">
        <f t="shared" si="3"/>
        <v>Yes</v>
      </c>
    </row>
    <row r="245" spans="1:3" x14ac:dyDescent="0.35">
      <c r="A245" s="5" t="s">
        <v>2001</v>
      </c>
      <c r="B245" s="7">
        <v>3</v>
      </c>
      <c r="C245" t="str">
        <f t="shared" si="3"/>
        <v>Yes</v>
      </c>
    </row>
    <row r="246" spans="1:3" x14ac:dyDescent="0.35">
      <c r="A246" s="5" t="s">
        <v>2002</v>
      </c>
      <c r="B246" s="7">
        <v>3</v>
      </c>
      <c r="C246" t="str">
        <f t="shared" si="3"/>
        <v>Yes</v>
      </c>
    </row>
    <row r="247" spans="1:3" x14ac:dyDescent="0.35">
      <c r="A247" s="5" t="s">
        <v>2003</v>
      </c>
      <c r="B247" s="7">
        <v>3</v>
      </c>
      <c r="C247" t="str">
        <f t="shared" si="3"/>
        <v>Yes</v>
      </c>
    </row>
    <row r="248" spans="1:3" x14ac:dyDescent="0.35">
      <c r="A248" s="5" t="s">
        <v>2004</v>
      </c>
      <c r="B248" s="7">
        <v>4</v>
      </c>
      <c r="C248" t="str">
        <f t="shared" si="3"/>
        <v>Yes</v>
      </c>
    </row>
    <row r="249" spans="1:3" x14ac:dyDescent="0.35">
      <c r="A249" s="5" t="s">
        <v>1717</v>
      </c>
      <c r="B249" s="7">
        <v>1</v>
      </c>
      <c r="C249" t="str">
        <f t="shared" si="3"/>
        <v>Yes</v>
      </c>
    </row>
    <row r="250" spans="1:3" x14ac:dyDescent="0.35">
      <c r="A250" s="5" t="s">
        <v>2005</v>
      </c>
      <c r="B250" s="7">
        <v>5</v>
      </c>
      <c r="C250" t="str">
        <f t="shared" si="3"/>
        <v>Yes</v>
      </c>
    </row>
    <row r="251" spans="1:3" x14ac:dyDescent="0.35">
      <c r="A251" s="5" t="s">
        <v>2006</v>
      </c>
      <c r="B251" s="7">
        <v>2</v>
      </c>
      <c r="C251" t="str">
        <f t="shared" si="3"/>
        <v>Yes</v>
      </c>
    </row>
    <row r="252" spans="1:3" x14ac:dyDescent="0.35">
      <c r="A252" s="5" t="s">
        <v>2007</v>
      </c>
      <c r="B252" s="7">
        <v>5</v>
      </c>
      <c r="C252" t="str">
        <f t="shared" si="3"/>
        <v>Yes</v>
      </c>
    </row>
    <row r="253" spans="1:3" x14ac:dyDescent="0.35">
      <c r="A253" s="5" t="s">
        <v>2008</v>
      </c>
      <c r="B253" s="7">
        <v>3</v>
      </c>
      <c r="C253" t="str">
        <f t="shared" si="3"/>
        <v>Yes</v>
      </c>
    </row>
    <row r="254" spans="1:3" x14ac:dyDescent="0.35">
      <c r="A254" s="5" t="s">
        <v>2009</v>
      </c>
      <c r="B254" s="7">
        <v>2</v>
      </c>
      <c r="C254" t="str">
        <f t="shared" si="3"/>
        <v>Yes</v>
      </c>
    </row>
    <row r="255" spans="1:3" x14ac:dyDescent="0.35">
      <c r="A255" s="5" t="s">
        <v>2010</v>
      </c>
      <c r="B255" s="7">
        <v>2</v>
      </c>
      <c r="C255" t="str">
        <f t="shared" si="3"/>
        <v>Yes</v>
      </c>
    </row>
    <row r="256" spans="1:3" x14ac:dyDescent="0.35">
      <c r="A256" s="5" t="s">
        <v>2011</v>
      </c>
      <c r="B256" s="7">
        <v>4</v>
      </c>
      <c r="C256" t="str">
        <f t="shared" si="3"/>
        <v>Yes</v>
      </c>
    </row>
    <row r="257" spans="1:3" x14ac:dyDescent="0.35">
      <c r="A257" s="5" t="s">
        <v>2012</v>
      </c>
      <c r="B257" s="7">
        <v>4</v>
      </c>
      <c r="C257" t="str">
        <f t="shared" si="3"/>
        <v>Yes</v>
      </c>
    </row>
    <row r="258" spans="1:3" x14ac:dyDescent="0.35">
      <c r="A258" s="5" t="s">
        <v>2013</v>
      </c>
      <c r="B258" s="7">
        <v>5</v>
      </c>
      <c r="C258" t="str">
        <f t="shared" si="3"/>
        <v>Yes</v>
      </c>
    </row>
    <row r="259" spans="1:3" x14ac:dyDescent="0.35">
      <c r="A259" s="5" t="s">
        <v>2014</v>
      </c>
      <c r="B259" s="7">
        <v>4</v>
      </c>
      <c r="C259" t="str">
        <f t="shared" si="3"/>
        <v>Yes</v>
      </c>
    </row>
    <row r="260" spans="1:3" x14ac:dyDescent="0.35">
      <c r="A260" s="5" t="s">
        <v>1718</v>
      </c>
      <c r="B260" s="7">
        <v>1</v>
      </c>
      <c r="C260" t="str">
        <f t="shared" si="3"/>
        <v>Yes</v>
      </c>
    </row>
    <row r="261" spans="1:3" x14ac:dyDescent="0.35">
      <c r="A261" s="5" t="s">
        <v>2015</v>
      </c>
      <c r="B261" s="7">
        <v>2</v>
      </c>
      <c r="C261" t="str">
        <f t="shared" ref="C261:C324" si="4">IF(B261&gt;0,"Yes","No")</f>
        <v>Yes</v>
      </c>
    </row>
    <row r="262" spans="1:3" x14ac:dyDescent="0.35">
      <c r="A262" s="5" t="s">
        <v>2016</v>
      </c>
      <c r="B262" s="7">
        <v>5</v>
      </c>
      <c r="C262" t="str">
        <f t="shared" si="4"/>
        <v>Yes</v>
      </c>
    </row>
    <row r="263" spans="1:3" x14ac:dyDescent="0.35">
      <c r="A263" s="5" t="s">
        <v>2017</v>
      </c>
      <c r="B263" s="7">
        <v>2</v>
      </c>
      <c r="C263" t="str">
        <f t="shared" si="4"/>
        <v>Yes</v>
      </c>
    </row>
    <row r="264" spans="1:3" x14ac:dyDescent="0.35">
      <c r="A264" s="5" t="s">
        <v>2018</v>
      </c>
      <c r="B264" s="7">
        <v>3</v>
      </c>
      <c r="C264" t="str">
        <f t="shared" si="4"/>
        <v>Yes</v>
      </c>
    </row>
    <row r="265" spans="1:3" x14ac:dyDescent="0.35">
      <c r="A265" s="5" t="s">
        <v>2019</v>
      </c>
      <c r="B265" s="7">
        <v>5</v>
      </c>
      <c r="C265" t="str">
        <f t="shared" si="4"/>
        <v>Yes</v>
      </c>
    </row>
    <row r="266" spans="1:3" x14ac:dyDescent="0.35">
      <c r="A266" s="5" t="s">
        <v>2020</v>
      </c>
      <c r="B266" s="7">
        <v>2</v>
      </c>
      <c r="C266" t="str">
        <f t="shared" si="4"/>
        <v>Yes</v>
      </c>
    </row>
    <row r="267" spans="1:3" x14ac:dyDescent="0.35">
      <c r="A267" s="5" t="s">
        <v>2021</v>
      </c>
      <c r="B267" s="7">
        <v>3</v>
      </c>
      <c r="C267" t="str">
        <f t="shared" si="4"/>
        <v>Yes</v>
      </c>
    </row>
    <row r="268" spans="1:3" x14ac:dyDescent="0.35">
      <c r="A268" s="5" t="s">
        <v>2022</v>
      </c>
      <c r="B268" s="7">
        <v>2</v>
      </c>
      <c r="C268" t="str">
        <f t="shared" si="4"/>
        <v>Yes</v>
      </c>
    </row>
    <row r="269" spans="1:3" x14ac:dyDescent="0.35">
      <c r="A269" s="5" t="s">
        <v>2023</v>
      </c>
      <c r="B269" s="7">
        <v>2</v>
      </c>
      <c r="C269" t="str">
        <f t="shared" si="4"/>
        <v>Yes</v>
      </c>
    </row>
    <row r="270" spans="1:3" x14ac:dyDescent="0.35">
      <c r="A270" s="5" t="s">
        <v>2024</v>
      </c>
      <c r="B270" s="7">
        <v>4</v>
      </c>
      <c r="C270" t="str">
        <f t="shared" si="4"/>
        <v>Yes</v>
      </c>
    </row>
    <row r="271" spans="1:3" x14ac:dyDescent="0.35">
      <c r="A271" s="5" t="s">
        <v>1719</v>
      </c>
      <c r="B271" s="7">
        <v>1</v>
      </c>
      <c r="C271" t="str">
        <f t="shared" si="4"/>
        <v>Yes</v>
      </c>
    </row>
    <row r="272" spans="1:3" x14ac:dyDescent="0.35">
      <c r="A272" s="5" t="s">
        <v>2025</v>
      </c>
      <c r="B272" s="7">
        <v>2</v>
      </c>
      <c r="C272" t="str">
        <f t="shared" si="4"/>
        <v>Yes</v>
      </c>
    </row>
    <row r="273" spans="1:3" x14ac:dyDescent="0.35">
      <c r="A273" s="5" t="s">
        <v>2026</v>
      </c>
      <c r="B273" s="7">
        <v>2</v>
      </c>
      <c r="C273" t="str">
        <f t="shared" si="4"/>
        <v>Yes</v>
      </c>
    </row>
    <row r="274" spans="1:3" x14ac:dyDescent="0.35">
      <c r="A274" s="5" t="s">
        <v>2027</v>
      </c>
      <c r="B274" s="7">
        <v>4</v>
      </c>
      <c r="C274" t="str">
        <f t="shared" si="4"/>
        <v>Yes</v>
      </c>
    </row>
    <row r="275" spans="1:3" x14ac:dyDescent="0.35">
      <c r="A275" s="5" t="s">
        <v>2028</v>
      </c>
      <c r="B275" s="7">
        <v>5</v>
      </c>
      <c r="C275" t="str">
        <f t="shared" si="4"/>
        <v>Yes</v>
      </c>
    </row>
    <row r="276" spans="1:3" x14ac:dyDescent="0.35">
      <c r="A276" s="5" t="s">
        <v>2029</v>
      </c>
      <c r="B276" s="7">
        <v>3</v>
      </c>
      <c r="C276" t="str">
        <f t="shared" si="4"/>
        <v>Yes</v>
      </c>
    </row>
    <row r="277" spans="1:3" x14ac:dyDescent="0.35">
      <c r="A277" s="5" t="s">
        <v>2030</v>
      </c>
      <c r="B277" s="7">
        <v>5</v>
      </c>
      <c r="C277" t="str">
        <f t="shared" si="4"/>
        <v>Yes</v>
      </c>
    </row>
    <row r="278" spans="1:3" x14ac:dyDescent="0.35">
      <c r="A278" s="5" t="s">
        <v>2031</v>
      </c>
      <c r="B278" s="7">
        <v>5</v>
      </c>
      <c r="C278" t="str">
        <f t="shared" si="4"/>
        <v>Yes</v>
      </c>
    </row>
    <row r="279" spans="1:3" x14ac:dyDescent="0.35">
      <c r="A279" s="5" t="s">
        <v>2032</v>
      </c>
      <c r="B279" s="7">
        <v>4</v>
      </c>
      <c r="C279" t="str">
        <f t="shared" si="4"/>
        <v>Yes</v>
      </c>
    </row>
    <row r="280" spans="1:3" x14ac:dyDescent="0.35">
      <c r="A280" s="5" t="s">
        <v>2033</v>
      </c>
      <c r="B280" s="7">
        <v>2</v>
      </c>
      <c r="C280" t="str">
        <f t="shared" si="4"/>
        <v>Yes</v>
      </c>
    </row>
    <row r="281" spans="1:3" x14ac:dyDescent="0.35">
      <c r="A281" s="5" t="s">
        <v>2034</v>
      </c>
      <c r="B281" s="7">
        <v>4</v>
      </c>
      <c r="C281" t="str">
        <f t="shared" si="4"/>
        <v>Yes</v>
      </c>
    </row>
    <row r="282" spans="1:3" x14ac:dyDescent="0.35">
      <c r="A282" s="5" t="s">
        <v>1720</v>
      </c>
      <c r="B282" s="7">
        <v>1</v>
      </c>
      <c r="C282" t="str">
        <f t="shared" si="4"/>
        <v>Yes</v>
      </c>
    </row>
    <row r="283" spans="1:3" x14ac:dyDescent="0.35">
      <c r="A283" s="5" t="s">
        <v>2035</v>
      </c>
      <c r="B283" s="7">
        <v>3</v>
      </c>
      <c r="C283" t="str">
        <f t="shared" si="4"/>
        <v>Yes</v>
      </c>
    </row>
    <row r="284" spans="1:3" x14ac:dyDescent="0.35">
      <c r="A284" s="5" t="s">
        <v>2036</v>
      </c>
      <c r="B284" s="7">
        <v>2</v>
      </c>
      <c r="C284" t="str">
        <f t="shared" si="4"/>
        <v>Yes</v>
      </c>
    </row>
    <row r="285" spans="1:3" x14ac:dyDescent="0.35">
      <c r="A285" s="5" t="s">
        <v>2037</v>
      </c>
      <c r="B285" s="7">
        <v>3</v>
      </c>
      <c r="C285" t="str">
        <f t="shared" si="4"/>
        <v>Yes</v>
      </c>
    </row>
    <row r="286" spans="1:3" x14ac:dyDescent="0.35">
      <c r="A286" s="5" t="s">
        <v>2038</v>
      </c>
      <c r="B286" s="7">
        <v>2</v>
      </c>
      <c r="C286" t="str">
        <f t="shared" si="4"/>
        <v>Yes</v>
      </c>
    </row>
    <row r="287" spans="1:3" x14ac:dyDescent="0.35">
      <c r="A287" s="5" t="s">
        <v>2039</v>
      </c>
      <c r="B287" s="7">
        <v>4</v>
      </c>
      <c r="C287" t="str">
        <f t="shared" si="4"/>
        <v>Yes</v>
      </c>
    </row>
    <row r="288" spans="1:3" x14ac:dyDescent="0.35">
      <c r="A288" s="5" t="s">
        <v>2040</v>
      </c>
      <c r="B288" s="7">
        <v>4</v>
      </c>
      <c r="C288" t="str">
        <f t="shared" si="4"/>
        <v>Yes</v>
      </c>
    </row>
    <row r="289" spans="1:3" x14ac:dyDescent="0.35">
      <c r="A289" s="5" t="s">
        <v>2041</v>
      </c>
      <c r="B289" s="7">
        <v>5</v>
      </c>
      <c r="C289" t="str">
        <f t="shared" si="4"/>
        <v>Yes</v>
      </c>
    </row>
    <row r="290" spans="1:3" x14ac:dyDescent="0.35">
      <c r="A290" s="5" t="s">
        <v>2042</v>
      </c>
      <c r="B290" s="7">
        <v>3</v>
      </c>
      <c r="C290" t="str">
        <f t="shared" si="4"/>
        <v>Yes</v>
      </c>
    </row>
    <row r="291" spans="1:3" x14ac:dyDescent="0.35">
      <c r="A291" s="5" t="s">
        <v>2043</v>
      </c>
      <c r="B291" s="7">
        <v>5</v>
      </c>
      <c r="C291" t="str">
        <f t="shared" si="4"/>
        <v>Yes</v>
      </c>
    </row>
    <row r="292" spans="1:3" x14ac:dyDescent="0.35">
      <c r="A292" s="5" t="s">
        <v>2044</v>
      </c>
      <c r="B292" s="7">
        <v>4</v>
      </c>
      <c r="C292" t="str">
        <f t="shared" si="4"/>
        <v>Yes</v>
      </c>
    </row>
    <row r="293" spans="1:3" x14ac:dyDescent="0.35">
      <c r="A293" s="5" t="s">
        <v>1721</v>
      </c>
      <c r="B293" s="7">
        <v>1</v>
      </c>
      <c r="C293" t="str">
        <f t="shared" si="4"/>
        <v>Yes</v>
      </c>
    </row>
    <row r="294" spans="1:3" x14ac:dyDescent="0.35">
      <c r="A294" s="5" t="s">
        <v>2045</v>
      </c>
      <c r="B294" s="7">
        <v>2</v>
      </c>
      <c r="C294" t="str">
        <f t="shared" si="4"/>
        <v>Yes</v>
      </c>
    </row>
    <row r="295" spans="1:3" x14ac:dyDescent="0.35">
      <c r="A295" s="5" t="s">
        <v>2046</v>
      </c>
      <c r="B295" s="7">
        <v>4</v>
      </c>
      <c r="C295" t="str">
        <f t="shared" si="4"/>
        <v>Yes</v>
      </c>
    </row>
    <row r="296" spans="1:3" x14ac:dyDescent="0.35">
      <c r="A296" s="5" t="s">
        <v>2047</v>
      </c>
      <c r="B296" s="7">
        <v>2</v>
      </c>
      <c r="C296" t="str">
        <f t="shared" si="4"/>
        <v>Yes</v>
      </c>
    </row>
    <row r="297" spans="1:3" x14ac:dyDescent="0.35">
      <c r="A297" s="5" t="s">
        <v>2048</v>
      </c>
      <c r="B297" s="7">
        <v>5</v>
      </c>
      <c r="C297" t="str">
        <f t="shared" si="4"/>
        <v>Yes</v>
      </c>
    </row>
    <row r="298" spans="1:3" x14ac:dyDescent="0.35">
      <c r="A298" s="5" t="s">
        <v>2049</v>
      </c>
      <c r="B298" s="7">
        <v>4</v>
      </c>
      <c r="C298" t="str">
        <f t="shared" si="4"/>
        <v>Yes</v>
      </c>
    </row>
    <row r="299" spans="1:3" x14ac:dyDescent="0.35">
      <c r="A299" s="5" t="s">
        <v>2050</v>
      </c>
      <c r="B299" s="7">
        <v>4</v>
      </c>
      <c r="C299" t="str">
        <f t="shared" si="4"/>
        <v>Yes</v>
      </c>
    </row>
    <row r="300" spans="1:3" x14ac:dyDescent="0.35">
      <c r="A300" s="5" t="s">
        <v>2051</v>
      </c>
      <c r="B300" s="7">
        <v>3</v>
      </c>
      <c r="C300" t="str">
        <f t="shared" si="4"/>
        <v>Yes</v>
      </c>
    </row>
    <row r="301" spans="1:3" x14ac:dyDescent="0.35">
      <c r="A301" s="5" t="s">
        <v>2052</v>
      </c>
      <c r="B301" s="7">
        <v>3</v>
      </c>
      <c r="C301" t="str">
        <f t="shared" si="4"/>
        <v>Yes</v>
      </c>
    </row>
    <row r="302" spans="1:3" x14ac:dyDescent="0.35">
      <c r="A302" s="5" t="s">
        <v>2053</v>
      </c>
      <c r="B302" s="7">
        <v>4</v>
      </c>
      <c r="C302" t="str">
        <f t="shared" si="4"/>
        <v>Yes</v>
      </c>
    </row>
    <row r="303" spans="1:3" x14ac:dyDescent="0.35">
      <c r="A303" s="5" t="s">
        <v>2054</v>
      </c>
      <c r="B303" s="7">
        <v>2</v>
      </c>
      <c r="C303" t="str">
        <f t="shared" si="4"/>
        <v>Yes</v>
      </c>
    </row>
    <row r="304" spans="1:3" x14ac:dyDescent="0.35">
      <c r="A304" s="5" t="s">
        <v>1722</v>
      </c>
      <c r="B304" s="7">
        <v>1</v>
      </c>
      <c r="C304" t="str">
        <f t="shared" si="4"/>
        <v>Yes</v>
      </c>
    </row>
    <row r="305" spans="1:3" x14ac:dyDescent="0.35">
      <c r="A305" s="5" t="s">
        <v>2055</v>
      </c>
      <c r="B305" s="7">
        <v>4</v>
      </c>
      <c r="C305" t="str">
        <f t="shared" si="4"/>
        <v>Yes</v>
      </c>
    </row>
    <row r="306" spans="1:3" x14ac:dyDescent="0.35">
      <c r="A306" s="5" t="s">
        <v>2056</v>
      </c>
      <c r="B306" s="7">
        <v>2</v>
      </c>
      <c r="C306" t="str">
        <f t="shared" si="4"/>
        <v>Yes</v>
      </c>
    </row>
    <row r="307" spans="1:3" x14ac:dyDescent="0.35">
      <c r="A307" s="5" t="s">
        <v>2057</v>
      </c>
      <c r="B307" s="7">
        <v>5</v>
      </c>
      <c r="C307" t="str">
        <f t="shared" si="4"/>
        <v>Yes</v>
      </c>
    </row>
    <row r="308" spans="1:3" x14ac:dyDescent="0.35">
      <c r="A308" s="5" t="s">
        <v>2058</v>
      </c>
      <c r="B308" s="7">
        <v>3</v>
      </c>
      <c r="C308" t="str">
        <f t="shared" si="4"/>
        <v>Yes</v>
      </c>
    </row>
    <row r="309" spans="1:3" x14ac:dyDescent="0.35">
      <c r="A309" s="5" t="s">
        <v>2059</v>
      </c>
      <c r="B309" s="7">
        <v>3</v>
      </c>
      <c r="C309" t="str">
        <f t="shared" si="4"/>
        <v>Yes</v>
      </c>
    </row>
    <row r="310" spans="1:3" x14ac:dyDescent="0.35">
      <c r="A310" s="5" t="s">
        <v>2060</v>
      </c>
      <c r="B310" s="7">
        <v>3</v>
      </c>
      <c r="C310" t="str">
        <f t="shared" si="4"/>
        <v>Yes</v>
      </c>
    </row>
    <row r="311" spans="1:3" x14ac:dyDescent="0.35">
      <c r="A311" s="5" t="s">
        <v>2061</v>
      </c>
      <c r="B311" s="7">
        <v>4</v>
      </c>
      <c r="C311" t="str">
        <f t="shared" si="4"/>
        <v>Yes</v>
      </c>
    </row>
    <row r="312" spans="1:3" x14ac:dyDescent="0.35">
      <c r="A312" s="5" t="s">
        <v>2062</v>
      </c>
      <c r="B312" s="7">
        <v>3</v>
      </c>
      <c r="C312" t="str">
        <f t="shared" si="4"/>
        <v>Yes</v>
      </c>
    </row>
    <row r="313" spans="1:3" x14ac:dyDescent="0.35">
      <c r="A313" s="5" t="s">
        <v>2063</v>
      </c>
      <c r="B313" s="7">
        <v>4</v>
      </c>
      <c r="C313" t="str">
        <f t="shared" si="4"/>
        <v>Yes</v>
      </c>
    </row>
    <row r="314" spans="1:3" x14ac:dyDescent="0.35">
      <c r="A314" s="5" t="s">
        <v>2064</v>
      </c>
      <c r="B314" s="7">
        <v>4</v>
      </c>
      <c r="C314" t="str">
        <f t="shared" si="4"/>
        <v>Yes</v>
      </c>
    </row>
    <row r="315" spans="1:3" x14ac:dyDescent="0.35">
      <c r="A315" s="5" t="s">
        <v>1723</v>
      </c>
      <c r="B315" s="7">
        <v>1</v>
      </c>
      <c r="C315" t="str">
        <f t="shared" si="4"/>
        <v>Yes</v>
      </c>
    </row>
    <row r="316" spans="1:3" x14ac:dyDescent="0.35">
      <c r="A316" s="5" t="s">
        <v>2065</v>
      </c>
      <c r="B316" s="7">
        <v>4</v>
      </c>
      <c r="C316" t="str">
        <f t="shared" si="4"/>
        <v>Yes</v>
      </c>
    </row>
    <row r="317" spans="1:3" x14ac:dyDescent="0.35">
      <c r="A317" s="5" t="s">
        <v>2066</v>
      </c>
      <c r="B317" s="7">
        <v>3</v>
      </c>
      <c r="C317" t="str">
        <f t="shared" si="4"/>
        <v>Yes</v>
      </c>
    </row>
    <row r="318" spans="1:3" x14ac:dyDescent="0.35">
      <c r="A318" s="5" t="s">
        <v>2067</v>
      </c>
      <c r="B318" s="7">
        <v>3</v>
      </c>
      <c r="C318" t="str">
        <f t="shared" si="4"/>
        <v>Yes</v>
      </c>
    </row>
    <row r="319" spans="1:3" x14ac:dyDescent="0.35">
      <c r="A319" s="5" t="s">
        <v>2068</v>
      </c>
      <c r="B319" s="7">
        <v>3</v>
      </c>
      <c r="C319" t="str">
        <f t="shared" si="4"/>
        <v>Yes</v>
      </c>
    </row>
    <row r="320" spans="1:3" x14ac:dyDescent="0.35">
      <c r="A320" s="5" t="s">
        <v>2069</v>
      </c>
      <c r="B320" s="7">
        <v>3</v>
      </c>
      <c r="C320" t="str">
        <f t="shared" si="4"/>
        <v>Yes</v>
      </c>
    </row>
    <row r="321" spans="1:3" x14ac:dyDescent="0.35">
      <c r="A321" s="5" t="s">
        <v>2070</v>
      </c>
      <c r="B321" s="7">
        <v>3</v>
      </c>
      <c r="C321" t="str">
        <f t="shared" si="4"/>
        <v>Yes</v>
      </c>
    </row>
    <row r="322" spans="1:3" x14ac:dyDescent="0.35">
      <c r="A322" s="5" t="s">
        <v>2071</v>
      </c>
      <c r="B322" s="7">
        <v>4</v>
      </c>
      <c r="C322" t="str">
        <f t="shared" si="4"/>
        <v>Yes</v>
      </c>
    </row>
    <row r="323" spans="1:3" x14ac:dyDescent="0.35">
      <c r="A323" s="5" t="s">
        <v>2072</v>
      </c>
      <c r="B323" s="7">
        <v>5</v>
      </c>
      <c r="C323" t="str">
        <f t="shared" si="4"/>
        <v>Yes</v>
      </c>
    </row>
    <row r="324" spans="1:3" x14ac:dyDescent="0.35">
      <c r="A324" s="5" t="s">
        <v>2073</v>
      </c>
      <c r="B324" s="7">
        <v>4</v>
      </c>
      <c r="C324" t="str">
        <f t="shared" si="4"/>
        <v>Yes</v>
      </c>
    </row>
    <row r="325" spans="1:3" x14ac:dyDescent="0.35">
      <c r="A325" s="5" t="s">
        <v>2074</v>
      </c>
      <c r="B325" s="7">
        <v>5</v>
      </c>
      <c r="C325" t="str">
        <f t="shared" ref="C325:C388" si="5">IF(B325&gt;0,"Yes","No")</f>
        <v>Yes</v>
      </c>
    </row>
    <row r="326" spans="1:3" x14ac:dyDescent="0.35">
      <c r="A326" s="5" t="s">
        <v>1724</v>
      </c>
      <c r="B326" s="7">
        <v>1</v>
      </c>
      <c r="C326" t="str">
        <f t="shared" si="5"/>
        <v>Yes</v>
      </c>
    </row>
    <row r="327" spans="1:3" x14ac:dyDescent="0.35">
      <c r="A327" s="5" t="s">
        <v>2075</v>
      </c>
      <c r="B327" s="7">
        <v>5</v>
      </c>
      <c r="C327" t="str">
        <f t="shared" si="5"/>
        <v>Yes</v>
      </c>
    </row>
    <row r="328" spans="1:3" x14ac:dyDescent="0.35">
      <c r="A328" s="5" t="s">
        <v>2076</v>
      </c>
      <c r="B328" s="7">
        <v>3</v>
      </c>
      <c r="C328" t="str">
        <f t="shared" si="5"/>
        <v>Yes</v>
      </c>
    </row>
    <row r="329" spans="1:3" x14ac:dyDescent="0.35">
      <c r="A329" s="5" t="s">
        <v>2077</v>
      </c>
      <c r="B329" s="7">
        <v>4</v>
      </c>
      <c r="C329" t="str">
        <f t="shared" si="5"/>
        <v>Yes</v>
      </c>
    </row>
    <row r="330" spans="1:3" x14ac:dyDescent="0.35">
      <c r="A330" s="5" t="s">
        <v>2078</v>
      </c>
      <c r="B330" s="7">
        <v>5</v>
      </c>
      <c r="C330" t="str">
        <f t="shared" si="5"/>
        <v>Yes</v>
      </c>
    </row>
    <row r="331" spans="1:3" x14ac:dyDescent="0.35">
      <c r="A331" s="5" t="s">
        <v>2079</v>
      </c>
      <c r="B331" s="7">
        <v>2</v>
      </c>
      <c r="C331" t="str">
        <f t="shared" si="5"/>
        <v>Yes</v>
      </c>
    </row>
    <row r="332" spans="1:3" x14ac:dyDescent="0.35">
      <c r="A332" s="5" t="s">
        <v>2080</v>
      </c>
      <c r="B332" s="7">
        <v>2</v>
      </c>
      <c r="C332" t="str">
        <f t="shared" si="5"/>
        <v>Yes</v>
      </c>
    </row>
    <row r="333" spans="1:3" x14ac:dyDescent="0.35">
      <c r="A333" s="5" t="s">
        <v>2081</v>
      </c>
      <c r="B333" s="7">
        <v>3</v>
      </c>
      <c r="C333" t="str">
        <f t="shared" si="5"/>
        <v>Yes</v>
      </c>
    </row>
    <row r="334" spans="1:3" x14ac:dyDescent="0.35">
      <c r="A334" s="5" t="s">
        <v>2082</v>
      </c>
      <c r="B334" s="7">
        <v>5</v>
      </c>
      <c r="C334" t="str">
        <f t="shared" si="5"/>
        <v>Yes</v>
      </c>
    </row>
    <row r="335" spans="1:3" x14ac:dyDescent="0.35">
      <c r="A335" s="5" t="s">
        <v>2083</v>
      </c>
      <c r="B335" s="7">
        <v>4</v>
      </c>
      <c r="C335" t="str">
        <f t="shared" si="5"/>
        <v>Yes</v>
      </c>
    </row>
    <row r="336" spans="1:3" x14ac:dyDescent="0.35">
      <c r="A336" s="5" t="s">
        <v>2084</v>
      </c>
      <c r="B336" s="7">
        <v>2</v>
      </c>
      <c r="C336" t="str">
        <f t="shared" si="5"/>
        <v>Yes</v>
      </c>
    </row>
    <row r="337" spans="1:3" x14ac:dyDescent="0.35">
      <c r="A337" s="5" t="s">
        <v>1689</v>
      </c>
      <c r="B337" s="7">
        <v>1</v>
      </c>
      <c r="C337" t="str">
        <f t="shared" si="5"/>
        <v>Yes</v>
      </c>
    </row>
    <row r="338" spans="1:3" x14ac:dyDescent="0.35">
      <c r="A338" s="5" t="s">
        <v>1725</v>
      </c>
      <c r="B338" s="7">
        <v>1</v>
      </c>
      <c r="C338" t="str">
        <f t="shared" si="5"/>
        <v>Yes</v>
      </c>
    </row>
    <row r="339" spans="1:3" x14ac:dyDescent="0.35">
      <c r="A339" s="5" t="s">
        <v>2085</v>
      </c>
      <c r="B339" s="7">
        <v>5</v>
      </c>
      <c r="C339" t="str">
        <f t="shared" si="5"/>
        <v>Yes</v>
      </c>
    </row>
    <row r="340" spans="1:3" x14ac:dyDescent="0.35">
      <c r="A340" s="5" t="s">
        <v>2086</v>
      </c>
      <c r="B340" s="7">
        <v>5</v>
      </c>
      <c r="C340" t="str">
        <f t="shared" si="5"/>
        <v>Yes</v>
      </c>
    </row>
    <row r="341" spans="1:3" x14ac:dyDescent="0.35">
      <c r="A341" s="5" t="s">
        <v>2087</v>
      </c>
      <c r="B341" s="7">
        <v>5</v>
      </c>
      <c r="C341" t="str">
        <f t="shared" si="5"/>
        <v>Yes</v>
      </c>
    </row>
    <row r="342" spans="1:3" x14ac:dyDescent="0.35">
      <c r="A342" s="5" t="s">
        <v>2088</v>
      </c>
      <c r="B342" s="7">
        <v>5</v>
      </c>
      <c r="C342" t="str">
        <f t="shared" si="5"/>
        <v>Yes</v>
      </c>
    </row>
    <row r="343" spans="1:3" x14ac:dyDescent="0.35">
      <c r="A343" s="5" t="s">
        <v>2089</v>
      </c>
      <c r="B343" s="7">
        <v>2</v>
      </c>
      <c r="C343" t="str">
        <f t="shared" si="5"/>
        <v>Yes</v>
      </c>
    </row>
    <row r="344" spans="1:3" x14ac:dyDescent="0.35">
      <c r="A344" s="5" t="s">
        <v>2090</v>
      </c>
      <c r="B344" s="7">
        <v>5</v>
      </c>
      <c r="C344" t="str">
        <f t="shared" si="5"/>
        <v>Yes</v>
      </c>
    </row>
    <row r="345" spans="1:3" x14ac:dyDescent="0.35">
      <c r="A345" s="5" t="s">
        <v>2091</v>
      </c>
      <c r="B345" s="7">
        <v>4</v>
      </c>
      <c r="C345" t="str">
        <f t="shared" si="5"/>
        <v>Yes</v>
      </c>
    </row>
    <row r="346" spans="1:3" x14ac:dyDescent="0.35">
      <c r="A346" s="5" t="s">
        <v>2092</v>
      </c>
      <c r="B346" s="7">
        <v>3</v>
      </c>
      <c r="C346" t="str">
        <f t="shared" si="5"/>
        <v>Yes</v>
      </c>
    </row>
    <row r="347" spans="1:3" x14ac:dyDescent="0.35">
      <c r="A347" s="5" t="s">
        <v>2093</v>
      </c>
      <c r="B347" s="7">
        <v>2</v>
      </c>
      <c r="C347" t="str">
        <f t="shared" si="5"/>
        <v>Yes</v>
      </c>
    </row>
    <row r="348" spans="1:3" x14ac:dyDescent="0.35">
      <c r="A348" s="5" t="s">
        <v>2094</v>
      </c>
      <c r="B348" s="7">
        <v>5</v>
      </c>
      <c r="C348" t="str">
        <f t="shared" si="5"/>
        <v>Yes</v>
      </c>
    </row>
    <row r="349" spans="1:3" x14ac:dyDescent="0.35">
      <c r="A349" s="5" t="s">
        <v>1726</v>
      </c>
      <c r="B349" s="7">
        <v>1</v>
      </c>
      <c r="C349" t="str">
        <f t="shared" si="5"/>
        <v>Yes</v>
      </c>
    </row>
    <row r="350" spans="1:3" x14ac:dyDescent="0.35">
      <c r="A350" s="5" t="s">
        <v>2095</v>
      </c>
      <c r="B350" s="7">
        <v>4</v>
      </c>
      <c r="C350" t="str">
        <f t="shared" si="5"/>
        <v>Yes</v>
      </c>
    </row>
    <row r="351" spans="1:3" x14ac:dyDescent="0.35">
      <c r="A351" s="5" t="s">
        <v>2096</v>
      </c>
      <c r="B351" s="7">
        <v>5</v>
      </c>
      <c r="C351" t="str">
        <f t="shared" si="5"/>
        <v>Yes</v>
      </c>
    </row>
    <row r="352" spans="1:3" x14ac:dyDescent="0.35">
      <c r="A352" s="5" t="s">
        <v>2097</v>
      </c>
      <c r="B352" s="7">
        <v>2</v>
      </c>
      <c r="C352" t="str">
        <f t="shared" si="5"/>
        <v>Yes</v>
      </c>
    </row>
    <row r="353" spans="1:3" x14ac:dyDescent="0.35">
      <c r="A353" s="5" t="s">
        <v>2098</v>
      </c>
      <c r="B353" s="7">
        <v>3</v>
      </c>
      <c r="C353" t="str">
        <f t="shared" si="5"/>
        <v>Yes</v>
      </c>
    </row>
    <row r="354" spans="1:3" x14ac:dyDescent="0.35">
      <c r="A354" s="5" t="s">
        <v>2099</v>
      </c>
      <c r="B354" s="7">
        <v>3</v>
      </c>
      <c r="C354" t="str">
        <f t="shared" si="5"/>
        <v>Yes</v>
      </c>
    </row>
    <row r="355" spans="1:3" x14ac:dyDescent="0.35">
      <c r="A355" s="5" t="s">
        <v>2100</v>
      </c>
      <c r="B355" s="7">
        <v>4</v>
      </c>
      <c r="C355" t="str">
        <f t="shared" si="5"/>
        <v>Yes</v>
      </c>
    </row>
    <row r="356" spans="1:3" x14ac:dyDescent="0.35">
      <c r="A356" s="5" t="s">
        <v>2101</v>
      </c>
      <c r="B356" s="7">
        <v>5</v>
      </c>
      <c r="C356" t="str">
        <f t="shared" si="5"/>
        <v>Yes</v>
      </c>
    </row>
    <row r="357" spans="1:3" x14ac:dyDescent="0.35">
      <c r="A357" s="5" t="s">
        <v>2102</v>
      </c>
      <c r="B357" s="7">
        <v>4</v>
      </c>
      <c r="C357" t="str">
        <f t="shared" si="5"/>
        <v>Yes</v>
      </c>
    </row>
    <row r="358" spans="1:3" x14ac:dyDescent="0.35">
      <c r="A358" s="5" t="s">
        <v>2103</v>
      </c>
      <c r="B358" s="7">
        <v>4</v>
      </c>
      <c r="C358" t="str">
        <f t="shared" si="5"/>
        <v>Yes</v>
      </c>
    </row>
    <row r="359" spans="1:3" x14ac:dyDescent="0.35">
      <c r="A359" s="5" t="s">
        <v>2104</v>
      </c>
      <c r="B359" s="7">
        <v>5</v>
      </c>
      <c r="C359" t="str">
        <f t="shared" si="5"/>
        <v>Yes</v>
      </c>
    </row>
    <row r="360" spans="1:3" x14ac:dyDescent="0.35">
      <c r="A360" s="5" t="s">
        <v>1727</v>
      </c>
      <c r="B360" s="7">
        <v>1</v>
      </c>
      <c r="C360" t="str">
        <f t="shared" si="5"/>
        <v>Yes</v>
      </c>
    </row>
    <row r="361" spans="1:3" x14ac:dyDescent="0.35">
      <c r="A361" s="5" t="s">
        <v>2105</v>
      </c>
      <c r="B361" s="7">
        <v>5</v>
      </c>
      <c r="C361" t="str">
        <f t="shared" si="5"/>
        <v>Yes</v>
      </c>
    </row>
    <row r="362" spans="1:3" x14ac:dyDescent="0.35">
      <c r="A362" s="5" t="s">
        <v>2106</v>
      </c>
      <c r="B362" s="7">
        <v>2</v>
      </c>
      <c r="C362" t="str">
        <f t="shared" si="5"/>
        <v>Yes</v>
      </c>
    </row>
    <row r="363" spans="1:3" x14ac:dyDescent="0.35">
      <c r="A363" s="5" t="s">
        <v>2107</v>
      </c>
      <c r="B363" s="7">
        <v>2</v>
      </c>
      <c r="C363" t="str">
        <f t="shared" si="5"/>
        <v>Yes</v>
      </c>
    </row>
    <row r="364" spans="1:3" x14ac:dyDescent="0.35">
      <c r="A364" s="5" t="s">
        <v>2108</v>
      </c>
      <c r="B364" s="7">
        <v>3</v>
      </c>
      <c r="C364" t="str">
        <f t="shared" si="5"/>
        <v>Yes</v>
      </c>
    </row>
    <row r="365" spans="1:3" x14ac:dyDescent="0.35">
      <c r="A365" s="5" t="s">
        <v>2109</v>
      </c>
      <c r="B365" s="7">
        <v>5</v>
      </c>
      <c r="C365" t="str">
        <f t="shared" si="5"/>
        <v>Yes</v>
      </c>
    </row>
    <row r="366" spans="1:3" x14ac:dyDescent="0.35">
      <c r="A366" s="5" t="s">
        <v>2110</v>
      </c>
      <c r="B366" s="7">
        <v>2</v>
      </c>
      <c r="C366" t="str">
        <f t="shared" si="5"/>
        <v>Yes</v>
      </c>
    </row>
    <row r="367" spans="1:3" x14ac:dyDescent="0.35">
      <c r="A367" s="5" t="s">
        <v>2111</v>
      </c>
      <c r="B367" s="7">
        <v>3</v>
      </c>
      <c r="C367" t="str">
        <f t="shared" si="5"/>
        <v>Yes</v>
      </c>
    </row>
    <row r="368" spans="1:3" x14ac:dyDescent="0.35">
      <c r="A368" s="5" t="s">
        <v>2112</v>
      </c>
      <c r="B368" s="7">
        <v>4</v>
      </c>
      <c r="C368" t="str">
        <f t="shared" si="5"/>
        <v>Yes</v>
      </c>
    </row>
    <row r="369" spans="1:3" x14ac:dyDescent="0.35">
      <c r="A369" s="5" t="s">
        <v>2113</v>
      </c>
      <c r="B369" s="7">
        <v>3</v>
      </c>
      <c r="C369" t="str">
        <f t="shared" si="5"/>
        <v>Yes</v>
      </c>
    </row>
    <row r="370" spans="1:3" x14ac:dyDescent="0.35">
      <c r="A370" s="5" t="s">
        <v>2114</v>
      </c>
      <c r="B370" s="7">
        <v>2</v>
      </c>
      <c r="C370" t="str">
        <f t="shared" si="5"/>
        <v>Yes</v>
      </c>
    </row>
    <row r="371" spans="1:3" x14ac:dyDescent="0.35">
      <c r="A371" s="5" t="s">
        <v>1728</v>
      </c>
      <c r="B371" s="7">
        <v>1</v>
      </c>
      <c r="C371" t="str">
        <f t="shared" si="5"/>
        <v>Yes</v>
      </c>
    </row>
    <row r="372" spans="1:3" x14ac:dyDescent="0.35">
      <c r="A372" s="5" t="s">
        <v>2115</v>
      </c>
      <c r="B372" s="7">
        <v>2</v>
      </c>
      <c r="C372" t="str">
        <f t="shared" si="5"/>
        <v>Yes</v>
      </c>
    </row>
    <row r="373" spans="1:3" x14ac:dyDescent="0.35">
      <c r="A373" s="5" t="s">
        <v>2116</v>
      </c>
      <c r="B373" s="7">
        <v>4</v>
      </c>
      <c r="C373" t="str">
        <f t="shared" si="5"/>
        <v>Yes</v>
      </c>
    </row>
    <row r="374" spans="1:3" x14ac:dyDescent="0.35">
      <c r="A374" s="5" t="s">
        <v>2117</v>
      </c>
      <c r="B374" s="7">
        <v>5</v>
      </c>
      <c r="C374" t="str">
        <f t="shared" si="5"/>
        <v>Yes</v>
      </c>
    </row>
    <row r="375" spans="1:3" x14ac:dyDescent="0.35">
      <c r="A375" s="5" t="s">
        <v>2118</v>
      </c>
      <c r="B375" s="7">
        <v>4</v>
      </c>
      <c r="C375" t="str">
        <f t="shared" si="5"/>
        <v>Yes</v>
      </c>
    </row>
    <row r="376" spans="1:3" x14ac:dyDescent="0.35">
      <c r="A376" s="5" t="s">
        <v>2119</v>
      </c>
      <c r="B376" s="7">
        <v>4</v>
      </c>
      <c r="C376" t="str">
        <f t="shared" si="5"/>
        <v>Yes</v>
      </c>
    </row>
    <row r="377" spans="1:3" x14ac:dyDescent="0.35">
      <c r="A377" s="5" t="s">
        <v>2120</v>
      </c>
      <c r="B377" s="7">
        <v>3</v>
      </c>
      <c r="C377" t="str">
        <f t="shared" si="5"/>
        <v>Yes</v>
      </c>
    </row>
    <row r="378" spans="1:3" x14ac:dyDescent="0.35">
      <c r="A378" s="5" t="s">
        <v>2121</v>
      </c>
      <c r="B378" s="7">
        <v>5</v>
      </c>
      <c r="C378" t="str">
        <f t="shared" si="5"/>
        <v>Yes</v>
      </c>
    </row>
    <row r="379" spans="1:3" x14ac:dyDescent="0.35">
      <c r="A379" s="5" t="s">
        <v>2122</v>
      </c>
      <c r="B379" s="7">
        <v>4</v>
      </c>
      <c r="C379" t="str">
        <f t="shared" si="5"/>
        <v>Yes</v>
      </c>
    </row>
    <row r="380" spans="1:3" x14ac:dyDescent="0.35">
      <c r="A380" s="5" t="s">
        <v>2123</v>
      </c>
      <c r="B380" s="7">
        <v>5</v>
      </c>
      <c r="C380" t="str">
        <f t="shared" si="5"/>
        <v>Yes</v>
      </c>
    </row>
    <row r="381" spans="1:3" x14ac:dyDescent="0.35">
      <c r="A381" s="5" t="s">
        <v>2124</v>
      </c>
      <c r="B381" s="7">
        <v>3</v>
      </c>
      <c r="C381" t="str">
        <f t="shared" si="5"/>
        <v>Yes</v>
      </c>
    </row>
    <row r="382" spans="1:3" x14ac:dyDescent="0.35">
      <c r="A382" s="5" t="s">
        <v>1729</v>
      </c>
      <c r="B382" s="7">
        <v>1</v>
      </c>
      <c r="C382" t="str">
        <f t="shared" si="5"/>
        <v>Yes</v>
      </c>
    </row>
    <row r="383" spans="1:3" x14ac:dyDescent="0.35">
      <c r="A383" s="5" t="s">
        <v>2125</v>
      </c>
      <c r="B383" s="7">
        <v>5</v>
      </c>
      <c r="C383" t="str">
        <f t="shared" si="5"/>
        <v>Yes</v>
      </c>
    </row>
    <row r="384" spans="1:3" x14ac:dyDescent="0.35">
      <c r="A384" s="5" t="s">
        <v>2126</v>
      </c>
      <c r="B384" s="7">
        <v>2</v>
      </c>
      <c r="C384" t="str">
        <f t="shared" si="5"/>
        <v>Yes</v>
      </c>
    </row>
    <row r="385" spans="1:3" x14ac:dyDescent="0.35">
      <c r="A385" s="5" t="s">
        <v>2127</v>
      </c>
      <c r="B385" s="7">
        <v>4</v>
      </c>
      <c r="C385" t="str">
        <f t="shared" si="5"/>
        <v>Yes</v>
      </c>
    </row>
    <row r="386" spans="1:3" x14ac:dyDescent="0.35">
      <c r="A386" s="5" t="s">
        <v>2128</v>
      </c>
      <c r="B386" s="7">
        <v>3</v>
      </c>
      <c r="C386" t="str">
        <f t="shared" si="5"/>
        <v>Yes</v>
      </c>
    </row>
    <row r="387" spans="1:3" x14ac:dyDescent="0.35">
      <c r="A387" s="5" t="s">
        <v>2129</v>
      </c>
      <c r="B387" s="7">
        <v>4</v>
      </c>
      <c r="C387" t="str">
        <f t="shared" si="5"/>
        <v>Yes</v>
      </c>
    </row>
    <row r="388" spans="1:3" x14ac:dyDescent="0.35">
      <c r="A388" s="5" t="s">
        <v>2130</v>
      </c>
      <c r="B388" s="7">
        <v>3</v>
      </c>
      <c r="C388" t="str">
        <f t="shared" si="5"/>
        <v>Yes</v>
      </c>
    </row>
    <row r="389" spans="1:3" x14ac:dyDescent="0.35">
      <c r="A389" s="5" t="s">
        <v>2131</v>
      </c>
      <c r="B389" s="7">
        <v>2</v>
      </c>
      <c r="C389" t="str">
        <f t="shared" ref="C389:C452" si="6">IF(B389&gt;0,"Yes","No")</f>
        <v>Yes</v>
      </c>
    </row>
    <row r="390" spans="1:3" x14ac:dyDescent="0.35">
      <c r="A390" s="5" t="s">
        <v>2132</v>
      </c>
      <c r="B390" s="7">
        <v>4</v>
      </c>
      <c r="C390" t="str">
        <f t="shared" si="6"/>
        <v>Yes</v>
      </c>
    </row>
    <row r="391" spans="1:3" x14ac:dyDescent="0.35">
      <c r="A391" s="5" t="s">
        <v>2133</v>
      </c>
      <c r="B391" s="7">
        <v>3</v>
      </c>
      <c r="C391" t="str">
        <f t="shared" si="6"/>
        <v>Yes</v>
      </c>
    </row>
    <row r="392" spans="1:3" x14ac:dyDescent="0.35">
      <c r="A392" s="5" t="s">
        <v>2134</v>
      </c>
      <c r="B392" s="7">
        <v>5</v>
      </c>
      <c r="C392" t="str">
        <f t="shared" si="6"/>
        <v>Yes</v>
      </c>
    </row>
    <row r="393" spans="1:3" x14ac:dyDescent="0.35">
      <c r="A393" s="5" t="s">
        <v>1730</v>
      </c>
      <c r="B393" s="7">
        <v>1</v>
      </c>
      <c r="C393" t="str">
        <f t="shared" si="6"/>
        <v>Yes</v>
      </c>
    </row>
    <row r="394" spans="1:3" x14ac:dyDescent="0.35">
      <c r="A394" s="5" t="s">
        <v>2135</v>
      </c>
      <c r="B394" s="7">
        <v>2</v>
      </c>
      <c r="C394" t="str">
        <f t="shared" si="6"/>
        <v>Yes</v>
      </c>
    </row>
    <row r="395" spans="1:3" x14ac:dyDescent="0.35">
      <c r="A395" s="5" t="s">
        <v>2136</v>
      </c>
      <c r="B395" s="7">
        <v>4</v>
      </c>
      <c r="C395" t="str">
        <f t="shared" si="6"/>
        <v>Yes</v>
      </c>
    </row>
    <row r="396" spans="1:3" x14ac:dyDescent="0.35">
      <c r="A396" s="5" t="s">
        <v>2137</v>
      </c>
      <c r="B396" s="7">
        <v>3</v>
      </c>
      <c r="C396" t="str">
        <f t="shared" si="6"/>
        <v>Yes</v>
      </c>
    </row>
    <row r="397" spans="1:3" x14ac:dyDescent="0.35">
      <c r="A397" s="5" t="s">
        <v>2138</v>
      </c>
      <c r="B397" s="7">
        <v>5</v>
      </c>
      <c r="C397" t="str">
        <f t="shared" si="6"/>
        <v>Yes</v>
      </c>
    </row>
    <row r="398" spans="1:3" x14ac:dyDescent="0.35">
      <c r="A398" s="5" t="s">
        <v>2139</v>
      </c>
      <c r="B398" s="7">
        <v>2</v>
      </c>
      <c r="C398" t="str">
        <f t="shared" si="6"/>
        <v>Yes</v>
      </c>
    </row>
    <row r="399" spans="1:3" x14ac:dyDescent="0.35">
      <c r="A399" s="5" t="s">
        <v>2140</v>
      </c>
      <c r="B399" s="7">
        <v>3</v>
      </c>
      <c r="C399" t="str">
        <f t="shared" si="6"/>
        <v>Yes</v>
      </c>
    </row>
    <row r="400" spans="1:3" x14ac:dyDescent="0.35">
      <c r="A400" s="5" t="s">
        <v>2141</v>
      </c>
      <c r="B400" s="7">
        <v>4</v>
      </c>
      <c r="C400" t="str">
        <f t="shared" si="6"/>
        <v>Yes</v>
      </c>
    </row>
    <row r="401" spans="1:3" x14ac:dyDescent="0.35">
      <c r="A401" s="5" t="s">
        <v>2142</v>
      </c>
      <c r="B401" s="7">
        <v>3</v>
      </c>
      <c r="C401" t="str">
        <f t="shared" si="6"/>
        <v>Yes</v>
      </c>
    </row>
    <row r="402" spans="1:3" x14ac:dyDescent="0.35">
      <c r="A402" s="5" t="s">
        <v>2143</v>
      </c>
      <c r="B402" s="7">
        <v>3</v>
      </c>
      <c r="C402" t="str">
        <f t="shared" si="6"/>
        <v>Yes</v>
      </c>
    </row>
    <row r="403" spans="1:3" x14ac:dyDescent="0.35">
      <c r="A403" s="5" t="s">
        <v>2144</v>
      </c>
      <c r="B403" s="7">
        <v>2</v>
      </c>
      <c r="C403" t="str">
        <f t="shared" si="6"/>
        <v>Yes</v>
      </c>
    </row>
    <row r="404" spans="1:3" x14ac:dyDescent="0.35">
      <c r="A404" s="5" t="s">
        <v>1731</v>
      </c>
      <c r="B404" s="7">
        <v>1</v>
      </c>
      <c r="C404" t="str">
        <f t="shared" si="6"/>
        <v>Yes</v>
      </c>
    </row>
    <row r="405" spans="1:3" x14ac:dyDescent="0.35">
      <c r="A405" s="5" t="s">
        <v>2145</v>
      </c>
      <c r="B405" s="7">
        <v>4</v>
      </c>
      <c r="C405" t="str">
        <f t="shared" si="6"/>
        <v>Yes</v>
      </c>
    </row>
    <row r="406" spans="1:3" x14ac:dyDescent="0.35">
      <c r="A406" s="5" t="s">
        <v>2146</v>
      </c>
      <c r="B406" s="7">
        <v>4</v>
      </c>
      <c r="C406" t="str">
        <f t="shared" si="6"/>
        <v>Yes</v>
      </c>
    </row>
    <row r="407" spans="1:3" x14ac:dyDescent="0.35">
      <c r="A407" s="5" t="s">
        <v>2147</v>
      </c>
      <c r="B407" s="7">
        <v>3</v>
      </c>
      <c r="C407" t="str">
        <f t="shared" si="6"/>
        <v>Yes</v>
      </c>
    </row>
    <row r="408" spans="1:3" x14ac:dyDescent="0.35">
      <c r="A408" s="5" t="s">
        <v>2148</v>
      </c>
      <c r="B408" s="7">
        <v>3</v>
      </c>
      <c r="C408" t="str">
        <f t="shared" si="6"/>
        <v>Yes</v>
      </c>
    </row>
    <row r="409" spans="1:3" x14ac:dyDescent="0.35">
      <c r="A409" s="5" t="s">
        <v>2149</v>
      </c>
      <c r="B409" s="7">
        <v>3</v>
      </c>
      <c r="C409" t="str">
        <f t="shared" si="6"/>
        <v>Yes</v>
      </c>
    </row>
    <row r="410" spans="1:3" x14ac:dyDescent="0.35">
      <c r="A410" s="5" t="s">
        <v>2150</v>
      </c>
      <c r="B410" s="7">
        <v>2</v>
      </c>
      <c r="C410" t="str">
        <f t="shared" si="6"/>
        <v>Yes</v>
      </c>
    </row>
    <row r="411" spans="1:3" x14ac:dyDescent="0.35">
      <c r="A411" s="5" t="s">
        <v>2151</v>
      </c>
      <c r="B411" s="7">
        <v>4</v>
      </c>
      <c r="C411" t="str">
        <f t="shared" si="6"/>
        <v>Yes</v>
      </c>
    </row>
    <row r="412" spans="1:3" x14ac:dyDescent="0.35">
      <c r="A412" s="5" t="s">
        <v>2152</v>
      </c>
      <c r="B412" s="7">
        <v>5</v>
      </c>
      <c r="C412" t="str">
        <f t="shared" si="6"/>
        <v>Yes</v>
      </c>
    </row>
    <row r="413" spans="1:3" x14ac:dyDescent="0.35">
      <c r="A413" s="5" t="s">
        <v>2153</v>
      </c>
      <c r="B413" s="7">
        <v>2</v>
      </c>
      <c r="C413" t="str">
        <f t="shared" si="6"/>
        <v>Yes</v>
      </c>
    </row>
    <row r="414" spans="1:3" x14ac:dyDescent="0.35">
      <c r="A414" s="5" t="s">
        <v>2154</v>
      </c>
      <c r="B414" s="7">
        <v>2</v>
      </c>
      <c r="C414" t="str">
        <f t="shared" si="6"/>
        <v>Yes</v>
      </c>
    </row>
    <row r="415" spans="1:3" x14ac:dyDescent="0.35">
      <c r="A415" s="5" t="s">
        <v>1732</v>
      </c>
      <c r="B415" s="7">
        <v>1</v>
      </c>
      <c r="C415" t="str">
        <f t="shared" si="6"/>
        <v>Yes</v>
      </c>
    </row>
    <row r="416" spans="1:3" x14ac:dyDescent="0.35">
      <c r="A416" s="5" t="s">
        <v>2155</v>
      </c>
      <c r="B416" s="7">
        <v>5</v>
      </c>
      <c r="C416" t="str">
        <f t="shared" si="6"/>
        <v>Yes</v>
      </c>
    </row>
    <row r="417" spans="1:3" x14ac:dyDescent="0.35">
      <c r="A417" s="5" t="s">
        <v>2156</v>
      </c>
      <c r="B417" s="7">
        <v>3</v>
      </c>
      <c r="C417" t="str">
        <f t="shared" si="6"/>
        <v>Yes</v>
      </c>
    </row>
    <row r="418" spans="1:3" x14ac:dyDescent="0.35">
      <c r="A418" s="5" t="s">
        <v>2157</v>
      </c>
      <c r="B418" s="7">
        <v>4</v>
      </c>
      <c r="C418" t="str">
        <f t="shared" si="6"/>
        <v>Yes</v>
      </c>
    </row>
    <row r="419" spans="1:3" x14ac:dyDescent="0.35">
      <c r="A419" s="5" t="s">
        <v>2158</v>
      </c>
      <c r="B419" s="7">
        <v>5</v>
      </c>
      <c r="C419" t="str">
        <f t="shared" si="6"/>
        <v>Yes</v>
      </c>
    </row>
    <row r="420" spans="1:3" x14ac:dyDescent="0.35">
      <c r="A420" s="5" t="s">
        <v>2159</v>
      </c>
      <c r="B420" s="7">
        <v>4</v>
      </c>
      <c r="C420" t="str">
        <f t="shared" si="6"/>
        <v>Yes</v>
      </c>
    </row>
    <row r="421" spans="1:3" x14ac:dyDescent="0.35">
      <c r="A421" s="5" t="s">
        <v>2160</v>
      </c>
      <c r="B421" s="7">
        <v>2</v>
      </c>
      <c r="C421" t="str">
        <f t="shared" si="6"/>
        <v>Yes</v>
      </c>
    </row>
    <row r="422" spans="1:3" x14ac:dyDescent="0.35">
      <c r="A422" s="5" t="s">
        <v>2161</v>
      </c>
      <c r="B422" s="7">
        <v>2</v>
      </c>
      <c r="C422" t="str">
        <f t="shared" si="6"/>
        <v>Yes</v>
      </c>
    </row>
    <row r="423" spans="1:3" x14ac:dyDescent="0.35">
      <c r="A423" s="5" t="s">
        <v>2162</v>
      </c>
      <c r="B423" s="7">
        <v>3</v>
      </c>
      <c r="C423" t="str">
        <f t="shared" si="6"/>
        <v>Yes</v>
      </c>
    </row>
    <row r="424" spans="1:3" x14ac:dyDescent="0.35">
      <c r="A424" s="5" t="s">
        <v>2163</v>
      </c>
      <c r="B424" s="7">
        <v>2</v>
      </c>
      <c r="C424" t="str">
        <f t="shared" si="6"/>
        <v>Yes</v>
      </c>
    </row>
    <row r="425" spans="1:3" x14ac:dyDescent="0.35">
      <c r="A425" s="5" t="s">
        <v>2164</v>
      </c>
      <c r="B425" s="7">
        <v>3</v>
      </c>
      <c r="C425" t="str">
        <f t="shared" si="6"/>
        <v>Yes</v>
      </c>
    </row>
    <row r="426" spans="1:3" x14ac:dyDescent="0.35">
      <c r="A426" s="5" t="s">
        <v>1733</v>
      </c>
      <c r="B426" s="7">
        <v>1</v>
      </c>
      <c r="C426" t="str">
        <f t="shared" si="6"/>
        <v>Yes</v>
      </c>
    </row>
    <row r="427" spans="1:3" x14ac:dyDescent="0.35">
      <c r="A427" s="5" t="s">
        <v>2165</v>
      </c>
      <c r="B427" s="7">
        <v>5</v>
      </c>
      <c r="C427" t="str">
        <f t="shared" si="6"/>
        <v>Yes</v>
      </c>
    </row>
    <row r="428" spans="1:3" x14ac:dyDescent="0.35">
      <c r="A428" s="5" t="s">
        <v>2166</v>
      </c>
      <c r="B428" s="7">
        <v>3</v>
      </c>
      <c r="C428" t="str">
        <f t="shared" si="6"/>
        <v>Yes</v>
      </c>
    </row>
    <row r="429" spans="1:3" x14ac:dyDescent="0.35">
      <c r="A429" s="5" t="s">
        <v>2167</v>
      </c>
      <c r="B429" s="7">
        <v>2</v>
      </c>
      <c r="C429" t="str">
        <f t="shared" si="6"/>
        <v>Yes</v>
      </c>
    </row>
    <row r="430" spans="1:3" x14ac:dyDescent="0.35">
      <c r="A430" s="5" t="s">
        <v>2168</v>
      </c>
      <c r="B430" s="7">
        <v>4</v>
      </c>
      <c r="C430" t="str">
        <f t="shared" si="6"/>
        <v>Yes</v>
      </c>
    </row>
    <row r="431" spans="1:3" x14ac:dyDescent="0.35">
      <c r="A431" s="5" t="s">
        <v>2169</v>
      </c>
      <c r="B431" s="7">
        <v>5</v>
      </c>
      <c r="C431" t="str">
        <f t="shared" si="6"/>
        <v>Yes</v>
      </c>
    </row>
    <row r="432" spans="1:3" x14ac:dyDescent="0.35">
      <c r="A432" s="5" t="s">
        <v>2170</v>
      </c>
      <c r="B432" s="7">
        <v>4</v>
      </c>
      <c r="C432" t="str">
        <f t="shared" si="6"/>
        <v>Yes</v>
      </c>
    </row>
    <row r="433" spans="1:3" x14ac:dyDescent="0.35">
      <c r="A433" s="5" t="s">
        <v>2171</v>
      </c>
      <c r="B433" s="7">
        <v>2</v>
      </c>
      <c r="C433" t="str">
        <f t="shared" si="6"/>
        <v>Yes</v>
      </c>
    </row>
    <row r="434" spans="1:3" x14ac:dyDescent="0.35">
      <c r="A434" s="5" t="s">
        <v>2172</v>
      </c>
      <c r="B434" s="7">
        <v>2</v>
      </c>
      <c r="C434" t="str">
        <f t="shared" si="6"/>
        <v>Yes</v>
      </c>
    </row>
    <row r="435" spans="1:3" x14ac:dyDescent="0.35">
      <c r="A435" s="5" t="s">
        <v>2173</v>
      </c>
      <c r="B435" s="7">
        <v>5</v>
      </c>
      <c r="C435" t="str">
        <f t="shared" si="6"/>
        <v>Yes</v>
      </c>
    </row>
    <row r="436" spans="1:3" x14ac:dyDescent="0.35">
      <c r="A436" s="5" t="s">
        <v>2174</v>
      </c>
      <c r="B436" s="7">
        <v>2</v>
      </c>
      <c r="C436" t="str">
        <f t="shared" si="6"/>
        <v>Yes</v>
      </c>
    </row>
    <row r="437" spans="1:3" x14ac:dyDescent="0.35">
      <c r="A437" s="5" t="s">
        <v>1734</v>
      </c>
      <c r="B437" s="7">
        <v>1</v>
      </c>
      <c r="C437" t="str">
        <f t="shared" si="6"/>
        <v>Yes</v>
      </c>
    </row>
    <row r="438" spans="1:3" x14ac:dyDescent="0.35">
      <c r="A438" s="5" t="s">
        <v>2175</v>
      </c>
      <c r="B438" s="7">
        <v>3</v>
      </c>
      <c r="C438" t="str">
        <f t="shared" si="6"/>
        <v>Yes</v>
      </c>
    </row>
    <row r="439" spans="1:3" x14ac:dyDescent="0.35">
      <c r="A439" s="5" t="s">
        <v>2176</v>
      </c>
      <c r="B439" s="7">
        <v>4</v>
      </c>
      <c r="C439" t="str">
        <f t="shared" si="6"/>
        <v>Yes</v>
      </c>
    </row>
    <row r="440" spans="1:3" x14ac:dyDescent="0.35">
      <c r="A440" s="5" t="s">
        <v>2177</v>
      </c>
      <c r="B440" s="7">
        <v>3</v>
      </c>
      <c r="C440" t="str">
        <f t="shared" si="6"/>
        <v>Yes</v>
      </c>
    </row>
    <row r="441" spans="1:3" x14ac:dyDescent="0.35">
      <c r="A441" s="5" t="s">
        <v>2178</v>
      </c>
      <c r="B441" s="7">
        <v>2</v>
      </c>
      <c r="C441" t="str">
        <f t="shared" si="6"/>
        <v>Yes</v>
      </c>
    </row>
    <row r="442" spans="1:3" x14ac:dyDescent="0.35">
      <c r="A442" s="5" t="s">
        <v>2179</v>
      </c>
      <c r="B442" s="7">
        <v>3</v>
      </c>
      <c r="C442" t="str">
        <f t="shared" si="6"/>
        <v>Yes</v>
      </c>
    </row>
    <row r="443" spans="1:3" x14ac:dyDescent="0.35">
      <c r="A443" s="5" t="s">
        <v>2180</v>
      </c>
      <c r="B443" s="7">
        <v>2</v>
      </c>
      <c r="C443" t="str">
        <f t="shared" si="6"/>
        <v>Yes</v>
      </c>
    </row>
    <row r="444" spans="1:3" x14ac:dyDescent="0.35">
      <c r="A444" s="5" t="s">
        <v>2181</v>
      </c>
      <c r="B444" s="7">
        <v>5</v>
      </c>
      <c r="C444" t="str">
        <f t="shared" si="6"/>
        <v>Yes</v>
      </c>
    </row>
    <row r="445" spans="1:3" x14ac:dyDescent="0.35">
      <c r="A445" s="5" t="s">
        <v>2182</v>
      </c>
      <c r="B445" s="7">
        <v>3</v>
      </c>
      <c r="C445" t="str">
        <f t="shared" si="6"/>
        <v>Yes</v>
      </c>
    </row>
    <row r="446" spans="1:3" x14ac:dyDescent="0.35">
      <c r="A446" s="5" t="s">
        <v>2183</v>
      </c>
      <c r="B446" s="7">
        <v>3</v>
      </c>
      <c r="C446" t="str">
        <f t="shared" si="6"/>
        <v>Yes</v>
      </c>
    </row>
    <row r="447" spans="1:3" x14ac:dyDescent="0.35">
      <c r="A447" s="5" t="s">
        <v>2184</v>
      </c>
      <c r="B447" s="7">
        <v>2</v>
      </c>
      <c r="C447" t="str">
        <f t="shared" si="6"/>
        <v>Yes</v>
      </c>
    </row>
    <row r="448" spans="1:3" x14ac:dyDescent="0.35">
      <c r="A448" s="5" t="s">
        <v>1690</v>
      </c>
      <c r="B448" s="7">
        <v>1</v>
      </c>
      <c r="C448" t="str">
        <f t="shared" si="6"/>
        <v>Yes</v>
      </c>
    </row>
    <row r="449" spans="1:3" x14ac:dyDescent="0.35">
      <c r="A449" s="5" t="s">
        <v>1735</v>
      </c>
      <c r="B449" s="7">
        <v>1</v>
      </c>
      <c r="C449" t="str">
        <f t="shared" si="6"/>
        <v>Yes</v>
      </c>
    </row>
    <row r="450" spans="1:3" x14ac:dyDescent="0.35">
      <c r="A450" s="5" t="s">
        <v>2185</v>
      </c>
      <c r="B450" s="7">
        <v>5</v>
      </c>
      <c r="C450" t="str">
        <f t="shared" si="6"/>
        <v>Yes</v>
      </c>
    </row>
    <row r="451" spans="1:3" x14ac:dyDescent="0.35">
      <c r="A451" s="5" t="s">
        <v>2186</v>
      </c>
      <c r="B451" s="7">
        <v>4</v>
      </c>
      <c r="C451" t="str">
        <f t="shared" si="6"/>
        <v>Yes</v>
      </c>
    </row>
    <row r="452" spans="1:3" x14ac:dyDescent="0.35">
      <c r="A452" s="5" t="s">
        <v>2187</v>
      </c>
      <c r="B452" s="7">
        <v>5</v>
      </c>
      <c r="C452" t="str">
        <f t="shared" si="6"/>
        <v>Yes</v>
      </c>
    </row>
    <row r="453" spans="1:3" x14ac:dyDescent="0.35">
      <c r="A453" s="5" t="s">
        <v>2188</v>
      </c>
      <c r="B453" s="7">
        <v>2</v>
      </c>
      <c r="C453" t="str">
        <f t="shared" ref="C453:C516" si="7">IF(B453&gt;0,"Yes","No")</f>
        <v>Yes</v>
      </c>
    </row>
    <row r="454" spans="1:3" x14ac:dyDescent="0.35">
      <c r="A454" s="5" t="s">
        <v>2189</v>
      </c>
      <c r="B454" s="7">
        <v>5</v>
      </c>
      <c r="C454" t="str">
        <f t="shared" si="7"/>
        <v>Yes</v>
      </c>
    </row>
    <row r="455" spans="1:3" x14ac:dyDescent="0.35">
      <c r="A455" s="5" t="s">
        <v>2190</v>
      </c>
      <c r="B455" s="7">
        <v>2</v>
      </c>
      <c r="C455" t="str">
        <f t="shared" si="7"/>
        <v>Yes</v>
      </c>
    </row>
    <row r="456" spans="1:3" x14ac:dyDescent="0.35">
      <c r="A456" s="5" t="s">
        <v>2191</v>
      </c>
      <c r="B456" s="7">
        <v>5</v>
      </c>
      <c r="C456" t="str">
        <f t="shared" si="7"/>
        <v>Yes</v>
      </c>
    </row>
    <row r="457" spans="1:3" x14ac:dyDescent="0.35">
      <c r="A457" s="5" t="s">
        <v>2192</v>
      </c>
      <c r="B457" s="7">
        <v>3</v>
      </c>
      <c r="C457" t="str">
        <f t="shared" si="7"/>
        <v>Yes</v>
      </c>
    </row>
    <row r="458" spans="1:3" x14ac:dyDescent="0.35">
      <c r="A458" s="5" t="s">
        <v>2193</v>
      </c>
      <c r="B458" s="7">
        <v>2</v>
      </c>
      <c r="C458" t="str">
        <f t="shared" si="7"/>
        <v>Yes</v>
      </c>
    </row>
    <row r="459" spans="1:3" x14ac:dyDescent="0.35">
      <c r="A459" s="5" t="s">
        <v>2194</v>
      </c>
      <c r="B459" s="7">
        <v>2</v>
      </c>
      <c r="C459" t="str">
        <f t="shared" si="7"/>
        <v>Yes</v>
      </c>
    </row>
    <row r="460" spans="1:3" x14ac:dyDescent="0.35">
      <c r="A460" s="5" t="s">
        <v>1736</v>
      </c>
      <c r="B460" s="7">
        <v>1</v>
      </c>
      <c r="C460" t="str">
        <f t="shared" si="7"/>
        <v>Yes</v>
      </c>
    </row>
    <row r="461" spans="1:3" x14ac:dyDescent="0.35">
      <c r="A461" s="5" t="s">
        <v>2195</v>
      </c>
      <c r="B461" s="7">
        <v>4</v>
      </c>
      <c r="C461" t="str">
        <f t="shared" si="7"/>
        <v>Yes</v>
      </c>
    </row>
    <row r="462" spans="1:3" x14ac:dyDescent="0.35">
      <c r="A462" s="5" t="s">
        <v>2196</v>
      </c>
      <c r="B462" s="7">
        <v>4</v>
      </c>
      <c r="C462" t="str">
        <f t="shared" si="7"/>
        <v>Yes</v>
      </c>
    </row>
    <row r="463" spans="1:3" x14ac:dyDescent="0.35">
      <c r="A463" s="5" t="s">
        <v>2197</v>
      </c>
      <c r="B463" s="7">
        <v>2</v>
      </c>
      <c r="C463" t="str">
        <f t="shared" si="7"/>
        <v>Yes</v>
      </c>
    </row>
    <row r="464" spans="1:3" x14ac:dyDescent="0.35">
      <c r="A464" s="5" t="s">
        <v>2198</v>
      </c>
      <c r="B464" s="7">
        <v>4</v>
      </c>
      <c r="C464" t="str">
        <f t="shared" si="7"/>
        <v>Yes</v>
      </c>
    </row>
    <row r="465" spans="1:3" x14ac:dyDescent="0.35">
      <c r="A465" s="5" t="s">
        <v>2199</v>
      </c>
      <c r="B465" s="7">
        <v>2</v>
      </c>
      <c r="C465" t="str">
        <f t="shared" si="7"/>
        <v>Yes</v>
      </c>
    </row>
    <row r="466" spans="1:3" x14ac:dyDescent="0.35">
      <c r="A466" s="5" t="s">
        <v>2200</v>
      </c>
      <c r="B466" s="7">
        <v>4</v>
      </c>
      <c r="C466" t="str">
        <f t="shared" si="7"/>
        <v>Yes</v>
      </c>
    </row>
    <row r="467" spans="1:3" x14ac:dyDescent="0.35">
      <c r="A467" s="5" t="s">
        <v>2201</v>
      </c>
      <c r="B467" s="7">
        <v>2</v>
      </c>
      <c r="C467" t="str">
        <f t="shared" si="7"/>
        <v>Yes</v>
      </c>
    </row>
    <row r="468" spans="1:3" x14ac:dyDescent="0.35">
      <c r="A468" s="5" t="s">
        <v>2202</v>
      </c>
      <c r="B468" s="7">
        <v>3</v>
      </c>
      <c r="C468" t="str">
        <f t="shared" si="7"/>
        <v>Yes</v>
      </c>
    </row>
    <row r="469" spans="1:3" x14ac:dyDescent="0.35">
      <c r="A469" s="5" t="s">
        <v>2203</v>
      </c>
      <c r="B469" s="7">
        <v>5</v>
      </c>
      <c r="C469" t="str">
        <f t="shared" si="7"/>
        <v>Yes</v>
      </c>
    </row>
    <row r="470" spans="1:3" x14ac:dyDescent="0.35">
      <c r="A470" s="5" t="s">
        <v>2204</v>
      </c>
      <c r="B470" s="7">
        <v>2</v>
      </c>
      <c r="C470" t="str">
        <f t="shared" si="7"/>
        <v>Yes</v>
      </c>
    </row>
    <row r="471" spans="1:3" x14ac:dyDescent="0.35">
      <c r="A471" s="5" t="s">
        <v>1737</v>
      </c>
      <c r="B471" s="7">
        <v>1</v>
      </c>
      <c r="C471" t="str">
        <f t="shared" si="7"/>
        <v>Yes</v>
      </c>
    </row>
    <row r="472" spans="1:3" x14ac:dyDescent="0.35">
      <c r="A472" s="5" t="s">
        <v>2205</v>
      </c>
      <c r="B472" s="7">
        <v>5</v>
      </c>
      <c r="C472" t="str">
        <f t="shared" si="7"/>
        <v>Yes</v>
      </c>
    </row>
    <row r="473" spans="1:3" x14ac:dyDescent="0.35">
      <c r="A473" s="5" t="s">
        <v>2206</v>
      </c>
      <c r="B473" s="7">
        <v>4</v>
      </c>
      <c r="C473" t="str">
        <f t="shared" si="7"/>
        <v>Yes</v>
      </c>
    </row>
    <row r="474" spans="1:3" x14ac:dyDescent="0.35">
      <c r="A474" s="5" t="s">
        <v>2207</v>
      </c>
      <c r="B474" s="7">
        <v>3</v>
      </c>
      <c r="C474" t="str">
        <f t="shared" si="7"/>
        <v>Yes</v>
      </c>
    </row>
    <row r="475" spans="1:3" x14ac:dyDescent="0.35">
      <c r="A475" s="5" t="s">
        <v>2208</v>
      </c>
      <c r="B475" s="7">
        <v>2</v>
      </c>
      <c r="C475" t="str">
        <f t="shared" si="7"/>
        <v>Yes</v>
      </c>
    </row>
    <row r="476" spans="1:3" x14ac:dyDescent="0.35">
      <c r="A476" s="5" t="s">
        <v>2209</v>
      </c>
      <c r="B476" s="7">
        <v>4</v>
      </c>
      <c r="C476" t="str">
        <f t="shared" si="7"/>
        <v>Yes</v>
      </c>
    </row>
    <row r="477" spans="1:3" x14ac:dyDescent="0.35">
      <c r="A477" s="5" t="s">
        <v>2210</v>
      </c>
      <c r="B477" s="7">
        <v>2</v>
      </c>
      <c r="C477" t="str">
        <f t="shared" si="7"/>
        <v>Yes</v>
      </c>
    </row>
    <row r="478" spans="1:3" x14ac:dyDescent="0.35">
      <c r="A478" s="5" t="s">
        <v>2211</v>
      </c>
      <c r="B478" s="7">
        <v>4</v>
      </c>
      <c r="C478" t="str">
        <f t="shared" si="7"/>
        <v>Yes</v>
      </c>
    </row>
    <row r="479" spans="1:3" x14ac:dyDescent="0.35">
      <c r="A479" s="5" t="s">
        <v>2212</v>
      </c>
      <c r="B479" s="7">
        <v>2</v>
      </c>
      <c r="C479" t="str">
        <f t="shared" si="7"/>
        <v>Yes</v>
      </c>
    </row>
    <row r="480" spans="1:3" x14ac:dyDescent="0.35">
      <c r="A480" s="5" t="s">
        <v>2213</v>
      </c>
      <c r="B480" s="7">
        <v>4</v>
      </c>
      <c r="C480" t="str">
        <f t="shared" si="7"/>
        <v>Yes</v>
      </c>
    </row>
    <row r="481" spans="1:3" x14ac:dyDescent="0.35">
      <c r="A481" s="5" t="s">
        <v>2214</v>
      </c>
      <c r="B481" s="7">
        <v>3</v>
      </c>
      <c r="C481" t="str">
        <f t="shared" si="7"/>
        <v>Yes</v>
      </c>
    </row>
    <row r="482" spans="1:3" x14ac:dyDescent="0.35">
      <c r="A482" s="5" t="s">
        <v>1738</v>
      </c>
      <c r="B482" s="7">
        <v>1</v>
      </c>
      <c r="C482" t="str">
        <f t="shared" si="7"/>
        <v>Yes</v>
      </c>
    </row>
    <row r="483" spans="1:3" x14ac:dyDescent="0.35">
      <c r="A483" s="5" t="s">
        <v>2215</v>
      </c>
      <c r="B483" s="7">
        <v>5</v>
      </c>
      <c r="C483" t="str">
        <f t="shared" si="7"/>
        <v>Yes</v>
      </c>
    </row>
    <row r="484" spans="1:3" x14ac:dyDescent="0.35">
      <c r="A484" s="5" t="s">
        <v>2216</v>
      </c>
      <c r="B484" s="7">
        <v>4</v>
      </c>
      <c r="C484" t="str">
        <f t="shared" si="7"/>
        <v>Yes</v>
      </c>
    </row>
    <row r="485" spans="1:3" x14ac:dyDescent="0.35">
      <c r="A485" s="5" t="s">
        <v>2217</v>
      </c>
      <c r="B485" s="7">
        <v>4</v>
      </c>
      <c r="C485" t="str">
        <f t="shared" si="7"/>
        <v>Yes</v>
      </c>
    </row>
    <row r="486" spans="1:3" x14ac:dyDescent="0.35">
      <c r="A486" s="5" t="s">
        <v>2218</v>
      </c>
      <c r="B486" s="7">
        <v>3</v>
      </c>
      <c r="C486" t="str">
        <f t="shared" si="7"/>
        <v>Yes</v>
      </c>
    </row>
    <row r="487" spans="1:3" x14ac:dyDescent="0.35">
      <c r="A487" s="5" t="s">
        <v>2219</v>
      </c>
      <c r="B487" s="7">
        <v>3</v>
      </c>
      <c r="C487" t="str">
        <f t="shared" si="7"/>
        <v>Yes</v>
      </c>
    </row>
    <row r="488" spans="1:3" x14ac:dyDescent="0.35">
      <c r="A488" s="5" t="s">
        <v>2220</v>
      </c>
      <c r="B488" s="7">
        <v>2</v>
      </c>
      <c r="C488" t="str">
        <f t="shared" si="7"/>
        <v>Yes</v>
      </c>
    </row>
    <row r="489" spans="1:3" x14ac:dyDescent="0.35">
      <c r="A489" s="5" t="s">
        <v>2221</v>
      </c>
      <c r="B489" s="7">
        <v>2</v>
      </c>
      <c r="C489" t="str">
        <f t="shared" si="7"/>
        <v>Yes</v>
      </c>
    </row>
    <row r="490" spans="1:3" x14ac:dyDescent="0.35">
      <c r="A490" s="5" t="s">
        <v>2222</v>
      </c>
      <c r="B490" s="7">
        <v>2</v>
      </c>
      <c r="C490" t="str">
        <f t="shared" si="7"/>
        <v>Yes</v>
      </c>
    </row>
    <row r="491" spans="1:3" x14ac:dyDescent="0.35">
      <c r="A491" s="5" t="s">
        <v>2223</v>
      </c>
      <c r="B491" s="7">
        <v>5</v>
      </c>
      <c r="C491" t="str">
        <f t="shared" si="7"/>
        <v>Yes</v>
      </c>
    </row>
    <row r="492" spans="1:3" x14ac:dyDescent="0.35">
      <c r="A492" s="5" t="s">
        <v>2224</v>
      </c>
      <c r="B492" s="7">
        <v>2</v>
      </c>
      <c r="C492" t="str">
        <f t="shared" si="7"/>
        <v>Yes</v>
      </c>
    </row>
    <row r="493" spans="1:3" x14ac:dyDescent="0.35">
      <c r="A493" s="5" t="s">
        <v>1739</v>
      </c>
      <c r="B493" s="7">
        <v>1</v>
      </c>
      <c r="C493" t="str">
        <f t="shared" si="7"/>
        <v>Yes</v>
      </c>
    </row>
    <row r="494" spans="1:3" x14ac:dyDescent="0.35">
      <c r="A494" s="5" t="s">
        <v>2225</v>
      </c>
      <c r="B494" s="7">
        <v>5</v>
      </c>
      <c r="C494" t="str">
        <f t="shared" si="7"/>
        <v>Yes</v>
      </c>
    </row>
    <row r="495" spans="1:3" x14ac:dyDescent="0.35">
      <c r="A495" s="5" t="s">
        <v>2226</v>
      </c>
      <c r="B495" s="7">
        <v>2</v>
      </c>
      <c r="C495" t="str">
        <f t="shared" si="7"/>
        <v>Yes</v>
      </c>
    </row>
    <row r="496" spans="1:3" x14ac:dyDescent="0.35">
      <c r="A496" s="5" t="s">
        <v>2227</v>
      </c>
      <c r="B496" s="7">
        <v>5</v>
      </c>
      <c r="C496" t="str">
        <f t="shared" si="7"/>
        <v>Yes</v>
      </c>
    </row>
    <row r="497" spans="1:3" x14ac:dyDescent="0.35">
      <c r="A497" s="5" t="s">
        <v>2228</v>
      </c>
      <c r="B497" s="7">
        <v>4</v>
      </c>
      <c r="C497" t="str">
        <f t="shared" si="7"/>
        <v>Yes</v>
      </c>
    </row>
    <row r="498" spans="1:3" x14ac:dyDescent="0.35">
      <c r="A498" s="5" t="s">
        <v>2229</v>
      </c>
      <c r="B498" s="7">
        <v>3</v>
      </c>
      <c r="C498" t="str">
        <f t="shared" si="7"/>
        <v>Yes</v>
      </c>
    </row>
    <row r="499" spans="1:3" x14ac:dyDescent="0.35">
      <c r="A499" s="5" t="s">
        <v>2230</v>
      </c>
      <c r="B499" s="7">
        <v>5</v>
      </c>
      <c r="C499" t="str">
        <f t="shared" si="7"/>
        <v>Yes</v>
      </c>
    </row>
    <row r="500" spans="1:3" x14ac:dyDescent="0.35">
      <c r="A500" s="5" t="s">
        <v>2231</v>
      </c>
      <c r="B500" s="7">
        <v>4</v>
      </c>
      <c r="C500" t="str">
        <f t="shared" si="7"/>
        <v>Yes</v>
      </c>
    </row>
    <row r="501" spans="1:3" x14ac:dyDescent="0.35">
      <c r="A501" s="5" t="s">
        <v>2232</v>
      </c>
      <c r="B501" s="7">
        <v>2</v>
      </c>
      <c r="C501" t="str">
        <f t="shared" si="7"/>
        <v>Yes</v>
      </c>
    </row>
    <row r="502" spans="1:3" x14ac:dyDescent="0.35">
      <c r="A502" s="5" t="s">
        <v>2233</v>
      </c>
      <c r="B502" s="7">
        <v>5</v>
      </c>
      <c r="C502" t="str">
        <f t="shared" si="7"/>
        <v>Yes</v>
      </c>
    </row>
    <row r="503" spans="1:3" x14ac:dyDescent="0.35">
      <c r="A503" s="5" t="s">
        <v>2234</v>
      </c>
      <c r="B503" s="7">
        <v>3</v>
      </c>
      <c r="C503" t="str">
        <f t="shared" si="7"/>
        <v>Yes</v>
      </c>
    </row>
    <row r="504" spans="1:3" x14ac:dyDescent="0.35">
      <c r="A504" s="5" t="s">
        <v>1740</v>
      </c>
      <c r="B504" s="7">
        <v>1</v>
      </c>
      <c r="C504" t="str">
        <f t="shared" si="7"/>
        <v>Yes</v>
      </c>
    </row>
    <row r="505" spans="1:3" x14ac:dyDescent="0.35">
      <c r="A505" s="5" t="s">
        <v>2235</v>
      </c>
      <c r="B505" s="7">
        <v>2</v>
      </c>
      <c r="C505" t="str">
        <f t="shared" si="7"/>
        <v>Yes</v>
      </c>
    </row>
    <row r="506" spans="1:3" x14ac:dyDescent="0.35">
      <c r="A506" s="5" t="s">
        <v>2236</v>
      </c>
      <c r="B506" s="7">
        <v>2</v>
      </c>
      <c r="C506" t="str">
        <f t="shared" si="7"/>
        <v>Yes</v>
      </c>
    </row>
    <row r="507" spans="1:3" x14ac:dyDescent="0.35">
      <c r="A507" s="5" t="s">
        <v>2237</v>
      </c>
      <c r="B507" s="7">
        <v>5</v>
      </c>
      <c r="C507" t="str">
        <f t="shared" si="7"/>
        <v>Yes</v>
      </c>
    </row>
    <row r="508" spans="1:3" x14ac:dyDescent="0.35">
      <c r="A508" s="5" t="s">
        <v>2238</v>
      </c>
      <c r="B508" s="7">
        <v>4</v>
      </c>
      <c r="C508" t="str">
        <f t="shared" si="7"/>
        <v>Yes</v>
      </c>
    </row>
    <row r="509" spans="1:3" x14ac:dyDescent="0.35">
      <c r="A509" s="5" t="s">
        <v>2239</v>
      </c>
      <c r="B509" s="7">
        <v>5</v>
      </c>
      <c r="C509" t="str">
        <f t="shared" si="7"/>
        <v>Yes</v>
      </c>
    </row>
    <row r="510" spans="1:3" x14ac:dyDescent="0.35">
      <c r="A510" s="5" t="s">
        <v>2240</v>
      </c>
      <c r="B510" s="7">
        <v>2</v>
      </c>
      <c r="C510" t="str">
        <f t="shared" si="7"/>
        <v>Yes</v>
      </c>
    </row>
    <row r="511" spans="1:3" x14ac:dyDescent="0.35">
      <c r="A511" s="5" t="s">
        <v>2241</v>
      </c>
      <c r="B511" s="7">
        <v>2</v>
      </c>
      <c r="C511" t="str">
        <f t="shared" si="7"/>
        <v>Yes</v>
      </c>
    </row>
    <row r="512" spans="1:3" x14ac:dyDescent="0.35">
      <c r="A512" s="5" t="s">
        <v>2242</v>
      </c>
      <c r="B512" s="7">
        <v>4</v>
      </c>
      <c r="C512" t="str">
        <f t="shared" si="7"/>
        <v>Yes</v>
      </c>
    </row>
    <row r="513" spans="1:3" x14ac:dyDescent="0.35">
      <c r="A513" s="5" t="s">
        <v>2243</v>
      </c>
      <c r="B513" s="7">
        <v>5</v>
      </c>
      <c r="C513" t="str">
        <f t="shared" si="7"/>
        <v>Yes</v>
      </c>
    </row>
    <row r="514" spans="1:3" x14ac:dyDescent="0.35">
      <c r="A514" s="5" t="s">
        <v>2244</v>
      </c>
      <c r="B514" s="7">
        <v>3</v>
      </c>
      <c r="C514" t="str">
        <f t="shared" si="7"/>
        <v>Yes</v>
      </c>
    </row>
    <row r="515" spans="1:3" x14ac:dyDescent="0.35">
      <c r="A515" s="5" t="s">
        <v>1741</v>
      </c>
      <c r="B515" s="7">
        <v>1</v>
      </c>
      <c r="C515" t="str">
        <f t="shared" si="7"/>
        <v>Yes</v>
      </c>
    </row>
    <row r="516" spans="1:3" x14ac:dyDescent="0.35">
      <c r="A516" s="5" t="s">
        <v>2245</v>
      </c>
      <c r="B516" s="7">
        <v>4</v>
      </c>
      <c r="C516" t="str">
        <f t="shared" si="7"/>
        <v>Yes</v>
      </c>
    </row>
    <row r="517" spans="1:3" x14ac:dyDescent="0.35">
      <c r="A517" s="5" t="s">
        <v>2246</v>
      </c>
      <c r="B517" s="7">
        <v>2</v>
      </c>
      <c r="C517" t="str">
        <f t="shared" ref="C517:C580" si="8">IF(B517&gt;0,"Yes","No")</f>
        <v>Yes</v>
      </c>
    </row>
    <row r="518" spans="1:3" x14ac:dyDescent="0.35">
      <c r="A518" s="5" t="s">
        <v>2247</v>
      </c>
      <c r="B518" s="7">
        <v>2</v>
      </c>
      <c r="C518" t="str">
        <f t="shared" si="8"/>
        <v>Yes</v>
      </c>
    </row>
    <row r="519" spans="1:3" x14ac:dyDescent="0.35">
      <c r="A519" s="5" t="s">
        <v>2248</v>
      </c>
      <c r="B519" s="7">
        <v>5</v>
      </c>
      <c r="C519" t="str">
        <f t="shared" si="8"/>
        <v>Yes</v>
      </c>
    </row>
    <row r="520" spans="1:3" x14ac:dyDescent="0.35">
      <c r="A520" s="5" t="s">
        <v>2249</v>
      </c>
      <c r="B520" s="7">
        <v>4</v>
      </c>
      <c r="C520" t="str">
        <f t="shared" si="8"/>
        <v>Yes</v>
      </c>
    </row>
    <row r="521" spans="1:3" x14ac:dyDescent="0.35">
      <c r="A521" s="5" t="s">
        <v>2250</v>
      </c>
      <c r="B521" s="7">
        <v>2</v>
      </c>
      <c r="C521" t="str">
        <f t="shared" si="8"/>
        <v>Yes</v>
      </c>
    </row>
    <row r="522" spans="1:3" x14ac:dyDescent="0.35">
      <c r="A522" s="5" t="s">
        <v>2251</v>
      </c>
      <c r="B522" s="7">
        <v>5</v>
      </c>
      <c r="C522" t="str">
        <f t="shared" si="8"/>
        <v>Yes</v>
      </c>
    </row>
    <row r="523" spans="1:3" x14ac:dyDescent="0.35">
      <c r="A523" s="5" t="s">
        <v>2252</v>
      </c>
      <c r="B523" s="7">
        <v>5</v>
      </c>
      <c r="C523" t="str">
        <f t="shared" si="8"/>
        <v>Yes</v>
      </c>
    </row>
    <row r="524" spans="1:3" x14ac:dyDescent="0.35">
      <c r="A524" s="5" t="s">
        <v>2253</v>
      </c>
      <c r="B524" s="7">
        <v>2</v>
      </c>
      <c r="C524" t="str">
        <f t="shared" si="8"/>
        <v>Yes</v>
      </c>
    </row>
    <row r="525" spans="1:3" x14ac:dyDescent="0.35">
      <c r="A525" s="5" t="s">
        <v>2254</v>
      </c>
      <c r="B525" s="7">
        <v>4</v>
      </c>
      <c r="C525" t="str">
        <f t="shared" si="8"/>
        <v>Yes</v>
      </c>
    </row>
    <row r="526" spans="1:3" x14ac:dyDescent="0.35">
      <c r="A526" s="5" t="s">
        <v>1742</v>
      </c>
      <c r="B526" s="7">
        <v>1</v>
      </c>
      <c r="C526" t="str">
        <f t="shared" si="8"/>
        <v>Yes</v>
      </c>
    </row>
    <row r="527" spans="1:3" x14ac:dyDescent="0.35">
      <c r="A527" s="5" t="s">
        <v>2255</v>
      </c>
      <c r="B527" s="7">
        <v>3</v>
      </c>
      <c r="C527" t="str">
        <f t="shared" si="8"/>
        <v>Yes</v>
      </c>
    </row>
    <row r="528" spans="1:3" x14ac:dyDescent="0.35">
      <c r="A528" s="5" t="s">
        <v>2256</v>
      </c>
      <c r="B528" s="7">
        <v>5</v>
      </c>
      <c r="C528" t="str">
        <f t="shared" si="8"/>
        <v>Yes</v>
      </c>
    </row>
    <row r="529" spans="1:3" x14ac:dyDescent="0.35">
      <c r="A529" s="5" t="s">
        <v>2257</v>
      </c>
      <c r="B529" s="7">
        <v>3</v>
      </c>
      <c r="C529" t="str">
        <f t="shared" si="8"/>
        <v>Yes</v>
      </c>
    </row>
    <row r="530" spans="1:3" x14ac:dyDescent="0.35">
      <c r="A530" s="5" t="s">
        <v>2258</v>
      </c>
      <c r="B530" s="7">
        <v>3</v>
      </c>
      <c r="C530" t="str">
        <f t="shared" si="8"/>
        <v>Yes</v>
      </c>
    </row>
    <row r="531" spans="1:3" x14ac:dyDescent="0.35">
      <c r="A531" s="5" t="s">
        <v>2259</v>
      </c>
      <c r="B531" s="7">
        <v>3</v>
      </c>
      <c r="C531" t="str">
        <f t="shared" si="8"/>
        <v>Yes</v>
      </c>
    </row>
    <row r="532" spans="1:3" x14ac:dyDescent="0.35">
      <c r="A532" s="5" t="s">
        <v>2260</v>
      </c>
      <c r="B532" s="7">
        <v>4</v>
      </c>
      <c r="C532" t="str">
        <f t="shared" si="8"/>
        <v>Yes</v>
      </c>
    </row>
    <row r="533" spans="1:3" x14ac:dyDescent="0.35">
      <c r="A533" s="5" t="s">
        <v>2261</v>
      </c>
      <c r="B533" s="7">
        <v>5</v>
      </c>
      <c r="C533" t="str">
        <f t="shared" si="8"/>
        <v>Yes</v>
      </c>
    </row>
    <row r="534" spans="1:3" x14ac:dyDescent="0.35">
      <c r="A534" s="5" t="s">
        <v>2262</v>
      </c>
      <c r="B534" s="7">
        <v>4</v>
      </c>
      <c r="C534" t="str">
        <f t="shared" si="8"/>
        <v>Yes</v>
      </c>
    </row>
    <row r="535" spans="1:3" x14ac:dyDescent="0.35">
      <c r="A535" s="5" t="s">
        <v>2263</v>
      </c>
      <c r="B535" s="7">
        <v>3</v>
      </c>
      <c r="C535" t="str">
        <f t="shared" si="8"/>
        <v>Yes</v>
      </c>
    </row>
    <row r="536" spans="1:3" x14ac:dyDescent="0.35">
      <c r="A536" s="5" t="s">
        <v>2264</v>
      </c>
      <c r="B536" s="7">
        <v>5</v>
      </c>
      <c r="C536" t="str">
        <f t="shared" si="8"/>
        <v>Yes</v>
      </c>
    </row>
    <row r="537" spans="1:3" x14ac:dyDescent="0.35">
      <c r="A537" s="5" t="s">
        <v>1743</v>
      </c>
      <c r="B537" s="7">
        <v>1</v>
      </c>
      <c r="C537" t="str">
        <f t="shared" si="8"/>
        <v>Yes</v>
      </c>
    </row>
    <row r="538" spans="1:3" x14ac:dyDescent="0.35">
      <c r="A538" s="5" t="s">
        <v>2265</v>
      </c>
      <c r="B538" s="7">
        <v>5</v>
      </c>
      <c r="C538" t="str">
        <f t="shared" si="8"/>
        <v>Yes</v>
      </c>
    </row>
    <row r="539" spans="1:3" x14ac:dyDescent="0.35">
      <c r="A539" s="5" t="s">
        <v>2266</v>
      </c>
      <c r="B539" s="7">
        <v>2</v>
      </c>
      <c r="C539" t="str">
        <f t="shared" si="8"/>
        <v>Yes</v>
      </c>
    </row>
    <row r="540" spans="1:3" x14ac:dyDescent="0.35">
      <c r="A540" s="5" t="s">
        <v>2267</v>
      </c>
      <c r="B540" s="7">
        <v>5</v>
      </c>
      <c r="C540" t="str">
        <f t="shared" si="8"/>
        <v>Yes</v>
      </c>
    </row>
    <row r="541" spans="1:3" x14ac:dyDescent="0.35">
      <c r="A541" s="5" t="s">
        <v>2268</v>
      </c>
      <c r="B541" s="7">
        <v>2</v>
      </c>
      <c r="C541" t="str">
        <f t="shared" si="8"/>
        <v>Yes</v>
      </c>
    </row>
    <row r="542" spans="1:3" x14ac:dyDescent="0.35">
      <c r="A542" s="5" t="s">
        <v>2269</v>
      </c>
      <c r="B542" s="7">
        <v>3</v>
      </c>
      <c r="C542" t="str">
        <f t="shared" si="8"/>
        <v>Yes</v>
      </c>
    </row>
    <row r="543" spans="1:3" x14ac:dyDescent="0.35">
      <c r="A543" s="5" t="s">
        <v>2270</v>
      </c>
      <c r="B543" s="7">
        <v>5</v>
      </c>
      <c r="C543" t="str">
        <f t="shared" si="8"/>
        <v>Yes</v>
      </c>
    </row>
    <row r="544" spans="1:3" x14ac:dyDescent="0.35">
      <c r="A544" s="5" t="s">
        <v>2271</v>
      </c>
      <c r="B544" s="7">
        <v>4</v>
      </c>
      <c r="C544" t="str">
        <f t="shared" si="8"/>
        <v>Yes</v>
      </c>
    </row>
    <row r="545" spans="1:3" x14ac:dyDescent="0.35">
      <c r="A545" s="5" t="s">
        <v>2272</v>
      </c>
      <c r="B545" s="7">
        <v>3</v>
      </c>
      <c r="C545" t="str">
        <f t="shared" si="8"/>
        <v>Yes</v>
      </c>
    </row>
    <row r="546" spans="1:3" x14ac:dyDescent="0.35">
      <c r="A546" s="5" t="s">
        <v>2273</v>
      </c>
      <c r="B546" s="7">
        <v>2</v>
      </c>
      <c r="C546" t="str">
        <f t="shared" si="8"/>
        <v>Yes</v>
      </c>
    </row>
    <row r="547" spans="1:3" x14ac:dyDescent="0.35">
      <c r="A547" s="5" t="s">
        <v>1744</v>
      </c>
      <c r="B547" s="7">
        <v>1</v>
      </c>
      <c r="C547" t="str">
        <f t="shared" si="8"/>
        <v>Yes</v>
      </c>
    </row>
    <row r="548" spans="1:3" x14ac:dyDescent="0.35">
      <c r="A548" s="5" t="s">
        <v>1691</v>
      </c>
      <c r="B548" s="7">
        <v>1</v>
      </c>
      <c r="C548" t="str">
        <f t="shared" si="8"/>
        <v>Yes</v>
      </c>
    </row>
    <row r="549" spans="1:3" x14ac:dyDescent="0.35">
      <c r="A549" s="5" t="s">
        <v>1745</v>
      </c>
      <c r="B549" s="7">
        <v>1</v>
      </c>
      <c r="C549" t="str">
        <f t="shared" si="8"/>
        <v>Yes</v>
      </c>
    </row>
    <row r="550" spans="1:3" x14ac:dyDescent="0.35">
      <c r="A550" s="5" t="s">
        <v>1746</v>
      </c>
      <c r="B550" s="7">
        <v>1</v>
      </c>
      <c r="C550" t="str">
        <f t="shared" si="8"/>
        <v>Yes</v>
      </c>
    </row>
    <row r="551" spans="1:3" x14ac:dyDescent="0.35">
      <c r="A551" s="5" t="s">
        <v>1747</v>
      </c>
      <c r="B551" s="7">
        <v>1</v>
      </c>
      <c r="C551" t="str">
        <f t="shared" si="8"/>
        <v>Yes</v>
      </c>
    </row>
    <row r="552" spans="1:3" x14ac:dyDescent="0.35">
      <c r="A552" s="5" t="s">
        <v>1748</v>
      </c>
      <c r="B552" s="7">
        <v>1</v>
      </c>
      <c r="C552" t="str">
        <f t="shared" si="8"/>
        <v>Yes</v>
      </c>
    </row>
    <row r="553" spans="1:3" x14ac:dyDescent="0.35">
      <c r="A553" s="5" t="s">
        <v>1749</v>
      </c>
      <c r="B553" s="7">
        <v>1</v>
      </c>
      <c r="C553" t="str">
        <f t="shared" si="8"/>
        <v>Yes</v>
      </c>
    </row>
    <row r="554" spans="1:3" x14ac:dyDescent="0.35">
      <c r="A554" s="5" t="s">
        <v>1750</v>
      </c>
      <c r="B554" s="7">
        <v>1</v>
      </c>
      <c r="C554" t="str">
        <f t="shared" si="8"/>
        <v>Yes</v>
      </c>
    </row>
    <row r="555" spans="1:3" x14ac:dyDescent="0.35">
      <c r="A555" s="5" t="s">
        <v>1751</v>
      </c>
      <c r="B555" s="7">
        <v>1</v>
      </c>
      <c r="C555" t="str">
        <f t="shared" si="8"/>
        <v>Yes</v>
      </c>
    </row>
    <row r="556" spans="1:3" x14ac:dyDescent="0.35">
      <c r="A556" s="5" t="s">
        <v>1752</v>
      </c>
      <c r="B556" s="7">
        <v>1</v>
      </c>
      <c r="C556" t="str">
        <f t="shared" si="8"/>
        <v>Yes</v>
      </c>
    </row>
    <row r="557" spans="1:3" x14ac:dyDescent="0.35">
      <c r="A557" s="5" t="s">
        <v>1753</v>
      </c>
      <c r="B557" s="7">
        <v>1</v>
      </c>
      <c r="C557" t="str">
        <f t="shared" si="8"/>
        <v>Yes</v>
      </c>
    </row>
    <row r="558" spans="1:3" x14ac:dyDescent="0.35">
      <c r="A558" s="5" t="s">
        <v>1754</v>
      </c>
      <c r="B558" s="7">
        <v>1</v>
      </c>
      <c r="C558" t="str">
        <f t="shared" si="8"/>
        <v>Yes</v>
      </c>
    </row>
    <row r="559" spans="1:3" x14ac:dyDescent="0.35">
      <c r="A559" s="5" t="s">
        <v>1692</v>
      </c>
      <c r="B559" s="7">
        <v>1</v>
      </c>
      <c r="C559" t="str">
        <f t="shared" si="8"/>
        <v>Yes</v>
      </c>
    </row>
    <row r="560" spans="1:3" x14ac:dyDescent="0.35">
      <c r="A560" s="5" t="s">
        <v>1755</v>
      </c>
      <c r="B560" s="7">
        <v>1</v>
      </c>
      <c r="C560" t="str">
        <f t="shared" si="8"/>
        <v>Yes</v>
      </c>
    </row>
    <row r="561" spans="1:3" x14ac:dyDescent="0.35">
      <c r="A561" s="5" t="s">
        <v>1756</v>
      </c>
      <c r="B561" s="7">
        <v>1</v>
      </c>
      <c r="C561" t="str">
        <f t="shared" si="8"/>
        <v>Yes</v>
      </c>
    </row>
    <row r="562" spans="1:3" x14ac:dyDescent="0.35">
      <c r="A562" s="5" t="s">
        <v>1757</v>
      </c>
      <c r="B562" s="7">
        <v>1</v>
      </c>
      <c r="C562" t="str">
        <f t="shared" si="8"/>
        <v>Yes</v>
      </c>
    </row>
    <row r="563" spans="1:3" x14ac:dyDescent="0.35">
      <c r="A563" s="5" t="s">
        <v>1758</v>
      </c>
      <c r="B563" s="7">
        <v>1</v>
      </c>
      <c r="C563" t="str">
        <f t="shared" si="8"/>
        <v>Yes</v>
      </c>
    </row>
    <row r="564" spans="1:3" x14ac:dyDescent="0.35">
      <c r="A564" s="5" t="s">
        <v>1759</v>
      </c>
      <c r="B564" s="7">
        <v>1</v>
      </c>
      <c r="C564" t="str">
        <f t="shared" si="8"/>
        <v>Yes</v>
      </c>
    </row>
    <row r="565" spans="1:3" x14ac:dyDescent="0.35">
      <c r="A565" s="5" t="s">
        <v>1760</v>
      </c>
      <c r="B565" s="7">
        <v>1</v>
      </c>
      <c r="C565" t="str">
        <f t="shared" si="8"/>
        <v>Yes</v>
      </c>
    </row>
    <row r="566" spans="1:3" x14ac:dyDescent="0.35">
      <c r="A566" s="5" t="s">
        <v>1761</v>
      </c>
      <c r="B566" s="7">
        <v>1</v>
      </c>
      <c r="C566" t="str">
        <f t="shared" si="8"/>
        <v>Yes</v>
      </c>
    </row>
    <row r="567" spans="1:3" x14ac:dyDescent="0.35">
      <c r="A567" s="5" t="s">
        <v>1762</v>
      </c>
      <c r="B567" s="7">
        <v>1</v>
      </c>
      <c r="C567" t="str">
        <f t="shared" si="8"/>
        <v>Yes</v>
      </c>
    </row>
    <row r="568" spans="1:3" x14ac:dyDescent="0.35">
      <c r="A568" s="5" t="s">
        <v>1763</v>
      </c>
      <c r="B568" s="7">
        <v>1</v>
      </c>
      <c r="C568" t="str">
        <f t="shared" si="8"/>
        <v>Yes</v>
      </c>
    </row>
    <row r="569" spans="1:3" x14ac:dyDescent="0.35">
      <c r="A569" s="5" t="s">
        <v>1764</v>
      </c>
      <c r="B569" s="7">
        <v>1</v>
      </c>
      <c r="C569" t="str">
        <f t="shared" si="8"/>
        <v>Yes</v>
      </c>
    </row>
    <row r="570" spans="1:3" x14ac:dyDescent="0.35">
      <c r="A570" s="5" t="s">
        <v>1693</v>
      </c>
      <c r="B570" s="7">
        <v>1</v>
      </c>
      <c r="C570" t="str">
        <f t="shared" si="8"/>
        <v>Yes</v>
      </c>
    </row>
    <row r="571" spans="1:3" x14ac:dyDescent="0.35">
      <c r="A571" s="5" t="s">
        <v>1765</v>
      </c>
      <c r="B571" s="7">
        <v>1</v>
      </c>
      <c r="C571" t="str">
        <f t="shared" si="8"/>
        <v>Yes</v>
      </c>
    </row>
    <row r="572" spans="1:3" x14ac:dyDescent="0.35">
      <c r="A572" s="5" t="s">
        <v>1766</v>
      </c>
      <c r="B572" s="7">
        <v>1</v>
      </c>
      <c r="C572" t="str">
        <f t="shared" si="8"/>
        <v>Yes</v>
      </c>
    </row>
    <row r="573" spans="1:3" x14ac:dyDescent="0.35">
      <c r="A573" s="5" t="s">
        <v>1767</v>
      </c>
      <c r="B573" s="7">
        <v>1</v>
      </c>
      <c r="C573" t="str">
        <f t="shared" si="8"/>
        <v>Yes</v>
      </c>
    </row>
    <row r="574" spans="1:3" x14ac:dyDescent="0.35">
      <c r="A574" s="5" t="s">
        <v>1768</v>
      </c>
      <c r="B574" s="7">
        <v>1</v>
      </c>
      <c r="C574" t="str">
        <f t="shared" si="8"/>
        <v>Yes</v>
      </c>
    </row>
    <row r="575" spans="1:3" x14ac:dyDescent="0.35">
      <c r="A575" s="5" t="s">
        <v>1769</v>
      </c>
      <c r="B575" s="7">
        <v>1</v>
      </c>
      <c r="C575" t="str">
        <f t="shared" si="8"/>
        <v>Yes</v>
      </c>
    </row>
    <row r="576" spans="1:3" x14ac:dyDescent="0.35">
      <c r="A576" s="5" t="s">
        <v>1770</v>
      </c>
      <c r="B576" s="7">
        <v>1</v>
      </c>
      <c r="C576" t="str">
        <f t="shared" si="8"/>
        <v>Yes</v>
      </c>
    </row>
    <row r="577" spans="1:3" x14ac:dyDescent="0.35">
      <c r="A577" s="5" t="s">
        <v>1771</v>
      </c>
      <c r="B577" s="7">
        <v>1</v>
      </c>
      <c r="C577" t="str">
        <f t="shared" si="8"/>
        <v>Yes</v>
      </c>
    </row>
    <row r="578" spans="1:3" x14ac:dyDescent="0.35">
      <c r="A578" s="5" t="s">
        <v>1772</v>
      </c>
      <c r="B578" s="7">
        <v>1</v>
      </c>
      <c r="C578" t="str">
        <f t="shared" si="8"/>
        <v>Yes</v>
      </c>
    </row>
    <row r="579" spans="1:3" x14ac:dyDescent="0.35">
      <c r="A579" s="5" t="s">
        <v>1773</v>
      </c>
      <c r="B579" s="7">
        <v>1</v>
      </c>
      <c r="C579" t="str">
        <f t="shared" si="8"/>
        <v>Yes</v>
      </c>
    </row>
    <row r="580" spans="1:3" x14ac:dyDescent="0.35">
      <c r="A580" s="5" t="s">
        <v>1774</v>
      </c>
      <c r="B580" s="7">
        <v>1</v>
      </c>
      <c r="C580" t="str">
        <f t="shared" si="8"/>
        <v>Yes</v>
      </c>
    </row>
    <row r="581" spans="1:3" x14ac:dyDescent="0.35">
      <c r="A581" s="5" t="s">
        <v>1694</v>
      </c>
      <c r="B581" s="7">
        <v>1</v>
      </c>
      <c r="C581" t="str">
        <f t="shared" ref="C581:C592" si="9">IF(B581&gt;0,"Yes","No")</f>
        <v>Yes</v>
      </c>
    </row>
    <row r="582" spans="1:3" x14ac:dyDescent="0.35">
      <c r="A582" s="5" t="s">
        <v>1775</v>
      </c>
      <c r="B582" s="7">
        <v>1</v>
      </c>
      <c r="C582" t="str">
        <f t="shared" si="9"/>
        <v>Yes</v>
      </c>
    </row>
    <row r="583" spans="1:3" x14ac:dyDescent="0.35">
      <c r="A583" s="5" t="s">
        <v>1776</v>
      </c>
      <c r="B583" s="7">
        <v>1</v>
      </c>
      <c r="C583" t="str">
        <f t="shared" si="9"/>
        <v>Yes</v>
      </c>
    </row>
    <row r="584" spans="1:3" x14ac:dyDescent="0.35">
      <c r="A584" s="5" t="s">
        <v>1777</v>
      </c>
      <c r="B584" s="7">
        <v>1</v>
      </c>
      <c r="C584" t="str">
        <f t="shared" si="9"/>
        <v>Yes</v>
      </c>
    </row>
    <row r="585" spans="1:3" x14ac:dyDescent="0.35">
      <c r="A585" s="5" t="s">
        <v>1778</v>
      </c>
      <c r="B585" s="7">
        <v>1</v>
      </c>
      <c r="C585" t="str">
        <f t="shared" si="9"/>
        <v>Yes</v>
      </c>
    </row>
    <row r="586" spans="1:3" x14ac:dyDescent="0.35">
      <c r="A586" s="5" t="s">
        <v>1779</v>
      </c>
      <c r="B586" s="7">
        <v>1</v>
      </c>
      <c r="C586" t="str">
        <f t="shared" si="9"/>
        <v>Yes</v>
      </c>
    </row>
    <row r="587" spans="1:3" x14ac:dyDescent="0.35">
      <c r="A587" s="5" t="s">
        <v>1780</v>
      </c>
      <c r="B587" s="7">
        <v>1</v>
      </c>
      <c r="C587" t="str">
        <f t="shared" si="9"/>
        <v>Yes</v>
      </c>
    </row>
    <row r="588" spans="1:3" x14ac:dyDescent="0.35">
      <c r="A588" s="5" t="s">
        <v>1781</v>
      </c>
      <c r="B588" s="7">
        <v>1</v>
      </c>
      <c r="C588" t="str">
        <f t="shared" si="9"/>
        <v>Yes</v>
      </c>
    </row>
    <row r="589" spans="1:3" x14ac:dyDescent="0.35">
      <c r="A589" s="5" t="s">
        <v>1782</v>
      </c>
      <c r="B589" s="7">
        <v>1</v>
      </c>
      <c r="C589" t="str">
        <f t="shared" si="9"/>
        <v>Yes</v>
      </c>
    </row>
    <row r="590" spans="1:3" x14ac:dyDescent="0.35">
      <c r="A590" s="5" t="s">
        <v>1783</v>
      </c>
      <c r="B590" s="7">
        <v>1</v>
      </c>
      <c r="C590" t="str">
        <f t="shared" si="9"/>
        <v>Yes</v>
      </c>
    </row>
    <row r="591" spans="1:3" x14ac:dyDescent="0.35">
      <c r="A591" s="5" t="s">
        <v>1784</v>
      </c>
      <c r="B591" s="7">
        <v>1</v>
      </c>
      <c r="C591" t="str">
        <f t="shared" si="9"/>
        <v>Yes</v>
      </c>
    </row>
    <row r="592" spans="1:3" x14ac:dyDescent="0.35">
      <c r="A592" s="5" t="s">
        <v>2278</v>
      </c>
      <c r="B592" s="7">
        <v>1610</v>
      </c>
      <c r="C592" t="str">
        <f t="shared" si="9"/>
        <v>Yes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39D9-21A7-4D1A-9551-2359F0907E57}">
  <dimension ref="A3:D6"/>
  <sheetViews>
    <sheetView workbookViewId="0">
      <selection activeCell="B18" sqref="B18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18.6328125" bestFit="1" customWidth="1"/>
    <col min="4" max="4" width="21.453125" bestFit="1" customWidth="1"/>
  </cols>
  <sheetData>
    <row r="3" spans="1:4" x14ac:dyDescent="0.35">
      <c r="A3" s="4" t="s">
        <v>2277</v>
      </c>
      <c r="B3" t="s">
        <v>2330</v>
      </c>
      <c r="C3" t="s">
        <v>2297</v>
      </c>
      <c r="D3" t="s">
        <v>2331</v>
      </c>
    </row>
    <row r="4" spans="1:4" x14ac:dyDescent="0.35">
      <c r="A4" s="5" t="s">
        <v>2328</v>
      </c>
      <c r="B4">
        <v>981</v>
      </c>
      <c r="C4">
        <v>1094132</v>
      </c>
      <c r="D4">
        <v>1115.323139653415</v>
      </c>
    </row>
    <row r="5" spans="1:4" x14ac:dyDescent="0.35">
      <c r="A5" s="5" t="s">
        <v>2329</v>
      </c>
      <c r="B5">
        <v>629</v>
      </c>
      <c r="C5">
        <v>278029</v>
      </c>
      <c r="D5">
        <v>442.01748807631162</v>
      </c>
    </row>
    <row r="6" spans="1:4" x14ac:dyDescent="0.35">
      <c r="A6" s="5" t="s">
        <v>2278</v>
      </c>
      <c r="B6">
        <v>1610</v>
      </c>
      <c r="C6">
        <v>1372161</v>
      </c>
      <c r="D6">
        <v>852.27391304347827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9B19-8B56-4870-B09F-4DE1D16B961A}">
  <dimension ref="A3:G10"/>
  <sheetViews>
    <sheetView workbookViewId="0">
      <selection activeCell="F6" sqref="F6"/>
    </sheetView>
  </sheetViews>
  <sheetFormatPr defaultRowHeight="14.5" x14ac:dyDescent="0.35"/>
  <cols>
    <col min="1" max="1" width="12.453125" bestFit="1" customWidth="1"/>
    <col min="2" max="2" width="17.81640625" bestFit="1" customWidth="1"/>
    <col min="6" max="6" width="22" bestFit="1" customWidth="1"/>
  </cols>
  <sheetData>
    <row r="3" spans="1:7" x14ac:dyDescent="0.35">
      <c r="A3" s="4" t="s">
        <v>2277</v>
      </c>
      <c r="B3" t="s">
        <v>2305</v>
      </c>
    </row>
    <row r="4" spans="1:7" x14ac:dyDescent="0.35">
      <c r="A4" s="5" t="s">
        <v>2334</v>
      </c>
      <c r="B4" s="7"/>
    </row>
    <row r="5" spans="1:7" x14ac:dyDescent="0.35">
      <c r="A5" s="8" t="s">
        <v>2299</v>
      </c>
      <c r="B5" s="7">
        <v>3</v>
      </c>
      <c r="F5" t="s">
        <v>2337</v>
      </c>
      <c r="G5">
        <f xml:space="preserve"> 6 / 9</f>
        <v>0.66666666666666663</v>
      </c>
    </row>
    <row r="6" spans="1:7" x14ac:dyDescent="0.35">
      <c r="A6" s="8" t="s">
        <v>2301</v>
      </c>
      <c r="B6" s="7">
        <v>6</v>
      </c>
      <c r="F6" t="s">
        <v>2336</v>
      </c>
      <c r="G6">
        <f xml:space="preserve"> 228 / 579</f>
        <v>0.39378238341968913</v>
      </c>
    </row>
    <row r="7" spans="1:7" x14ac:dyDescent="0.35">
      <c r="A7" s="5" t="s">
        <v>2335</v>
      </c>
      <c r="B7" s="7"/>
    </row>
    <row r="8" spans="1:7" x14ac:dyDescent="0.35">
      <c r="A8" s="8" t="s">
        <v>2299</v>
      </c>
      <c r="B8" s="7">
        <v>351</v>
      </c>
    </row>
    <row r="9" spans="1:7" x14ac:dyDescent="0.35">
      <c r="A9" s="8" t="s">
        <v>2301</v>
      </c>
      <c r="B9" s="7">
        <v>228</v>
      </c>
    </row>
    <row r="10" spans="1:7" x14ac:dyDescent="0.35">
      <c r="A10" s="5" t="s">
        <v>2278</v>
      </c>
      <c r="B10" s="7">
        <v>588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5A10-C29D-47F5-A079-9B3599F87AD7}">
  <dimension ref="A1:H33"/>
  <sheetViews>
    <sheetView tabSelected="1" workbookViewId="0">
      <selection activeCell="K7" sqref="K7"/>
    </sheetView>
  </sheetViews>
  <sheetFormatPr defaultRowHeight="14.5" x14ac:dyDescent="0.35"/>
  <sheetData>
    <row r="1" spans="1:8" ht="25.5" customHeight="1" thickBot="1" x14ac:dyDescent="0.5">
      <c r="A1" s="9" t="s">
        <v>2347</v>
      </c>
      <c r="B1" s="9"/>
      <c r="C1" s="9"/>
      <c r="D1" s="9"/>
      <c r="E1" s="9"/>
      <c r="F1" s="9"/>
      <c r="G1" s="9"/>
      <c r="H1" s="9"/>
    </row>
    <row r="2" spans="1:8" ht="15" thickTop="1" x14ac:dyDescent="0.35"/>
    <row r="3" spans="1:8" x14ac:dyDescent="0.35">
      <c r="A3" s="10" t="s">
        <v>2338</v>
      </c>
      <c r="B3" s="10"/>
      <c r="C3" s="10"/>
      <c r="D3" s="10"/>
    </row>
    <row r="4" spans="1:8" ht="14" customHeight="1" x14ac:dyDescent="0.35"/>
    <row r="5" spans="1:8" x14ac:dyDescent="0.35">
      <c r="A5" s="11" t="s">
        <v>2290</v>
      </c>
      <c r="B5" s="11"/>
      <c r="D5" s="12" t="s">
        <v>2339</v>
      </c>
      <c r="E5" s="12"/>
    </row>
    <row r="6" spans="1:8" ht="17.5" customHeight="1" x14ac:dyDescent="0.35">
      <c r="A6" s="11">
        <v>588</v>
      </c>
      <c r="B6" s="11"/>
      <c r="D6" s="13">
        <v>0.39800000000000002</v>
      </c>
      <c r="E6" s="12"/>
    </row>
    <row r="8" spans="1:8" x14ac:dyDescent="0.35">
      <c r="A8" s="14" t="s">
        <v>2340</v>
      </c>
      <c r="B8" s="14"/>
      <c r="D8" s="16" t="s">
        <v>2341</v>
      </c>
      <c r="E8" s="16"/>
      <c r="F8" s="16"/>
    </row>
    <row r="9" spans="1:8" x14ac:dyDescent="0.35">
      <c r="A9" s="15">
        <v>0.28499999999999998</v>
      </c>
      <c r="B9" s="14"/>
      <c r="D9" s="16" t="s">
        <v>2342</v>
      </c>
      <c r="E9" s="16"/>
      <c r="F9" s="16"/>
    </row>
    <row r="11" spans="1:8" ht="17.5" thickBot="1" x14ac:dyDescent="0.45">
      <c r="A11" s="17" t="s">
        <v>2343</v>
      </c>
      <c r="B11" s="17"/>
    </row>
    <row r="12" spans="1:8" ht="15.5" thickTop="1" thickBot="1" x14ac:dyDescent="0.4">
      <c r="A12" s="18" t="s">
        <v>2344</v>
      </c>
      <c r="B12" s="18"/>
      <c r="C12" s="18"/>
      <c r="D12" s="18"/>
      <c r="E12" s="18"/>
      <c r="F12" s="18"/>
      <c r="G12" s="18"/>
      <c r="H12" s="18"/>
    </row>
    <row r="13" spans="1:8" ht="15.5" thickTop="1" thickBot="1" x14ac:dyDescent="0.4">
      <c r="A13" s="18"/>
      <c r="B13" s="18"/>
      <c r="C13" s="18"/>
      <c r="D13" s="18"/>
      <c r="E13" s="18"/>
      <c r="F13" s="18"/>
      <c r="G13" s="18"/>
      <c r="H13" s="18"/>
    </row>
    <row r="14" spans="1:8" ht="15.5" thickTop="1" thickBot="1" x14ac:dyDescent="0.4">
      <c r="A14" s="18"/>
      <c r="B14" s="18"/>
      <c r="C14" s="18"/>
      <c r="D14" s="18"/>
      <c r="E14" s="18"/>
      <c r="F14" s="18"/>
      <c r="G14" s="18"/>
      <c r="H14" s="18"/>
    </row>
    <row r="15" spans="1:8" ht="15.5" thickTop="1" thickBot="1" x14ac:dyDescent="0.4">
      <c r="A15" s="18"/>
      <c r="B15" s="18"/>
      <c r="C15" s="18"/>
      <c r="D15" s="18"/>
      <c r="E15" s="18"/>
      <c r="F15" s="18"/>
      <c r="G15" s="18"/>
      <c r="H15" s="18"/>
    </row>
    <row r="16" spans="1:8" ht="15.5" thickTop="1" thickBot="1" x14ac:dyDescent="0.4">
      <c r="A16" s="18"/>
      <c r="B16" s="18"/>
      <c r="C16" s="18"/>
      <c r="D16" s="18"/>
      <c r="E16" s="18"/>
      <c r="F16" s="18"/>
      <c r="G16" s="18"/>
      <c r="H16" s="18"/>
    </row>
    <row r="17" spans="1:8" ht="15.5" thickTop="1" thickBot="1" x14ac:dyDescent="0.4">
      <c r="A17" s="18"/>
      <c r="B17" s="18"/>
      <c r="C17" s="18"/>
      <c r="D17" s="18"/>
      <c r="E17" s="18"/>
      <c r="F17" s="18"/>
      <c r="G17" s="18"/>
      <c r="H17" s="18"/>
    </row>
    <row r="18" spans="1:8" ht="15.5" thickTop="1" thickBot="1" x14ac:dyDescent="0.4">
      <c r="A18" s="18"/>
      <c r="B18" s="18"/>
      <c r="C18" s="18"/>
      <c r="D18" s="18"/>
      <c r="E18" s="18"/>
      <c r="F18" s="18"/>
      <c r="G18" s="18"/>
      <c r="H18" s="18"/>
    </row>
    <row r="19" spans="1:8" ht="15.5" thickTop="1" thickBot="1" x14ac:dyDescent="0.4">
      <c r="A19" s="18"/>
      <c r="B19" s="18"/>
      <c r="C19" s="18"/>
      <c r="D19" s="18"/>
      <c r="E19" s="18"/>
      <c r="F19" s="18"/>
      <c r="G19" s="18"/>
      <c r="H19" s="18"/>
    </row>
    <row r="20" spans="1:8" ht="15.5" thickTop="1" thickBot="1" x14ac:dyDescent="0.4">
      <c r="A20" s="18"/>
      <c r="B20" s="18"/>
      <c r="C20" s="18"/>
      <c r="D20" s="18"/>
      <c r="E20" s="18"/>
      <c r="F20" s="18"/>
      <c r="G20" s="18"/>
      <c r="H20" s="18"/>
    </row>
    <row r="21" spans="1:8" ht="15.5" thickTop="1" thickBot="1" x14ac:dyDescent="0.4">
      <c r="A21" s="18"/>
      <c r="B21" s="18"/>
      <c r="C21" s="18"/>
      <c r="D21" s="18"/>
      <c r="E21" s="18"/>
      <c r="F21" s="18"/>
      <c r="G21" s="18"/>
      <c r="H21" s="18"/>
    </row>
    <row r="22" spans="1:8" ht="15" thickTop="1" x14ac:dyDescent="0.35"/>
    <row r="23" spans="1:8" ht="17.5" thickBot="1" x14ac:dyDescent="0.45">
      <c r="A23" s="17" t="s">
        <v>2345</v>
      </c>
      <c r="B23" s="17"/>
      <c r="C23" s="17"/>
      <c r="D23" s="17"/>
    </row>
    <row r="24" spans="1:8" ht="15.5" thickTop="1" thickBot="1" x14ac:dyDescent="0.4">
      <c r="A24" s="18" t="s">
        <v>2346</v>
      </c>
      <c r="B24" s="19"/>
      <c r="C24" s="19"/>
      <c r="D24" s="19"/>
      <c r="E24" s="19"/>
      <c r="F24" s="19"/>
      <c r="G24" s="19"/>
      <c r="H24" s="19"/>
    </row>
    <row r="25" spans="1:8" ht="15.5" thickTop="1" thickBot="1" x14ac:dyDescent="0.4">
      <c r="A25" s="19"/>
      <c r="B25" s="19"/>
      <c r="C25" s="19"/>
      <c r="D25" s="19"/>
      <c r="E25" s="19"/>
      <c r="F25" s="19"/>
      <c r="G25" s="19"/>
      <c r="H25" s="19"/>
    </row>
    <row r="26" spans="1:8" ht="15.5" thickTop="1" thickBot="1" x14ac:dyDescent="0.4">
      <c r="A26" s="19"/>
      <c r="B26" s="19"/>
      <c r="C26" s="19"/>
      <c r="D26" s="19"/>
      <c r="E26" s="19"/>
      <c r="F26" s="19"/>
      <c r="G26" s="19"/>
      <c r="H26" s="19"/>
    </row>
    <row r="27" spans="1:8" ht="15.5" thickTop="1" thickBot="1" x14ac:dyDescent="0.4">
      <c r="A27" s="19"/>
      <c r="B27" s="19"/>
      <c r="C27" s="19"/>
      <c r="D27" s="19"/>
      <c r="E27" s="19"/>
      <c r="F27" s="19"/>
      <c r="G27" s="19"/>
      <c r="H27" s="19"/>
    </row>
    <row r="28" spans="1:8" ht="15.5" thickTop="1" thickBot="1" x14ac:dyDescent="0.4">
      <c r="A28" s="19"/>
      <c r="B28" s="19"/>
      <c r="C28" s="19"/>
      <c r="D28" s="19"/>
      <c r="E28" s="19"/>
      <c r="F28" s="19"/>
      <c r="G28" s="19"/>
      <c r="H28" s="19"/>
    </row>
    <row r="29" spans="1:8" ht="15.5" thickTop="1" thickBot="1" x14ac:dyDescent="0.4">
      <c r="A29" s="19"/>
      <c r="B29" s="19"/>
      <c r="C29" s="19"/>
      <c r="D29" s="19"/>
      <c r="E29" s="19"/>
      <c r="F29" s="19"/>
      <c r="G29" s="19"/>
      <c r="H29" s="19"/>
    </row>
    <row r="30" spans="1:8" ht="15.5" thickTop="1" thickBot="1" x14ac:dyDescent="0.4">
      <c r="A30" s="19"/>
      <c r="B30" s="19"/>
      <c r="C30" s="19"/>
      <c r="D30" s="19"/>
      <c r="E30" s="19"/>
      <c r="F30" s="19"/>
      <c r="G30" s="19"/>
      <c r="H30" s="19"/>
    </row>
    <row r="31" spans="1:8" ht="15.5" thickTop="1" thickBot="1" x14ac:dyDescent="0.4">
      <c r="A31" s="19"/>
      <c r="B31" s="19"/>
      <c r="C31" s="19"/>
      <c r="D31" s="19"/>
      <c r="E31" s="19"/>
      <c r="F31" s="19"/>
      <c r="G31" s="19"/>
      <c r="H31" s="19"/>
    </row>
    <row r="32" spans="1:8" ht="15.5" thickTop="1" thickBot="1" x14ac:dyDescent="0.4">
      <c r="A32" s="19"/>
      <c r="B32" s="19"/>
      <c r="C32" s="19"/>
      <c r="D32" s="19"/>
      <c r="E32" s="19"/>
      <c r="F32" s="19"/>
      <c r="G32" s="19"/>
      <c r="H32" s="19"/>
    </row>
    <row r="33" ht="15" thickTop="1" x14ac:dyDescent="0.35"/>
  </sheetData>
  <mergeCells count="14">
    <mergeCell ref="A24:H32"/>
    <mergeCell ref="A11:B11"/>
    <mergeCell ref="A12:H21"/>
    <mergeCell ref="A23:D23"/>
    <mergeCell ref="A8:B8"/>
    <mergeCell ref="A9:B9"/>
    <mergeCell ref="D9:F9"/>
    <mergeCell ref="D8:F8"/>
    <mergeCell ref="A1:H1"/>
    <mergeCell ref="A3:D3"/>
    <mergeCell ref="A5:B5"/>
    <mergeCell ref="A6:B6"/>
    <mergeCell ref="D5:E5"/>
    <mergeCell ref="D6:E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D36EB6-E204-47DC-A5EC-41CEC6280B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</vt:lpstr>
      <vt:lpstr>customer model</vt:lpstr>
      <vt:lpstr>Sheet2</vt:lpstr>
      <vt:lpstr>Sheet3</vt:lpstr>
      <vt:lpstr>Sheet4</vt:lpstr>
      <vt:lpstr>Promo_Pivot</vt:lpstr>
      <vt:lpstr>Sheet6</vt:lpstr>
      <vt:lpstr>Sheet7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y21ee3260@gmail.com</dc:creator>
  <cp:lastModifiedBy>y21ee3260@gmail.com</cp:lastModifiedBy>
  <dcterms:created xsi:type="dcterms:W3CDTF">2026-02-12T18:27:46Z</dcterms:created>
  <dcterms:modified xsi:type="dcterms:W3CDTF">2026-02-13T20:06:40Z</dcterms:modified>
</cp:coreProperties>
</file>